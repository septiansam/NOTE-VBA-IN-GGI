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path file\MACRO_RPA - Pembuatan Dokumen di CEISA 4.0\MACRO - Item Draft Barang - CEISA 4.0\"/>
    </mc:Choice>
  </mc:AlternateContent>
  <xr:revisionPtr revIDLastSave="0" documentId="13_ncr:1_{7B31BFAD-C371-4439-A9A9-BE65490A301D}" xr6:coauthVersionLast="47" xr6:coauthVersionMax="47" xr10:uidLastSave="{00000000-0000-0000-0000-000000000000}"/>
  <bookViews>
    <workbookView xWindow="-120" yWindow="-120" windowWidth="20730" windowHeight="11160" tabRatio="685" activeTab="1" xr2:uid="{7E7A7F93-5039-4D12-8102-F8D7E7D5379D}"/>
  </bookViews>
  <sheets>
    <sheet name="(M)" sheetId="12" r:id="rId1"/>
    <sheet name="Summary" sheetId="135" r:id="rId2"/>
    <sheet name="Set_Def" sheetId="128" state="hidden" r:id="rId3"/>
    <sheet name="Set_Cach" sheetId="129" state="hidden" r:id="rId4"/>
    <sheet name="Set_Ref" sheetId="130" state="hidden" r:id="rId5"/>
    <sheet name="Field_Barang" sheetId="145" state="hidden" r:id="rId6"/>
    <sheet name="Field_BahanBaku" sheetId="143" state="hidden" r:id="rId7"/>
    <sheet name="BARANG" sheetId="906" r:id="rId8"/>
    <sheet name="BAHANBAKU" sheetId="907" r:id="rId9"/>
  </sheets>
  <functionGroups builtInGroupCount="19"/>
  <externalReferences>
    <externalReference r:id="rId10"/>
  </externalReferences>
  <definedNames>
    <definedName name="_xlnm._FilterDatabase" localSheetId="5" hidden="1">Field_Barang!#REF!</definedName>
    <definedName name="Excel_BuiltIn__FilterDatabase" localSheetId="5">#REF!</definedName>
    <definedName name="Excel_BuiltIn__FilterDatabase">#REF!</definedName>
    <definedName name="Excel_BuiltIn__FilterDatabase_1" localSheetId="5">#REF!</definedName>
    <definedName name="Excel_BuiltIn__FilterDatabase_1">#REF!</definedName>
    <definedName name="Excel_BuiltIn_Print_Area_1" localSheetId="5">#REF!</definedName>
    <definedName name="Excel_BuiltIn_Print_Area_1">#REF!</definedName>
    <definedName name="Excel_BuiltIn_Print_Area_2" localSheetId="5">#REF!</definedName>
    <definedName name="Excel_BuiltIn_Print_Area_2">#REF!</definedName>
    <definedName name="Excel_BuiltIn_Print_Area_3" localSheetId="5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907"/>
  <c r="AD4" i="907"/>
  <c r="AD5" i="907"/>
  <c r="AD6" i="907"/>
  <c r="AD7" i="907"/>
  <c r="AD8" i="907"/>
  <c r="AD9" i="907"/>
  <c r="AD10" i="907"/>
  <c r="AD11" i="907"/>
  <c r="AD12" i="907"/>
  <c r="AD13" i="907"/>
  <c r="AD14" i="907"/>
  <c r="AD15" i="907"/>
  <c r="AD16" i="907"/>
  <c r="AD17" i="907"/>
  <c r="AD18" i="907"/>
  <c r="AD19" i="907"/>
  <c r="AD20" i="907"/>
  <c r="AD21" i="907"/>
  <c r="AD22" i="907"/>
  <c r="AD23" i="907"/>
  <c r="AD24" i="907"/>
  <c r="AD25" i="907"/>
  <c r="AD26" i="907"/>
  <c r="AD27" i="907"/>
  <c r="AD28" i="907"/>
  <c r="AD29" i="907"/>
  <c r="AD30" i="907"/>
  <c r="AD31" i="907"/>
  <c r="AD32" i="907"/>
  <c r="AD33" i="907"/>
  <c r="AD34" i="907"/>
  <c r="AD35" i="907"/>
  <c r="AD36" i="907"/>
  <c r="AD37" i="907"/>
  <c r="AD38" i="907"/>
  <c r="AD39" i="907"/>
  <c r="AD40" i="907"/>
  <c r="AD41" i="907"/>
  <c r="AD42" i="907"/>
  <c r="AD43" i="907"/>
  <c r="AD44" i="907"/>
  <c r="AD45" i="907"/>
  <c r="AD46" i="907"/>
  <c r="AD47" i="907"/>
  <c r="AD48" i="907"/>
  <c r="AD49" i="907"/>
  <c r="AD50" i="907"/>
  <c r="AD51" i="907"/>
  <c r="AD52" i="907"/>
  <c r="AD53" i="907"/>
  <c r="AD54" i="907"/>
  <c r="AD55" i="907"/>
  <c r="AD56" i="907"/>
  <c r="AD57" i="907"/>
  <c r="AD58" i="907"/>
  <c r="AD59" i="907"/>
  <c r="AD60" i="907"/>
  <c r="AD61" i="907"/>
  <c r="AD62" i="907"/>
  <c r="AD63" i="907"/>
  <c r="AD64" i="907"/>
  <c r="AD65" i="907"/>
  <c r="AD66" i="907"/>
  <c r="AD67" i="907"/>
  <c r="AD68" i="907"/>
  <c r="AD69" i="907"/>
  <c r="AD70" i="907"/>
  <c r="AD71" i="907"/>
  <c r="AD72" i="907"/>
  <c r="AD73" i="907"/>
  <c r="AD74" i="907"/>
  <c r="AD75" i="907"/>
  <c r="AD76" i="907"/>
  <c r="AD77" i="907"/>
  <c r="AD78" i="907"/>
  <c r="AD79" i="907"/>
  <c r="AD80" i="907"/>
  <c r="AD81" i="907"/>
  <c r="AD82" i="907"/>
  <c r="AD83" i="907"/>
  <c r="AD84" i="907"/>
  <c r="AD85" i="907"/>
  <c r="AD86" i="907"/>
  <c r="AD87" i="907"/>
  <c r="AD88" i="907"/>
  <c r="AD89" i="907"/>
  <c r="AD90" i="907"/>
  <c r="AD91" i="907"/>
  <c r="AD92" i="907"/>
  <c r="AD93" i="907"/>
  <c r="AD94" i="907"/>
  <c r="AD95" i="907"/>
  <c r="AD96" i="907"/>
  <c r="AD97" i="907"/>
  <c r="AD98" i="907"/>
  <c r="AD99" i="907"/>
  <c r="AD100" i="907"/>
  <c r="AD101" i="907"/>
  <c r="AD102" i="907"/>
  <c r="AD103" i="907"/>
  <c r="AD104" i="907"/>
  <c r="AD105" i="907"/>
  <c r="AD106" i="907"/>
  <c r="AD107" i="907"/>
  <c r="AD108" i="907"/>
  <c r="AD109" i="907"/>
  <c r="AD110" i="907"/>
  <c r="AD111" i="907"/>
  <c r="AD112" i="907"/>
  <c r="AD113" i="907"/>
  <c r="AD114" i="907"/>
  <c r="AD115" i="907"/>
  <c r="AD116" i="907"/>
  <c r="AD117" i="907"/>
  <c r="AD118" i="907"/>
  <c r="AD119" i="907"/>
  <c r="AD120" i="907"/>
  <c r="AD121" i="907"/>
  <c r="AD122" i="907"/>
  <c r="AD123" i="907"/>
  <c r="AD124" i="907"/>
  <c r="AD125" i="907"/>
  <c r="AD126" i="907"/>
  <c r="AD127" i="907"/>
  <c r="AD128" i="907"/>
  <c r="AD129" i="907"/>
  <c r="AD130" i="907"/>
  <c r="AD131" i="907"/>
  <c r="AD132" i="907"/>
  <c r="AD133" i="907"/>
  <c r="AD134" i="907"/>
  <c r="AD135" i="907"/>
  <c r="AD136" i="907"/>
  <c r="AD137" i="907"/>
  <c r="AD138" i="907"/>
  <c r="AD139" i="907"/>
  <c r="AD140" i="907"/>
  <c r="AD141" i="907"/>
  <c r="AD142" i="907"/>
  <c r="AD143" i="907"/>
  <c r="AD144" i="907"/>
  <c r="AD145" i="907"/>
  <c r="AD146" i="907"/>
  <c r="AD147" i="907"/>
  <c r="AD148" i="907"/>
  <c r="AD149" i="907"/>
  <c r="AD150" i="907"/>
  <c r="AD151" i="907"/>
  <c r="AD152" i="907"/>
  <c r="AD153" i="907"/>
  <c r="AD154" i="907"/>
  <c r="AD155" i="907"/>
  <c r="AD156" i="907"/>
  <c r="AD157" i="907"/>
  <c r="AD158" i="907"/>
  <c r="AD159" i="907"/>
  <c r="AD160" i="907"/>
  <c r="AD161" i="907"/>
  <c r="AD162" i="907"/>
  <c r="AD163" i="907"/>
  <c r="AD164" i="907"/>
  <c r="AD165" i="907"/>
  <c r="AD166" i="907"/>
  <c r="AD167" i="907"/>
  <c r="AD168" i="907"/>
  <c r="AD169" i="907"/>
  <c r="AD170" i="907"/>
  <c r="AD171" i="907"/>
  <c r="AD172" i="907"/>
  <c r="AD173" i="907"/>
  <c r="AD174" i="907"/>
  <c r="AD175" i="907"/>
  <c r="AD176" i="907"/>
  <c r="AD177" i="907"/>
  <c r="AD178" i="907"/>
  <c r="AD179" i="907"/>
  <c r="AD180" i="907"/>
  <c r="AD181" i="907"/>
  <c r="AD182" i="907"/>
  <c r="AD183" i="907"/>
  <c r="AD184" i="907"/>
  <c r="AD185" i="907"/>
  <c r="AD186" i="907"/>
  <c r="AD187" i="907"/>
  <c r="AD188" i="907"/>
  <c r="AD189" i="907"/>
  <c r="AD190" i="907"/>
  <c r="AD191" i="907"/>
  <c r="AD192" i="907"/>
  <c r="AD193" i="907"/>
  <c r="AD194" i="907"/>
  <c r="AD195" i="907"/>
  <c r="AD196" i="907"/>
  <c r="AD197" i="907"/>
  <c r="AD198" i="907"/>
  <c r="AD199" i="907"/>
  <c r="AD200" i="907"/>
  <c r="AD201" i="907"/>
  <c r="AD202" i="907"/>
  <c r="AD203" i="907"/>
  <c r="AD204" i="907"/>
  <c r="AD205" i="907"/>
  <c r="AD206" i="907"/>
  <c r="AD207" i="907"/>
  <c r="AD208" i="907"/>
  <c r="AD209" i="907"/>
  <c r="AD210" i="907"/>
  <c r="AD211" i="907"/>
  <c r="AD212" i="907"/>
  <c r="AD213" i="907"/>
  <c r="AD214" i="907"/>
  <c r="AD215" i="907"/>
  <c r="AD216" i="907"/>
  <c r="AD217" i="907"/>
  <c r="AD218" i="907"/>
  <c r="AD219" i="907"/>
  <c r="AD220" i="907"/>
  <c r="AD221" i="907"/>
  <c r="AD222" i="907"/>
  <c r="AD223" i="907"/>
  <c r="AD224" i="907"/>
  <c r="AD225" i="907"/>
  <c r="AD226" i="907"/>
  <c r="AD227" i="907"/>
  <c r="AD228" i="907"/>
  <c r="AD229" i="907"/>
  <c r="AD230" i="907"/>
  <c r="AD231" i="907"/>
  <c r="AD232" i="907"/>
  <c r="AD233" i="907"/>
  <c r="AD234" i="907"/>
  <c r="AD235" i="907"/>
  <c r="AD236" i="907"/>
  <c r="AD237" i="907"/>
  <c r="AD238" i="907"/>
  <c r="AD239" i="907"/>
  <c r="AD240" i="907"/>
  <c r="AD241" i="907"/>
  <c r="AD242" i="907"/>
  <c r="AD243" i="907"/>
  <c r="AD244" i="907"/>
  <c r="AD245" i="907"/>
  <c r="AD246" i="907"/>
  <c r="AD247" i="907"/>
  <c r="AD248" i="907"/>
  <c r="AD249" i="907"/>
  <c r="AD250" i="907"/>
  <c r="AD251" i="907"/>
  <c r="AD252" i="907"/>
  <c r="AD253" i="907"/>
  <c r="AD254" i="907"/>
  <c r="AD255" i="907"/>
  <c r="AD256" i="907"/>
  <c r="AD257" i="907"/>
  <c r="AD258" i="907"/>
  <c r="AD259" i="907"/>
  <c r="AD260" i="907"/>
  <c r="AD261" i="907"/>
  <c r="AD262" i="907"/>
  <c r="AD263" i="907"/>
  <c r="AD264" i="907"/>
  <c r="AD265" i="907"/>
  <c r="AD266" i="907"/>
  <c r="AD267" i="907"/>
  <c r="AD268" i="907"/>
  <c r="AD269" i="907"/>
  <c r="AD270" i="907"/>
  <c r="AD271" i="907"/>
  <c r="AD272" i="907"/>
  <c r="AD273" i="907"/>
  <c r="AD274" i="907"/>
  <c r="AD275" i="907"/>
  <c r="AD276" i="907"/>
  <c r="AD277" i="907"/>
  <c r="AD278" i="907"/>
  <c r="AD279" i="907"/>
  <c r="AD280" i="907"/>
  <c r="AD281" i="907"/>
  <c r="AD282" i="907"/>
  <c r="AD283" i="907"/>
  <c r="AD284" i="907"/>
  <c r="AD285" i="907"/>
  <c r="AD286" i="907"/>
  <c r="AD287" i="907"/>
  <c r="AD288" i="907"/>
  <c r="AD289" i="907"/>
  <c r="AD290" i="907"/>
  <c r="AD291" i="907"/>
  <c r="AD292" i="907"/>
  <c r="AD293" i="907"/>
  <c r="AD294" i="907"/>
  <c r="AD295" i="907"/>
  <c r="AD296" i="907"/>
  <c r="AD297" i="907"/>
  <c r="AD298" i="907"/>
  <c r="AD299" i="907"/>
  <c r="AD300" i="907"/>
  <c r="AD301" i="907"/>
  <c r="AD302" i="907"/>
  <c r="AD303" i="907"/>
  <c r="AD304" i="907"/>
  <c r="AD305" i="907"/>
  <c r="AD306" i="907"/>
  <c r="AD307" i="907"/>
  <c r="AD308" i="907"/>
  <c r="AD309" i="907"/>
  <c r="AD310" i="907"/>
  <c r="AD311" i="907"/>
  <c r="AD312" i="907"/>
  <c r="AD313" i="907"/>
  <c r="AD314" i="907"/>
  <c r="AD315" i="907"/>
  <c r="AD316" i="907"/>
  <c r="AD317" i="907"/>
  <c r="AD318" i="907"/>
  <c r="AD319" i="907"/>
  <c r="AD320" i="907"/>
  <c r="AD321" i="907"/>
  <c r="AD322" i="907"/>
  <c r="AD323" i="907"/>
  <c r="AD324" i="907"/>
  <c r="AD325" i="907"/>
  <c r="AD326" i="907"/>
  <c r="AD327" i="907"/>
  <c r="AD328" i="907"/>
  <c r="AD329" i="907"/>
  <c r="AD330" i="907"/>
  <c r="AD331" i="907"/>
  <c r="AD332" i="907"/>
  <c r="AD333" i="907"/>
  <c r="AD334" i="907"/>
  <c r="AD335" i="907"/>
  <c r="AD336" i="907"/>
  <c r="AD337" i="907"/>
  <c r="AD338" i="907"/>
  <c r="AD339" i="907"/>
  <c r="AD340" i="907"/>
  <c r="AD341" i="907"/>
  <c r="AD342" i="907"/>
  <c r="AD343" i="907"/>
  <c r="AD344" i="907"/>
  <c r="AD345" i="907"/>
  <c r="AD346" i="907"/>
  <c r="AD347" i="907"/>
  <c r="AD348" i="907"/>
  <c r="AD349" i="907"/>
  <c r="AD350" i="907"/>
  <c r="AD351" i="907"/>
  <c r="AD352" i="907"/>
  <c r="AD353" i="907"/>
  <c r="AD354" i="907"/>
  <c r="AD355" i="907"/>
  <c r="AD356" i="907"/>
  <c r="AD357" i="907"/>
  <c r="AD358" i="907"/>
  <c r="AD359" i="907"/>
  <c r="AD360" i="907"/>
  <c r="AD361" i="907"/>
  <c r="AD362" i="907"/>
  <c r="AD363" i="907"/>
  <c r="AD364" i="907"/>
  <c r="AD365" i="907"/>
  <c r="AD366" i="907"/>
  <c r="AD367" i="907"/>
  <c r="AD368" i="907"/>
  <c r="AD369" i="907"/>
  <c r="AD370" i="907"/>
  <c r="AD371" i="907"/>
  <c r="AD372" i="907"/>
  <c r="AD373" i="907"/>
  <c r="AD374" i="907"/>
  <c r="AD375" i="907"/>
  <c r="AD376" i="907"/>
  <c r="AD377" i="907"/>
  <c r="AD378" i="907"/>
  <c r="AD379" i="907"/>
  <c r="AD380" i="907"/>
  <c r="AD381" i="907"/>
  <c r="AD382" i="907"/>
  <c r="AD383" i="907"/>
  <c r="AD384" i="907"/>
  <c r="AD385" i="907"/>
  <c r="AD386" i="907"/>
  <c r="AD387" i="907"/>
  <c r="AD388" i="907"/>
  <c r="AD389" i="907"/>
  <c r="AD390" i="907"/>
  <c r="AD391" i="907"/>
  <c r="AD392" i="907"/>
  <c r="AD393" i="907"/>
  <c r="AD394" i="907"/>
  <c r="AD395" i="907"/>
  <c r="AD396" i="907"/>
  <c r="AD397" i="907"/>
  <c r="AD398" i="907"/>
  <c r="AD399" i="907"/>
  <c r="AD400" i="907"/>
  <c r="AD401" i="907"/>
  <c r="AD402" i="907"/>
  <c r="AD403" i="907"/>
  <c r="AD404" i="907"/>
  <c r="AD405" i="907"/>
  <c r="AD406" i="907"/>
  <c r="AD407" i="907"/>
  <c r="AD408" i="907"/>
  <c r="AD409" i="907"/>
  <c r="AD410" i="907"/>
  <c r="AD411" i="907"/>
  <c r="AD412" i="907"/>
  <c r="AD413" i="907"/>
  <c r="AD414" i="907"/>
  <c r="AD415" i="907"/>
  <c r="AD416" i="907"/>
  <c r="AD417" i="907"/>
  <c r="AD418" i="907"/>
  <c r="AD419" i="907"/>
  <c r="AD420" i="907"/>
  <c r="AD421" i="907"/>
  <c r="AD422" i="907"/>
  <c r="AD423" i="907"/>
  <c r="AD424" i="907"/>
  <c r="AD425" i="907"/>
  <c r="AD426" i="907"/>
  <c r="AD427" i="907"/>
  <c r="AD428" i="907"/>
  <c r="AD429" i="907"/>
  <c r="AD430" i="907"/>
  <c r="AD431" i="907"/>
  <c r="AD432" i="907"/>
  <c r="AD433" i="907"/>
  <c r="AD434" i="907"/>
  <c r="AD435" i="907"/>
  <c r="AD436" i="907"/>
  <c r="AD437" i="907"/>
  <c r="AD438" i="907"/>
  <c r="AD439" i="907"/>
  <c r="AD440" i="907"/>
  <c r="AD441" i="907"/>
  <c r="AD442" i="907"/>
  <c r="AD443" i="907"/>
  <c r="AD444" i="907"/>
  <c r="AD445" i="907"/>
  <c r="AD446" i="907"/>
  <c r="AD447" i="907"/>
  <c r="AD448" i="907"/>
  <c r="AD449" i="907"/>
  <c r="AD450" i="907"/>
  <c r="AD451" i="907"/>
  <c r="AD452" i="907"/>
  <c r="AD453" i="907"/>
  <c r="AD454" i="907"/>
  <c r="AD455" i="907"/>
  <c r="AD456" i="907"/>
  <c r="AD457" i="907"/>
  <c r="AD458" i="907"/>
  <c r="AD459" i="907"/>
  <c r="AD460" i="907"/>
  <c r="AD461" i="907"/>
  <c r="AD462" i="907"/>
  <c r="AD463" i="907"/>
  <c r="AD464" i="907"/>
  <c r="AD465" i="907"/>
  <c r="AD466" i="907"/>
  <c r="AD467" i="907"/>
  <c r="AD468" i="907"/>
  <c r="AD469" i="907"/>
  <c r="AD470" i="907"/>
  <c r="AD471" i="907"/>
  <c r="AD472" i="907"/>
  <c r="AD473" i="907"/>
  <c r="AD474" i="907"/>
  <c r="AD475" i="907"/>
  <c r="AD476" i="907"/>
  <c r="AD477" i="907"/>
  <c r="AD478" i="907"/>
  <c r="AD479" i="907"/>
  <c r="AD480" i="907"/>
  <c r="AD481" i="907"/>
  <c r="AD482" i="907"/>
  <c r="AD483" i="907"/>
  <c r="AD484" i="907"/>
  <c r="AD485" i="907"/>
  <c r="AD486" i="907"/>
  <c r="AD487" i="907"/>
  <c r="AD488" i="907"/>
  <c r="AD489" i="907"/>
  <c r="AD490" i="907"/>
  <c r="AD491" i="907"/>
  <c r="AD492" i="907"/>
  <c r="AD493" i="907"/>
  <c r="AD494" i="907"/>
  <c r="AD495" i="907"/>
  <c r="AD496" i="907"/>
  <c r="AD497" i="907"/>
  <c r="AD498" i="907"/>
  <c r="AD499" i="907"/>
  <c r="AD500" i="907"/>
  <c r="AD501" i="907"/>
  <c r="AD502" i="907"/>
  <c r="AD503" i="907"/>
  <c r="AD504" i="907"/>
  <c r="AD505" i="907"/>
  <c r="AD506" i="907"/>
  <c r="AD507" i="907"/>
  <c r="AD508" i="907"/>
  <c r="AD509" i="907"/>
  <c r="AD510" i="907"/>
  <c r="AD511" i="907"/>
  <c r="AD512" i="907"/>
  <c r="AD513" i="907"/>
  <c r="AD514" i="907"/>
  <c r="AD515" i="907"/>
  <c r="AD516" i="907"/>
  <c r="AD517" i="907"/>
  <c r="AD518" i="907"/>
  <c r="AD519" i="907"/>
  <c r="AD520" i="907"/>
  <c r="AD521" i="907"/>
  <c r="AD522" i="907"/>
  <c r="AD523" i="907"/>
  <c r="AD524" i="907"/>
  <c r="AD525" i="907"/>
  <c r="AD526" i="907"/>
  <c r="AD527" i="907"/>
  <c r="AD528" i="907"/>
  <c r="AD529" i="907"/>
  <c r="AD530" i="907"/>
  <c r="AD531" i="907"/>
  <c r="AD532" i="907"/>
  <c r="AD533" i="907"/>
  <c r="AD534" i="907"/>
  <c r="AD535" i="907"/>
  <c r="AD536" i="907"/>
  <c r="AD537" i="907"/>
  <c r="AD538" i="907"/>
  <c r="AD539" i="907"/>
  <c r="AD540" i="907"/>
  <c r="AD541" i="907"/>
  <c r="AD542" i="907"/>
  <c r="AD543" i="907"/>
  <c r="AD544" i="907"/>
  <c r="AD545" i="907"/>
  <c r="AD546" i="907"/>
  <c r="AD547" i="907"/>
  <c r="AD548" i="907"/>
  <c r="AD549" i="907"/>
  <c r="AD550" i="907"/>
  <c r="AD551" i="907"/>
  <c r="AD552" i="907"/>
  <c r="AD553" i="907"/>
  <c r="AD554" i="907"/>
  <c r="AD555" i="907"/>
  <c r="AD556" i="907"/>
  <c r="AD557" i="907"/>
  <c r="AD558" i="907"/>
  <c r="AD559" i="907"/>
  <c r="AD560" i="907"/>
  <c r="AD561" i="907"/>
  <c r="AD562" i="907"/>
  <c r="AD563" i="907"/>
  <c r="AD564" i="907"/>
  <c r="AD565" i="907"/>
  <c r="AD566" i="907"/>
  <c r="AD567" i="907"/>
  <c r="AD568" i="907"/>
  <c r="AD569" i="907"/>
  <c r="AD570" i="907"/>
  <c r="AD571" i="907"/>
  <c r="AD572" i="907"/>
  <c r="AD573" i="907"/>
  <c r="AD574" i="907"/>
  <c r="AD575" i="907"/>
  <c r="AD576" i="907"/>
  <c r="AD577" i="907"/>
  <c r="AD578" i="907"/>
  <c r="AD579" i="907"/>
  <c r="AD580" i="907"/>
  <c r="AD581" i="907"/>
  <c r="AD582" i="907"/>
  <c r="AD583" i="907"/>
  <c r="AD584" i="907"/>
  <c r="AD585" i="907"/>
  <c r="AD586" i="907"/>
  <c r="AD587" i="907"/>
  <c r="AD588" i="907"/>
  <c r="AD589" i="907"/>
  <c r="AD590" i="907"/>
  <c r="AD591" i="907"/>
  <c r="AD592" i="907"/>
  <c r="AD593" i="907"/>
  <c r="AD594" i="907"/>
  <c r="AD595" i="907"/>
  <c r="AD596" i="907"/>
  <c r="AD597" i="907"/>
  <c r="AD598" i="907"/>
  <c r="AD599" i="907"/>
  <c r="AD600" i="907"/>
  <c r="AD601" i="907"/>
  <c r="AD602" i="907"/>
  <c r="AD603" i="907"/>
  <c r="AD604" i="907"/>
  <c r="AD605" i="907"/>
  <c r="AD606" i="907"/>
  <c r="AD607" i="907"/>
  <c r="AD608" i="907"/>
  <c r="AD609" i="907"/>
  <c r="AD610" i="907"/>
  <c r="AD611" i="907"/>
  <c r="AD612" i="907"/>
  <c r="AD613" i="907"/>
  <c r="AD614" i="907"/>
  <c r="AD615" i="907"/>
  <c r="AD616" i="907"/>
  <c r="AD617" i="907"/>
  <c r="AD618" i="907"/>
  <c r="AD619" i="907"/>
  <c r="AD620" i="907"/>
  <c r="AD621" i="907"/>
  <c r="AD622" i="907"/>
  <c r="AD623" i="907"/>
  <c r="AD624" i="907"/>
  <c r="AD625" i="907"/>
  <c r="AD626" i="907"/>
  <c r="AD627" i="907"/>
  <c r="AD628" i="907"/>
  <c r="AD629" i="907"/>
  <c r="AD630" i="907"/>
  <c r="AD631" i="907"/>
  <c r="AD632" i="907"/>
  <c r="AD633" i="907"/>
  <c r="AD634" i="907"/>
  <c r="AD635" i="907"/>
  <c r="AD636" i="907"/>
  <c r="AC3" i="907"/>
  <c r="AC4" i="907"/>
  <c r="AC5" i="907"/>
  <c r="AC6" i="907"/>
  <c r="AC7" i="907"/>
  <c r="AC8" i="907"/>
  <c r="AC9" i="907"/>
  <c r="AC10" i="907"/>
  <c r="AC11" i="907"/>
  <c r="AC12" i="907"/>
  <c r="AC13" i="907"/>
  <c r="AC14" i="907"/>
  <c r="AC15" i="907"/>
  <c r="AC16" i="907"/>
  <c r="AC17" i="907"/>
  <c r="AC18" i="907"/>
  <c r="AC19" i="907"/>
  <c r="AC20" i="907"/>
  <c r="AC21" i="907"/>
  <c r="AC22" i="907"/>
  <c r="AC23" i="907"/>
  <c r="AC24" i="907"/>
  <c r="AC25" i="907"/>
  <c r="AC26" i="907"/>
  <c r="AC27" i="907"/>
  <c r="AC28" i="907"/>
  <c r="AC29" i="907"/>
  <c r="AC30" i="907"/>
  <c r="AC31" i="907"/>
  <c r="AC32" i="907"/>
  <c r="AC33" i="907"/>
  <c r="AC34" i="907"/>
  <c r="AC35" i="907"/>
  <c r="AC36" i="907"/>
  <c r="AC37" i="907"/>
  <c r="AC38" i="907"/>
  <c r="AC39" i="907"/>
  <c r="AC40" i="907"/>
  <c r="AC41" i="907"/>
  <c r="AC42" i="907"/>
  <c r="AC43" i="907"/>
  <c r="AC44" i="907"/>
  <c r="AC45" i="907"/>
  <c r="AC46" i="907"/>
  <c r="AC47" i="907"/>
  <c r="AC48" i="907"/>
  <c r="AC49" i="907"/>
  <c r="AC50" i="907"/>
  <c r="AC51" i="907"/>
  <c r="AC52" i="907"/>
  <c r="AC53" i="907"/>
  <c r="AC54" i="907"/>
  <c r="AC55" i="907"/>
  <c r="AC56" i="907"/>
  <c r="AC57" i="907"/>
  <c r="AC58" i="907"/>
  <c r="AC59" i="907"/>
  <c r="AC60" i="907"/>
  <c r="AC61" i="907"/>
  <c r="AC62" i="907"/>
  <c r="AC63" i="907"/>
  <c r="AC64" i="907"/>
  <c r="AC65" i="907"/>
  <c r="AC66" i="907"/>
  <c r="AC67" i="907"/>
  <c r="AC68" i="907"/>
  <c r="AC69" i="907"/>
  <c r="AC70" i="907"/>
  <c r="AC71" i="907"/>
  <c r="AC72" i="907"/>
  <c r="AC73" i="907"/>
  <c r="AC74" i="907"/>
  <c r="AC75" i="907"/>
  <c r="AC76" i="907"/>
  <c r="AC77" i="907"/>
  <c r="AC78" i="907"/>
  <c r="AC79" i="907"/>
  <c r="AC80" i="907"/>
  <c r="AC81" i="907"/>
  <c r="AC82" i="907"/>
  <c r="AC83" i="907"/>
  <c r="AC84" i="907"/>
  <c r="AC85" i="907"/>
  <c r="AC86" i="907"/>
  <c r="AC87" i="907"/>
  <c r="AC88" i="907"/>
  <c r="AC89" i="907"/>
  <c r="AC90" i="907"/>
  <c r="AC91" i="907"/>
  <c r="AC92" i="907"/>
  <c r="AC93" i="907"/>
  <c r="AC94" i="907"/>
  <c r="AC95" i="907"/>
  <c r="AC96" i="907"/>
  <c r="AC97" i="907"/>
  <c r="AC98" i="907"/>
  <c r="AC99" i="907"/>
  <c r="AC100" i="907"/>
  <c r="AC101" i="907"/>
  <c r="AC102" i="907"/>
  <c r="AC103" i="907"/>
  <c r="AC104" i="907"/>
  <c r="AC105" i="907"/>
  <c r="AC106" i="907"/>
  <c r="AC107" i="907"/>
  <c r="AC108" i="907"/>
  <c r="AC109" i="907"/>
  <c r="AC110" i="907"/>
  <c r="AC111" i="907"/>
  <c r="AC112" i="907"/>
  <c r="AC113" i="907"/>
  <c r="AC114" i="907"/>
  <c r="AC115" i="907"/>
  <c r="AC116" i="907"/>
  <c r="AC117" i="907"/>
  <c r="AC118" i="907"/>
  <c r="AC119" i="907"/>
  <c r="AC120" i="907"/>
  <c r="AC121" i="907"/>
  <c r="AC122" i="907"/>
  <c r="AC123" i="907"/>
  <c r="AC124" i="907"/>
  <c r="AC125" i="907"/>
  <c r="AC126" i="907"/>
  <c r="AC127" i="907"/>
  <c r="AC128" i="907"/>
  <c r="AC129" i="907"/>
  <c r="AC130" i="907"/>
  <c r="AC131" i="907"/>
  <c r="AC132" i="907"/>
  <c r="AC133" i="907"/>
  <c r="AC134" i="907"/>
  <c r="AC135" i="907"/>
  <c r="AC136" i="907"/>
  <c r="AC137" i="907"/>
  <c r="AC138" i="907"/>
  <c r="AC139" i="907"/>
  <c r="AC140" i="907"/>
  <c r="AC141" i="907"/>
  <c r="AC142" i="907"/>
  <c r="AC143" i="907"/>
  <c r="AC144" i="907"/>
  <c r="AC145" i="907"/>
  <c r="AC146" i="907"/>
  <c r="AC147" i="907"/>
  <c r="AC148" i="907"/>
  <c r="AC149" i="907"/>
  <c r="AC150" i="907"/>
  <c r="AC151" i="907"/>
  <c r="AC152" i="907"/>
  <c r="AC153" i="907"/>
  <c r="AC154" i="907"/>
  <c r="AC155" i="907"/>
  <c r="AC156" i="907"/>
  <c r="AC157" i="907"/>
  <c r="AC158" i="907"/>
  <c r="AC159" i="907"/>
  <c r="AC160" i="907"/>
  <c r="AC161" i="907"/>
  <c r="AC162" i="907"/>
  <c r="AC163" i="907"/>
  <c r="AC164" i="907"/>
  <c r="AC165" i="907"/>
  <c r="AC166" i="907"/>
  <c r="AC167" i="907"/>
  <c r="AC168" i="907"/>
  <c r="AC169" i="907"/>
  <c r="AC170" i="907"/>
  <c r="AC171" i="907"/>
  <c r="AC172" i="907"/>
  <c r="AC173" i="907"/>
  <c r="AC174" i="907"/>
  <c r="AC175" i="907"/>
  <c r="AC176" i="907"/>
  <c r="AC177" i="907"/>
  <c r="AC178" i="907"/>
  <c r="AC179" i="907"/>
  <c r="AC180" i="907"/>
  <c r="AC181" i="907"/>
  <c r="AC182" i="907"/>
  <c r="AC183" i="907"/>
  <c r="AC184" i="907"/>
  <c r="AC185" i="907"/>
  <c r="AC186" i="907"/>
  <c r="AC187" i="907"/>
  <c r="AC188" i="907"/>
  <c r="AC189" i="907"/>
  <c r="AC190" i="907"/>
  <c r="AC191" i="907"/>
  <c r="AC192" i="907"/>
  <c r="AC193" i="907"/>
  <c r="AC194" i="907"/>
  <c r="AC195" i="907"/>
  <c r="AC196" i="907"/>
  <c r="AC197" i="907"/>
  <c r="AC198" i="907"/>
  <c r="AC199" i="907"/>
  <c r="AC200" i="907"/>
  <c r="AC201" i="907"/>
  <c r="AC202" i="907"/>
  <c r="AC203" i="907"/>
  <c r="AC204" i="907"/>
  <c r="AC205" i="907"/>
  <c r="AC206" i="907"/>
  <c r="AC207" i="907"/>
  <c r="AC208" i="907"/>
  <c r="AC209" i="907"/>
  <c r="AC210" i="907"/>
  <c r="AC211" i="907"/>
  <c r="AC212" i="907"/>
  <c r="AC213" i="907"/>
  <c r="AC214" i="907"/>
  <c r="AC215" i="907"/>
  <c r="AC216" i="907"/>
  <c r="AC217" i="907"/>
  <c r="AC218" i="907"/>
  <c r="AC219" i="907"/>
  <c r="AC220" i="907"/>
  <c r="AC221" i="907"/>
  <c r="AC222" i="907"/>
  <c r="AC223" i="907"/>
  <c r="AC224" i="907"/>
  <c r="AC225" i="907"/>
  <c r="AC226" i="907"/>
  <c r="AC227" i="907"/>
  <c r="AC228" i="907"/>
  <c r="AC229" i="907"/>
  <c r="AC230" i="907"/>
  <c r="AC231" i="907"/>
  <c r="AC232" i="907"/>
  <c r="AC233" i="907"/>
  <c r="AC234" i="907"/>
  <c r="AC235" i="907"/>
  <c r="AC236" i="907"/>
  <c r="AC237" i="907"/>
  <c r="AC238" i="907"/>
  <c r="AC239" i="907"/>
  <c r="AC240" i="907"/>
  <c r="AC241" i="907"/>
  <c r="AC242" i="907"/>
  <c r="AC243" i="907"/>
  <c r="AC244" i="907"/>
  <c r="AC245" i="907"/>
  <c r="AC246" i="907"/>
  <c r="AC247" i="907"/>
  <c r="AC248" i="907"/>
  <c r="AC249" i="907"/>
  <c r="AC250" i="907"/>
  <c r="AC251" i="907"/>
  <c r="AC252" i="907"/>
  <c r="AC253" i="907"/>
  <c r="AC254" i="907"/>
  <c r="AC255" i="907"/>
  <c r="AC256" i="907"/>
  <c r="AC257" i="907"/>
  <c r="AC258" i="907"/>
  <c r="AC259" i="907"/>
  <c r="AC260" i="907"/>
  <c r="AC261" i="907"/>
  <c r="AC262" i="907"/>
  <c r="AC263" i="907"/>
  <c r="AC264" i="907"/>
  <c r="AC265" i="907"/>
  <c r="AC266" i="907"/>
  <c r="AC267" i="907"/>
  <c r="AC268" i="907"/>
  <c r="AC269" i="907"/>
  <c r="AC270" i="907"/>
  <c r="AC271" i="907"/>
  <c r="AC272" i="907"/>
  <c r="AC273" i="907"/>
  <c r="AC274" i="907"/>
  <c r="AC275" i="907"/>
  <c r="AC276" i="907"/>
  <c r="AC277" i="907"/>
  <c r="AC278" i="907"/>
  <c r="AC279" i="907"/>
  <c r="AC280" i="907"/>
  <c r="AC281" i="907"/>
  <c r="AC282" i="907"/>
  <c r="AC283" i="907"/>
  <c r="AC284" i="907"/>
  <c r="AC285" i="907"/>
  <c r="AC286" i="907"/>
  <c r="AC287" i="907"/>
  <c r="AC288" i="907"/>
  <c r="AC289" i="907"/>
  <c r="AC290" i="907"/>
  <c r="AC291" i="907"/>
  <c r="AC292" i="907"/>
  <c r="AC293" i="907"/>
  <c r="AC294" i="907"/>
  <c r="AC295" i="907"/>
  <c r="AC296" i="907"/>
  <c r="AC297" i="907"/>
  <c r="AC298" i="907"/>
  <c r="AC299" i="907"/>
  <c r="AC300" i="907"/>
  <c r="AC301" i="907"/>
  <c r="AC302" i="907"/>
  <c r="AC303" i="907"/>
  <c r="AC304" i="907"/>
  <c r="AC305" i="907"/>
  <c r="AC306" i="907"/>
  <c r="AC307" i="907"/>
  <c r="AC308" i="907"/>
  <c r="AC309" i="907"/>
  <c r="AC310" i="907"/>
  <c r="AC311" i="907"/>
  <c r="AC312" i="907"/>
  <c r="AC313" i="907"/>
  <c r="AC314" i="907"/>
  <c r="AC315" i="907"/>
  <c r="AC316" i="907"/>
  <c r="AC317" i="907"/>
  <c r="AC318" i="907"/>
  <c r="AC319" i="907"/>
  <c r="AC320" i="907"/>
  <c r="AC321" i="907"/>
  <c r="AC322" i="907"/>
  <c r="AC323" i="907"/>
  <c r="AC324" i="907"/>
  <c r="AC325" i="907"/>
  <c r="AC326" i="907"/>
  <c r="AC327" i="907"/>
  <c r="AC328" i="907"/>
  <c r="AC329" i="907"/>
  <c r="AC330" i="907"/>
  <c r="AC331" i="907"/>
  <c r="AC332" i="907"/>
  <c r="AC333" i="907"/>
  <c r="AC334" i="907"/>
  <c r="AC335" i="907"/>
  <c r="AC336" i="907"/>
  <c r="AC337" i="907"/>
  <c r="AC338" i="907"/>
  <c r="AC339" i="907"/>
  <c r="AC340" i="907"/>
  <c r="AC341" i="907"/>
  <c r="AC342" i="907"/>
  <c r="AC343" i="907"/>
  <c r="AC344" i="907"/>
  <c r="AC345" i="907"/>
  <c r="AC346" i="907"/>
  <c r="AC347" i="907"/>
  <c r="AC348" i="907"/>
  <c r="AC349" i="907"/>
  <c r="AC350" i="907"/>
  <c r="AC351" i="907"/>
  <c r="AC352" i="907"/>
  <c r="AC353" i="907"/>
  <c r="AC354" i="907"/>
  <c r="AC355" i="907"/>
  <c r="AC356" i="907"/>
  <c r="AC357" i="907"/>
  <c r="AC358" i="907"/>
  <c r="AC359" i="907"/>
  <c r="AC360" i="907"/>
  <c r="AC361" i="907"/>
  <c r="AC362" i="907"/>
  <c r="AC363" i="907"/>
  <c r="AC364" i="907"/>
  <c r="AC365" i="907"/>
  <c r="AC366" i="907"/>
  <c r="AC367" i="907"/>
  <c r="AC368" i="907"/>
  <c r="AC369" i="907"/>
  <c r="AC370" i="907"/>
  <c r="AC371" i="907"/>
  <c r="AC372" i="907"/>
  <c r="AC373" i="907"/>
  <c r="AC374" i="907"/>
  <c r="AC375" i="907"/>
  <c r="AC376" i="907"/>
  <c r="AC377" i="907"/>
  <c r="AC378" i="907"/>
  <c r="AC379" i="907"/>
  <c r="AC380" i="907"/>
  <c r="AC381" i="907"/>
  <c r="AC382" i="907"/>
  <c r="AC383" i="907"/>
  <c r="AC384" i="907"/>
  <c r="AC385" i="907"/>
  <c r="AC386" i="907"/>
  <c r="AC387" i="907"/>
  <c r="AC388" i="907"/>
  <c r="AC389" i="907"/>
  <c r="AC390" i="907"/>
  <c r="AC391" i="907"/>
  <c r="AC392" i="907"/>
  <c r="AC393" i="907"/>
  <c r="AC394" i="907"/>
  <c r="AC395" i="907"/>
  <c r="AC396" i="907"/>
  <c r="AC397" i="907"/>
  <c r="AC398" i="907"/>
  <c r="AC399" i="907"/>
  <c r="AC400" i="907"/>
  <c r="AC401" i="907"/>
  <c r="AC402" i="907"/>
  <c r="AC403" i="907"/>
  <c r="AC404" i="907"/>
  <c r="AC405" i="907"/>
  <c r="AC406" i="907"/>
  <c r="AC407" i="907"/>
  <c r="AC408" i="907"/>
  <c r="AC409" i="907"/>
  <c r="AC410" i="907"/>
  <c r="AC411" i="907"/>
  <c r="AC412" i="907"/>
  <c r="AC413" i="907"/>
  <c r="AC414" i="907"/>
  <c r="AC415" i="907"/>
  <c r="AC416" i="907"/>
  <c r="AC417" i="907"/>
  <c r="AC418" i="907"/>
  <c r="AC419" i="907"/>
  <c r="AC420" i="907"/>
  <c r="AC421" i="907"/>
  <c r="AC422" i="907"/>
  <c r="AC423" i="907"/>
  <c r="AC424" i="907"/>
  <c r="AC425" i="907"/>
  <c r="AC426" i="907"/>
  <c r="AC427" i="907"/>
  <c r="AC428" i="907"/>
  <c r="AC429" i="907"/>
  <c r="AC430" i="907"/>
  <c r="AC431" i="907"/>
  <c r="AC432" i="907"/>
  <c r="AC433" i="907"/>
  <c r="AC434" i="907"/>
  <c r="AC435" i="907"/>
  <c r="AC436" i="907"/>
  <c r="AC437" i="907"/>
  <c r="AC438" i="907"/>
  <c r="AC439" i="907"/>
  <c r="AC440" i="907"/>
  <c r="AC441" i="907"/>
  <c r="AC442" i="907"/>
  <c r="AC443" i="907"/>
  <c r="AC444" i="907"/>
  <c r="AC445" i="907"/>
  <c r="AC446" i="907"/>
  <c r="AC447" i="907"/>
  <c r="AC448" i="907"/>
  <c r="AC449" i="907"/>
  <c r="AC450" i="907"/>
  <c r="AC451" i="907"/>
  <c r="AC452" i="907"/>
  <c r="AC453" i="907"/>
  <c r="AC454" i="907"/>
  <c r="AC455" i="907"/>
  <c r="AC456" i="907"/>
  <c r="AC457" i="907"/>
  <c r="AC458" i="907"/>
  <c r="AC459" i="907"/>
  <c r="AC460" i="907"/>
  <c r="AC461" i="907"/>
  <c r="AC462" i="907"/>
  <c r="AC463" i="907"/>
  <c r="AC464" i="907"/>
  <c r="AC465" i="907"/>
  <c r="AC466" i="907"/>
  <c r="AC467" i="907"/>
  <c r="AC468" i="907"/>
  <c r="AC469" i="907"/>
  <c r="AC470" i="907"/>
  <c r="AC471" i="907"/>
  <c r="AC472" i="907"/>
  <c r="AC473" i="907"/>
  <c r="AC474" i="907"/>
  <c r="AC475" i="907"/>
  <c r="AC476" i="907"/>
  <c r="AC477" i="907"/>
  <c r="AC478" i="907"/>
  <c r="AC479" i="907"/>
  <c r="AC480" i="907"/>
  <c r="AC481" i="907"/>
  <c r="AC482" i="907"/>
  <c r="AC483" i="907"/>
  <c r="AC484" i="907"/>
  <c r="AC485" i="907"/>
  <c r="AC486" i="907"/>
  <c r="AC487" i="907"/>
  <c r="AC488" i="907"/>
  <c r="AC489" i="907"/>
  <c r="AC490" i="907"/>
  <c r="AC491" i="907"/>
  <c r="AC492" i="907"/>
  <c r="AC493" i="907"/>
  <c r="AC494" i="907"/>
  <c r="AC495" i="907"/>
  <c r="AC496" i="907"/>
  <c r="AC497" i="907"/>
  <c r="AC498" i="907"/>
  <c r="AC499" i="907"/>
  <c r="AC500" i="907"/>
  <c r="AC501" i="907"/>
  <c r="AC502" i="907"/>
  <c r="AC503" i="907"/>
  <c r="AC504" i="907"/>
  <c r="AC505" i="907"/>
  <c r="AC506" i="907"/>
  <c r="AC507" i="907"/>
  <c r="AC508" i="907"/>
  <c r="AC509" i="907"/>
  <c r="AC510" i="907"/>
  <c r="AC511" i="907"/>
  <c r="AC512" i="907"/>
  <c r="AC513" i="907"/>
  <c r="AC514" i="907"/>
  <c r="AC515" i="907"/>
  <c r="AC516" i="907"/>
  <c r="AC517" i="907"/>
  <c r="AC518" i="907"/>
  <c r="AC519" i="907"/>
  <c r="AC520" i="907"/>
  <c r="AC521" i="907"/>
  <c r="AC522" i="907"/>
  <c r="AC523" i="907"/>
  <c r="AC524" i="907"/>
  <c r="AC525" i="907"/>
  <c r="AC526" i="907"/>
  <c r="AC527" i="907"/>
  <c r="AC528" i="907"/>
  <c r="AC529" i="907"/>
  <c r="AC530" i="907"/>
  <c r="AC531" i="907"/>
  <c r="AC532" i="907"/>
  <c r="AC533" i="907"/>
  <c r="AC534" i="907"/>
  <c r="AC535" i="907"/>
  <c r="AC536" i="907"/>
  <c r="AC537" i="907"/>
  <c r="AC538" i="907"/>
  <c r="AC539" i="907"/>
  <c r="AC540" i="907"/>
  <c r="AC541" i="907"/>
  <c r="AC542" i="907"/>
  <c r="AC543" i="907"/>
  <c r="AC544" i="907"/>
  <c r="AC545" i="907"/>
  <c r="AC546" i="907"/>
  <c r="AC547" i="907"/>
  <c r="AC548" i="907"/>
  <c r="AC549" i="907"/>
  <c r="AC550" i="907"/>
  <c r="AC551" i="907"/>
  <c r="AC552" i="907"/>
  <c r="AC553" i="907"/>
  <c r="AC554" i="907"/>
  <c r="AC555" i="907"/>
  <c r="AC556" i="907"/>
  <c r="AC557" i="907"/>
  <c r="AC558" i="907"/>
  <c r="AC559" i="907"/>
  <c r="AC560" i="907"/>
  <c r="AC561" i="907"/>
  <c r="AC562" i="907"/>
  <c r="AC563" i="907"/>
  <c r="AC564" i="907"/>
  <c r="AC565" i="907"/>
  <c r="AC566" i="907"/>
  <c r="AC567" i="907"/>
  <c r="AC568" i="907"/>
  <c r="AC569" i="907"/>
  <c r="AC570" i="907"/>
  <c r="AC571" i="907"/>
  <c r="AC572" i="907"/>
  <c r="AC573" i="907"/>
  <c r="AC574" i="907"/>
  <c r="AC575" i="907"/>
  <c r="AC576" i="907"/>
  <c r="AC577" i="907"/>
  <c r="AC578" i="907"/>
  <c r="AC579" i="907"/>
  <c r="AC580" i="907"/>
  <c r="AC581" i="907"/>
  <c r="AC582" i="907"/>
  <c r="AC583" i="907"/>
  <c r="AC584" i="907"/>
  <c r="AC585" i="907"/>
  <c r="AC586" i="907"/>
  <c r="AC587" i="907"/>
  <c r="AC588" i="907"/>
  <c r="AC589" i="907"/>
  <c r="AC590" i="907"/>
  <c r="AC591" i="907"/>
  <c r="AC592" i="907"/>
  <c r="AC593" i="907"/>
  <c r="AC594" i="907"/>
  <c r="AC595" i="907"/>
  <c r="AC596" i="907"/>
  <c r="AC597" i="907"/>
  <c r="AC598" i="907"/>
  <c r="AC599" i="907"/>
  <c r="AC600" i="907"/>
  <c r="AC601" i="907"/>
  <c r="AC602" i="907"/>
  <c r="AC603" i="907"/>
  <c r="AC604" i="907"/>
  <c r="AC605" i="907"/>
  <c r="AC606" i="907"/>
  <c r="AC607" i="907"/>
  <c r="AC608" i="907"/>
  <c r="AC609" i="907"/>
  <c r="AC610" i="907"/>
  <c r="AC611" i="907"/>
  <c r="AC612" i="907"/>
  <c r="AC613" i="907"/>
  <c r="AC614" i="907"/>
  <c r="AC615" i="907"/>
  <c r="AC616" i="907"/>
  <c r="AC617" i="907"/>
  <c r="AC618" i="907"/>
  <c r="AC619" i="907"/>
  <c r="AC620" i="907"/>
  <c r="AC621" i="907"/>
  <c r="AC622" i="907"/>
  <c r="AC623" i="907"/>
  <c r="AC624" i="907"/>
  <c r="AC625" i="907"/>
  <c r="AC626" i="907"/>
  <c r="AC627" i="907"/>
  <c r="AC628" i="907"/>
  <c r="AC629" i="907"/>
  <c r="AC630" i="907"/>
  <c r="AC631" i="907"/>
  <c r="AC632" i="907"/>
  <c r="AC633" i="907"/>
  <c r="AC634" i="907"/>
  <c r="AC635" i="907"/>
  <c r="AC636" i="907"/>
  <c r="AB3" i="907"/>
  <c r="AB4" i="907"/>
  <c r="AB5" i="907"/>
  <c r="AB6" i="907"/>
  <c r="AB7" i="907"/>
  <c r="AB8" i="907"/>
  <c r="AB9" i="907"/>
  <c r="AB10" i="907"/>
  <c r="AB11" i="907"/>
  <c r="AB12" i="907"/>
  <c r="AB13" i="907"/>
  <c r="AB14" i="907"/>
  <c r="AB15" i="907"/>
  <c r="AB16" i="907"/>
  <c r="AB17" i="907"/>
  <c r="AB18" i="907"/>
  <c r="AB19" i="907"/>
  <c r="AB20" i="907"/>
  <c r="AB21" i="907"/>
  <c r="AB22" i="907"/>
  <c r="AB23" i="907"/>
  <c r="AB24" i="907"/>
  <c r="AB25" i="907"/>
  <c r="AB26" i="907"/>
  <c r="AB27" i="907"/>
  <c r="AB28" i="907"/>
  <c r="AB29" i="907"/>
  <c r="AB30" i="907"/>
  <c r="AB31" i="907"/>
  <c r="AB32" i="907"/>
  <c r="AB33" i="907"/>
  <c r="AB34" i="907"/>
  <c r="AB35" i="907"/>
  <c r="AB36" i="907"/>
  <c r="AB37" i="907"/>
  <c r="AB38" i="907"/>
  <c r="AB39" i="907"/>
  <c r="AB40" i="907"/>
  <c r="AB41" i="907"/>
  <c r="AB42" i="907"/>
  <c r="AB43" i="907"/>
  <c r="AB44" i="907"/>
  <c r="AB45" i="907"/>
  <c r="AB46" i="907"/>
  <c r="AB47" i="907"/>
  <c r="AB48" i="907"/>
  <c r="AB49" i="907"/>
  <c r="AB50" i="907"/>
  <c r="AB51" i="907"/>
  <c r="AB52" i="907"/>
  <c r="AB53" i="907"/>
  <c r="AB54" i="907"/>
  <c r="AB55" i="907"/>
  <c r="AB56" i="907"/>
  <c r="AB57" i="907"/>
  <c r="AB58" i="907"/>
  <c r="AB59" i="907"/>
  <c r="AB60" i="907"/>
  <c r="AB61" i="907"/>
  <c r="AB62" i="907"/>
  <c r="AB63" i="907"/>
  <c r="AB64" i="907"/>
  <c r="AB65" i="907"/>
  <c r="AB66" i="907"/>
  <c r="AB67" i="907"/>
  <c r="AB68" i="907"/>
  <c r="AB69" i="907"/>
  <c r="AB70" i="907"/>
  <c r="AB71" i="907"/>
  <c r="AB72" i="907"/>
  <c r="AB73" i="907"/>
  <c r="AB74" i="907"/>
  <c r="AB75" i="907"/>
  <c r="AB76" i="907"/>
  <c r="AB77" i="907"/>
  <c r="AB78" i="907"/>
  <c r="AB79" i="907"/>
  <c r="AB80" i="907"/>
  <c r="AB81" i="907"/>
  <c r="AB82" i="907"/>
  <c r="AB83" i="907"/>
  <c r="AB84" i="907"/>
  <c r="AB85" i="907"/>
  <c r="AB86" i="907"/>
  <c r="AB87" i="907"/>
  <c r="AB88" i="907"/>
  <c r="AB89" i="907"/>
  <c r="AB90" i="907"/>
  <c r="AB91" i="907"/>
  <c r="AB92" i="907"/>
  <c r="AB93" i="907"/>
  <c r="AB94" i="907"/>
  <c r="AB95" i="907"/>
  <c r="AB96" i="907"/>
  <c r="AB97" i="907"/>
  <c r="AB98" i="907"/>
  <c r="AB99" i="907"/>
  <c r="AB100" i="907"/>
  <c r="AB101" i="907"/>
  <c r="AB102" i="907"/>
  <c r="AB103" i="907"/>
  <c r="AB104" i="907"/>
  <c r="AB105" i="907"/>
  <c r="AB106" i="907"/>
  <c r="AB107" i="907"/>
  <c r="AB108" i="907"/>
  <c r="AB109" i="907"/>
  <c r="AB110" i="907"/>
  <c r="AB111" i="907"/>
  <c r="AB112" i="907"/>
  <c r="AB113" i="907"/>
  <c r="AB114" i="907"/>
  <c r="AB115" i="907"/>
  <c r="AB116" i="907"/>
  <c r="AB117" i="907"/>
  <c r="AB118" i="907"/>
  <c r="AB119" i="907"/>
  <c r="AB120" i="907"/>
  <c r="AB121" i="907"/>
  <c r="AB122" i="907"/>
  <c r="AB123" i="907"/>
  <c r="AB124" i="907"/>
  <c r="AB125" i="907"/>
  <c r="AB126" i="907"/>
  <c r="AB127" i="907"/>
  <c r="AB128" i="907"/>
  <c r="AB129" i="907"/>
  <c r="AB130" i="907"/>
  <c r="AB131" i="907"/>
  <c r="AB132" i="907"/>
  <c r="AB133" i="907"/>
  <c r="AB134" i="907"/>
  <c r="AB135" i="907"/>
  <c r="AB136" i="907"/>
  <c r="AB137" i="907"/>
  <c r="AB138" i="907"/>
  <c r="AB139" i="907"/>
  <c r="AB140" i="907"/>
  <c r="AB141" i="907"/>
  <c r="AB142" i="907"/>
  <c r="AB143" i="907"/>
  <c r="AB144" i="907"/>
  <c r="AB145" i="907"/>
  <c r="AB146" i="907"/>
  <c r="AB147" i="907"/>
  <c r="AB148" i="907"/>
  <c r="AB149" i="907"/>
  <c r="AB150" i="907"/>
  <c r="AB151" i="907"/>
  <c r="AB152" i="907"/>
  <c r="AB153" i="907"/>
  <c r="AB154" i="907"/>
  <c r="AB155" i="907"/>
  <c r="AB156" i="907"/>
  <c r="AB157" i="907"/>
  <c r="AB158" i="907"/>
  <c r="AB159" i="907"/>
  <c r="AB160" i="907"/>
  <c r="AB161" i="907"/>
  <c r="AB162" i="907"/>
  <c r="AB163" i="907"/>
  <c r="AB164" i="907"/>
  <c r="AB165" i="907"/>
  <c r="AB166" i="907"/>
  <c r="AB167" i="907"/>
  <c r="AB168" i="907"/>
  <c r="AB169" i="907"/>
  <c r="AB170" i="907"/>
  <c r="AB171" i="907"/>
  <c r="AB172" i="907"/>
  <c r="AB173" i="907"/>
  <c r="AB174" i="907"/>
  <c r="AB175" i="907"/>
  <c r="AB176" i="907"/>
  <c r="AB177" i="907"/>
  <c r="AB178" i="907"/>
  <c r="AB179" i="907"/>
  <c r="AB180" i="907"/>
  <c r="AB181" i="907"/>
  <c r="AB182" i="907"/>
  <c r="AB183" i="907"/>
  <c r="AB184" i="907"/>
  <c r="AB185" i="907"/>
  <c r="AB186" i="907"/>
  <c r="AB187" i="907"/>
  <c r="AB188" i="907"/>
  <c r="AB189" i="907"/>
  <c r="AB190" i="907"/>
  <c r="AB191" i="907"/>
  <c r="AB192" i="907"/>
  <c r="AB193" i="907"/>
  <c r="AB194" i="907"/>
  <c r="AB195" i="907"/>
  <c r="AB196" i="907"/>
  <c r="AB197" i="907"/>
  <c r="AB198" i="907"/>
  <c r="AB199" i="907"/>
  <c r="AB200" i="907"/>
  <c r="AB201" i="907"/>
  <c r="AB202" i="907"/>
  <c r="AB203" i="907"/>
  <c r="AB204" i="907"/>
  <c r="AB205" i="907"/>
  <c r="AB206" i="907"/>
  <c r="AB207" i="907"/>
  <c r="AB208" i="907"/>
  <c r="AB209" i="907"/>
  <c r="AB210" i="907"/>
  <c r="AB211" i="907"/>
  <c r="AB212" i="907"/>
  <c r="AB213" i="907"/>
  <c r="AB214" i="907"/>
  <c r="AB215" i="907"/>
  <c r="AB216" i="907"/>
  <c r="AB217" i="907"/>
  <c r="AB218" i="907"/>
  <c r="AB219" i="907"/>
  <c r="AB220" i="907"/>
  <c r="AB221" i="907"/>
  <c r="AB222" i="907"/>
  <c r="AB223" i="907"/>
  <c r="AB224" i="907"/>
  <c r="AB225" i="907"/>
  <c r="AB226" i="907"/>
  <c r="AB227" i="907"/>
  <c r="AB228" i="907"/>
  <c r="AB229" i="907"/>
  <c r="AB230" i="907"/>
  <c r="AB231" i="907"/>
  <c r="AB232" i="907"/>
  <c r="AB233" i="907"/>
  <c r="AB234" i="907"/>
  <c r="AB235" i="907"/>
  <c r="AB236" i="907"/>
  <c r="AB237" i="907"/>
  <c r="AB238" i="907"/>
  <c r="AB239" i="907"/>
  <c r="AB240" i="907"/>
  <c r="AB241" i="907"/>
  <c r="AB242" i="907"/>
  <c r="AB243" i="907"/>
  <c r="AB244" i="907"/>
  <c r="AB245" i="907"/>
  <c r="AB246" i="907"/>
  <c r="AB247" i="907"/>
  <c r="AB248" i="907"/>
  <c r="AB249" i="907"/>
  <c r="AB250" i="907"/>
  <c r="AB251" i="907"/>
  <c r="AB252" i="907"/>
  <c r="AB253" i="907"/>
  <c r="AB254" i="907"/>
  <c r="AB255" i="907"/>
  <c r="AB256" i="907"/>
  <c r="AB257" i="907"/>
  <c r="AB258" i="907"/>
  <c r="AB259" i="907"/>
  <c r="AB260" i="907"/>
  <c r="AB261" i="907"/>
  <c r="AB262" i="907"/>
  <c r="AB263" i="907"/>
  <c r="AB264" i="907"/>
  <c r="AB265" i="907"/>
  <c r="AB266" i="907"/>
  <c r="AB267" i="907"/>
  <c r="AB268" i="907"/>
  <c r="AB269" i="907"/>
  <c r="AB270" i="907"/>
  <c r="AB271" i="907"/>
  <c r="AB272" i="907"/>
  <c r="AB273" i="907"/>
  <c r="AB274" i="907"/>
  <c r="AB275" i="907"/>
  <c r="AB276" i="907"/>
  <c r="AB277" i="907"/>
  <c r="AB278" i="907"/>
  <c r="AB279" i="907"/>
  <c r="AB280" i="907"/>
  <c r="AB281" i="907"/>
  <c r="AB282" i="907"/>
  <c r="AB283" i="907"/>
  <c r="AB284" i="907"/>
  <c r="AB285" i="907"/>
  <c r="AB286" i="907"/>
  <c r="AB287" i="907"/>
  <c r="AB288" i="907"/>
  <c r="AB289" i="907"/>
  <c r="AB290" i="907"/>
  <c r="AB291" i="907"/>
  <c r="AB292" i="907"/>
  <c r="AB293" i="907"/>
  <c r="AB294" i="907"/>
  <c r="AB295" i="907"/>
  <c r="AB296" i="907"/>
  <c r="AB297" i="907"/>
  <c r="AB298" i="907"/>
  <c r="AB299" i="907"/>
  <c r="AB300" i="907"/>
  <c r="AB301" i="907"/>
  <c r="AB302" i="907"/>
  <c r="AB303" i="907"/>
  <c r="AB304" i="907"/>
  <c r="AB305" i="907"/>
  <c r="AB306" i="907"/>
  <c r="AB307" i="907"/>
  <c r="AB308" i="907"/>
  <c r="AB309" i="907"/>
  <c r="AB310" i="907"/>
  <c r="AB311" i="907"/>
  <c r="AB312" i="907"/>
  <c r="AB313" i="907"/>
  <c r="AB314" i="907"/>
  <c r="AB315" i="907"/>
  <c r="AB316" i="907"/>
  <c r="AB317" i="907"/>
  <c r="AB318" i="907"/>
  <c r="AB319" i="907"/>
  <c r="AB320" i="907"/>
  <c r="AB321" i="907"/>
  <c r="AB322" i="907"/>
  <c r="AB323" i="907"/>
  <c r="AB324" i="907"/>
  <c r="AB325" i="907"/>
  <c r="AB326" i="907"/>
  <c r="AB327" i="907"/>
  <c r="AB328" i="907"/>
  <c r="AB329" i="907"/>
  <c r="AB330" i="907"/>
  <c r="AB331" i="907"/>
  <c r="AB332" i="907"/>
  <c r="AB333" i="907"/>
  <c r="AB334" i="907"/>
  <c r="AB335" i="907"/>
  <c r="AB336" i="907"/>
  <c r="AB337" i="907"/>
  <c r="AB338" i="907"/>
  <c r="AB339" i="907"/>
  <c r="AB340" i="907"/>
  <c r="AB341" i="907"/>
  <c r="AB342" i="907"/>
  <c r="AB343" i="907"/>
  <c r="AB344" i="907"/>
  <c r="AB345" i="907"/>
  <c r="AB346" i="907"/>
  <c r="AB347" i="907"/>
  <c r="AB348" i="907"/>
  <c r="AB349" i="907"/>
  <c r="AB350" i="907"/>
  <c r="AB351" i="907"/>
  <c r="AB352" i="907"/>
  <c r="AB353" i="907"/>
  <c r="AB354" i="907"/>
  <c r="AB355" i="907"/>
  <c r="AB356" i="907"/>
  <c r="AB357" i="907"/>
  <c r="AB358" i="907"/>
  <c r="AB359" i="907"/>
  <c r="AB360" i="907"/>
  <c r="AB361" i="907"/>
  <c r="AB362" i="907"/>
  <c r="AB363" i="907"/>
  <c r="AB364" i="907"/>
  <c r="AB365" i="907"/>
  <c r="AB366" i="907"/>
  <c r="AB367" i="907"/>
  <c r="AB368" i="907"/>
  <c r="AB369" i="907"/>
  <c r="AB370" i="907"/>
  <c r="AB371" i="907"/>
  <c r="AB372" i="907"/>
  <c r="AB373" i="907"/>
  <c r="AB374" i="907"/>
  <c r="AB375" i="907"/>
  <c r="AB376" i="907"/>
  <c r="AB377" i="907"/>
  <c r="AB378" i="907"/>
  <c r="AB379" i="907"/>
  <c r="AB380" i="907"/>
  <c r="AB381" i="907"/>
  <c r="AB382" i="907"/>
  <c r="AB383" i="907"/>
  <c r="AB384" i="907"/>
  <c r="AB385" i="907"/>
  <c r="AB386" i="907"/>
  <c r="AB387" i="907"/>
  <c r="AB388" i="907"/>
  <c r="AB389" i="907"/>
  <c r="AB390" i="907"/>
  <c r="AB391" i="907"/>
  <c r="AB392" i="907"/>
  <c r="AB393" i="907"/>
  <c r="AB394" i="907"/>
  <c r="AB395" i="907"/>
  <c r="AB396" i="907"/>
  <c r="AB397" i="907"/>
  <c r="AB398" i="907"/>
  <c r="AB399" i="907"/>
  <c r="AB400" i="907"/>
  <c r="AB401" i="907"/>
  <c r="AB402" i="907"/>
  <c r="AB403" i="907"/>
  <c r="AB404" i="907"/>
  <c r="AB405" i="907"/>
  <c r="AB406" i="907"/>
  <c r="AB407" i="907"/>
  <c r="AB408" i="907"/>
  <c r="AB409" i="907"/>
  <c r="AB410" i="907"/>
  <c r="AB411" i="907"/>
  <c r="AB412" i="907"/>
  <c r="AB413" i="907"/>
  <c r="AB414" i="907"/>
  <c r="AB415" i="907"/>
  <c r="AB416" i="907"/>
  <c r="AB417" i="907"/>
  <c r="AB418" i="907"/>
  <c r="AB419" i="907"/>
  <c r="AB420" i="907"/>
  <c r="AB421" i="907"/>
  <c r="AB422" i="907"/>
  <c r="AB423" i="907"/>
  <c r="AB424" i="907"/>
  <c r="AB425" i="907"/>
  <c r="AB426" i="907"/>
  <c r="AB427" i="907"/>
  <c r="AB428" i="907"/>
  <c r="AB429" i="907"/>
  <c r="AB430" i="907"/>
  <c r="AB431" i="907"/>
  <c r="AB432" i="907"/>
  <c r="AB433" i="907"/>
  <c r="AB434" i="907"/>
  <c r="AB435" i="907"/>
  <c r="AB436" i="907"/>
  <c r="AB437" i="907"/>
  <c r="AB438" i="907"/>
  <c r="AB439" i="907"/>
  <c r="AB440" i="907"/>
  <c r="AB441" i="907"/>
  <c r="AB442" i="907"/>
  <c r="AB443" i="907"/>
  <c r="AB444" i="907"/>
  <c r="AB445" i="907"/>
  <c r="AB446" i="907"/>
  <c r="AB447" i="907"/>
  <c r="AB448" i="907"/>
  <c r="AB449" i="907"/>
  <c r="AB450" i="907"/>
  <c r="AB451" i="907"/>
  <c r="AB452" i="907"/>
  <c r="AB453" i="907"/>
  <c r="AB454" i="907"/>
  <c r="AB455" i="907"/>
  <c r="AB456" i="907"/>
  <c r="AB457" i="907"/>
  <c r="AB458" i="907"/>
  <c r="AB459" i="907"/>
  <c r="AB460" i="907"/>
  <c r="AB461" i="907"/>
  <c r="AB462" i="907"/>
  <c r="AB463" i="907"/>
  <c r="AB464" i="907"/>
  <c r="AB465" i="907"/>
  <c r="AB466" i="907"/>
  <c r="AB467" i="907"/>
  <c r="AB468" i="907"/>
  <c r="AB469" i="907"/>
  <c r="AB470" i="907"/>
  <c r="AB471" i="907"/>
  <c r="AB472" i="907"/>
  <c r="AB473" i="907"/>
  <c r="AB474" i="907"/>
  <c r="AB475" i="907"/>
  <c r="AB476" i="907"/>
  <c r="AB477" i="907"/>
  <c r="AB478" i="907"/>
  <c r="AB479" i="907"/>
  <c r="AB480" i="907"/>
  <c r="AB481" i="907"/>
  <c r="AB482" i="907"/>
  <c r="AB483" i="907"/>
  <c r="AB484" i="907"/>
  <c r="AB485" i="907"/>
  <c r="AB486" i="907"/>
  <c r="AB487" i="907"/>
  <c r="AB488" i="907"/>
  <c r="AB489" i="907"/>
  <c r="AB490" i="907"/>
  <c r="AB491" i="907"/>
  <c r="AB492" i="907"/>
  <c r="AB493" i="907"/>
  <c r="AB494" i="907"/>
  <c r="AB495" i="907"/>
  <c r="AB496" i="907"/>
  <c r="AB497" i="907"/>
  <c r="AB498" i="907"/>
  <c r="AB499" i="907"/>
  <c r="AB500" i="907"/>
  <c r="AB501" i="907"/>
  <c r="AB502" i="907"/>
  <c r="AB503" i="907"/>
  <c r="AB504" i="907"/>
  <c r="AB505" i="907"/>
  <c r="AB506" i="907"/>
  <c r="AB507" i="907"/>
  <c r="AB508" i="907"/>
  <c r="AB509" i="907"/>
  <c r="AB510" i="907"/>
  <c r="AB511" i="907"/>
  <c r="AB512" i="907"/>
  <c r="AB513" i="907"/>
  <c r="AB514" i="907"/>
  <c r="AB515" i="907"/>
  <c r="AB516" i="907"/>
  <c r="AB517" i="907"/>
  <c r="AB518" i="907"/>
  <c r="AB519" i="907"/>
  <c r="AB520" i="907"/>
  <c r="AB521" i="907"/>
  <c r="AB522" i="907"/>
  <c r="AB523" i="907"/>
  <c r="AB524" i="907"/>
  <c r="AB525" i="907"/>
  <c r="AB526" i="907"/>
  <c r="AB527" i="907"/>
  <c r="AB528" i="907"/>
  <c r="AB529" i="907"/>
  <c r="AB530" i="907"/>
  <c r="AB531" i="907"/>
  <c r="AB532" i="907"/>
  <c r="AB533" i="907"/>
  <c r="AB534" i="907"/>
  <c r="AB535" i="907"/>
  <c r="AB536" i="907"/>
  <c r="AB537" i="907"/>
  <c r="AB538" i="907"/>
  <c r="AB539" i="907"/>
  <c r="AB540" i="907"/>
  <c r="AB541" i="907"/>
  <c r="AB542" i="907"/>
  <c r="AB543" i="907"/>
  <c r="AB544" i="907"/>
  <c r="AB545" i="907"/>
  <c r="AB546" i="907"/>
  <c r="AB547" i="907"/>
  <c r="AB548" i="907"/>
  <c r="AB549" i="907"/>
  <c r="AB550" i="907"/>
  <c r="AB551" i="907"/>
  <c r="AB552" i="907"/>
  <c r="AB553" i="907"/>
  <c r="AB554" i="907"/>
  <c r="AB555" i="907"/>
  <c r="AB556" i="907"/>
  <c r="AB557" i="907"/>
  <c r="AB558" i="907"/>
  <c r="AB559" i="907"/>
  <c r="AB560" i="907"/>
  <c r="AB561" i="907"/>
  <c r="AB562" i="907"/>
  <c r="AB563" i="907"/>
  <c r="AB564" i="907"/>
  <c r="AB565" i="907"/>
  <c r="AB566" i="907"/>
  <c r="AB567" i="907"/>
  <c r="AB568" i="907"/>
  <c r="AB569" i="907"/>
  <c r="AB570" i="907"/>
  <c r="AB571" i="907"/>
  <c r="AB572" i="907"/>
  <c r="AB573" i="907"/>
  <c r="AB574" i="907"/>
  <c r="AB575" i="907"/>
  <c r="AB576" i="907"/>
  <c r="AB577" i="907"/>
  <c r="AB578" i="907"/>
  <c r="AB579" i="907"/>
  <c r="AB580" i="907"/>
  <c r="AB581" i="907"/>
  <c r="AB582" i="907"/>
  <c r="AB583" i="907"/>
  <c r="AB584" i="907"/>
  <c r="AB585" i="907"/>
  <c r="AB586" i="907"/>
  <c r="AB587" i="907"/>
  <c r="AB588" i="907"/>
  <c r="AB589" i="907"/>
  <c r="AB590" i="907"/>
  <c r="AB591" i="907"/>
  <c r="AB592" i="907"/>
  <c r="AB593" i="907"/>
  <c r="AB594" i="907"/>
  <c r="AB595" i="907"/>
  <c r="AB596" i="907"/>
  <c r="AB597" i="907"/>
  <c r="AB598" i="907"/>
  <c r="AB599" i="907"/>
  <c r="AB600" i="907"/>
  <c r="AB601" i="907"/>
  <c r="AB602" i="907"/>
  <c r="AB603" i="907"/>
  <c r="AB604" i="907"/>
  <c r="AB605" i="907"/>
  <c r="AB606" i="907"/>
  <c r="AB607" i="907"/>
  <c r="AB608" i="907"/>
  <c r="AB609" i="907"/>
  <c r="AB610" i="907"/>
  <c r="AB611" i="907"/>
  <c r="AB612" i="907"/>
  <c r="AB613" i="907"/>
  <c r="AB614" i="907"/>
  <c r="AB615" i="907"/>
  <c r="AB616" i="907"/>
  <c r="AB617" i="907"/>
  <c r="AB618" i="907"/>
  <c r="AB619" i="907"/>
  <c r="AB620" i="907"/>
  <c r="AB621" i="907"/>
  <c r="AB622" i="907"/>
  <c r="AB623" i="907"/>
  <c r="AB624" i="907"/>
  <c r="AB625" i="907"/>
  <c r="AB626" i="907"/>
  <c r="AB627" i="907"/>
  <c r="AB628" i="907"/>
  <c r="AB629" i="907"/>
  <c r="AB630" i="907"/>
  <c r="AB631" i="907"/>
  <c r="AB632" i="907"/>
  <c r="AB633" i="907"/>
  <c r="AB634" i="907"/>
  <c r="AB635" i="907"/>
  <c r="AB636" i="907"/>
  <c r="AA3" i="907"/>
  <c r="AA4" i="907"/>
  <c r="AA5" i="907"/>
  <c r="AA6" i="907"/>
  <c r="AA7" i="907"/>
  <c r="AA8" i="907"/>
  <c r="AA9" i="907"/>
  <c r="AA10" i="907"/>
  <c r="AA11" i="907"/>
  <c r="AA12" i="907"/>
  <c r="AA13" i="907"/>
  <c r="AA14" i="907"/>
  <c r="AA15" i="907"/>
  <c r="AA16" i="907"/>
  <c r="AA17" i="907"/>
  <c r="AA18" i="907"/>
  <c r="AA19" i="907"/>
  <c r="AA20" i="907"/>
  <c r="AA21" i="907"/>
  <c r="AA22" i="907"/>
  <c r="AA23" i="907"/>
  <c r="AA24" i="907"/>
  <c r="AA25" i="907"/>
  <c r="AA26" i="907"/>
  <c r="AA27" i="907"/>
  <c r="AA28" i="907"/>
  <c r="AA29" i="907"/>
  <c r="AA30" i="907"/>
  <c r="AA31" i="907"/>
  <c r="AA32" i="907"/>
  <c r="AA33" i="907"/>
  <c r="AA34" i="907"/>
  <c r="AA35" i="907"/>
  <c r="AA36" i="907"/>
  <c r="AA37" i="907"/>
  <c r="AA38" i="907"/>
  <c r="AA39" i="907"/>
  <c r="AA40" i="907"/>
  <c r="AA41" i="907"/>
  <c r="AA42" i="907"/>
  <c r="AA43" i="907"/>
  <c r="AA44" i="907"/>
  <c r="AA45" i="907"/>
  <c r="AA46" i="907"/>
  <c r="AA47" i="907"/>
  <c r="AA48" i="907"/>
  <c r="AA49" i="907"/>
  <c r="AA50" i="907"/>
  <c r="AA51" i="907"/>
  <c r="AA52" i="907"/>
  <c r="AA53" i="907"/>
  <c r="AA54" i="907"/>
  <c r="AA55" i="907"/>
  <c r="AA56" i="907"/>
  <c r="AA57" i="907"/>
  <c r="AA58" i="907"/>
  <c r="AA59" i="907"/>
  <c r="AA60" i="907"/>
  <c r="AA61" i="907"/>
  <c r="AA62" i="907"/>
  <c r="AA63" i="907"/>
  <c r="AA64" i="907"/>
  <c r="AA65" i="907"/>
  <c r="AA66" i="907"/>
  <c r="AA67" i="907"/>
  <c r="AA68" i="907"/>
  <c r="AA69" i="907"/>
  <c r="AA70" i="907"/>
  <c r="AA71" i="907"/>
  <c r="AA72" i="907"/>
  <c r="AA73" i="907"/>
  <c r="AA74" i="907"/>
  <c r="AA75" i="907"/>
  <c r="AA76" i="907"/>
  <c r="AA77" i="907"/>
  <c r="AA78" i="907"/>
  <c r="AA79" i="907"/>
  <c r="AA80" i="907"/>
  <c r="AA81" i="907"/>
  <c r="AA82" i="907"/>
  <c r="AA83" i="907"/>
  <c r="AA84" i="907"/>
  <c r="AA85" i="907"/>
  <c r="AA86" i="907"/>
  <c r="AA87" i="907"/>
  <c r="AA88" i="907"/>
  <c r="AA89" i="907"/>
  <c r="AA90" i="907"/>
  <c r="AA91" i="907"/>
  <c r="AA92" i="907"/>
  <c r="AA93" i="907"/>
  <c r="AA94" i="907"/>
  <c r="AA95" i="907"/>
  <c r="AA96" i="907"/>
  <c r="AA97" i="907"/>
  <c r="AA98" i="907"/>
  <c r="AA99" i="907"/>
  <c r="AA100" i="907"/>
  <c r="AA101" i="907"/>
  <c r="AA102" i="907"/>
  <c r="AA103" i="907"/>
  <c r="AA104" i="907"/>
  <c r="AA105" i="907"/>
  <c r="AA106" i="907"/>
  <c r="AA107" i="907"/>
  <c r="AA108" i="907"/>
  <c r="AA109" i="907"/>
  <c r="AA110" i="907"/>
  <c r="AA111" i="907"/>
  <c r="AA112" i="907"/>
  <c r="AA113" i="907"/>
  <c r="AA114" i="907"/>
  <c r="AA115" i="907"/>
  <c r="AA116" i="907"/>
  <c r="AA117" i="907"/>
  <c r="AA118" i="907"/>
  <c r="AA119" i="907"/>
  <c r="AA120" i="907"/>
  <c r="AA121" i="907"/>
  <c r="AA122" i="907"/>
  <c r="AA123" i="907"/>
  <c r="AA124" i="907"/>
  <c r="AA125" i="907"/>
  <c r="AA126" i="907"/>
  <c r="AA127" i="907"/>
  <c r="AA128" i="907"/>
  <c r="AA129" i="907"/>
  <c r="AA130" i="907"/>
  <c r="AA131" i="907"/>
  <c r="AA132" i="907"/>
  <c r="AA133" i="907"/>
  <c r="AA134" i="907"/>
  <c r="AA135" i="907"/>
  <c r="AA136" i="907"/>
  <c r="AA137" i="907"/>
  <c r="AA138" i="907"/>
  <c r="AA139" i="907"/>
  <c r="AA140" i="907"/>
  <c r="AA141" i="907"/>
  <c r="AA142" i="907"/>
  <c r="AA143" i="907"/>
  <c r="AA144" i="907"/>
  <c r="AA145" i="907"/>
  <c r="AA146" i="907"/>
  <c r="AA147" i="907"/>
  <c r="AA148" i="907"/>
  <c r="AA149" i="907"/>
  <c r="AA150" i="907"/>
  <c r="AA151" i="907"/>
  <c r="AA152" i="907"/>
  <c r="AA153" i="907"/>
  <c r="AA154" i="907"/>
  <c r="AA155" i="907"/>
  <c r="AA156" i="907"/>
  <c r="AA157" i="907"/>
  <c r="AA158" i="907"/>
  <c r="AA159" i="907"/>
  <c r="AA160" i="907"/>
  <c r="AA161" i="907"/>
  <c r="AA162" i="907"/>
  <c r="AA163" i="907"/>
  <c r="AA164" i="907"/>
  <c r="AA165" i="907"/>
  <c r="AA166" i="907"/>
  <c r="AA167" i="907"/>
  <c r="AA168" i="907"/>
  <c r="AA169" i="907"/>
  <c r="AA170" i="907"/>
  <c r="AA171" i="907"/>
  <c r="AA172" i="907"/>
  <c r="AA173" i="907"/>
  <c r="AA174" i="907"/>
  <c r="AA175" i="907"/>
  <c r="AA176" i="907"/>
  <c r="AA177" i="907"/>
  <c r="AA178" i="907"/>
  <c r="AA179" i="907"/>
  <c r="AA180" i="907"/>
  <c r="AA181" i="907"/>
  <c r="AA182" i="907"/>
  <c r="AA183" i="907"/>
  <c r="AA184" i="907"/>
  <c r="AA185" i="907"/>
  <c r="AA186" i="907"/>
  <c r="AA187" i="907"/>
  <c r="AA188" i="907"/>
  <c r="AA189" i="907"/>
  <c r="AA190" i="907"/>
  <c r="AA191" i="907"/>
  <c r="AA192" i="907"/>
  <c r="AA193" i="907"/>
  <c r="AA194" i="907"/>
  <c r="AA195" i="907"/>
  <c r="AA196" i="907"/>
  <c r="AA197" i="907"/>
  <c r="AA198" i="907"/>
  <c r="AA199" i="907"/>
  <c r="AA200" i="907"/>
  <c r="AA201" i="907"/>
  <c r="AA202" i="907"/>
  <c r="AA203" i="907"/>
  <c r="AA204" i="907"/>
  <c r="AA205" i="907"/>
  <c r="AA206" i="907"/>
  <c r="AA207" i="907"/>
  <c r="AA208" i="907"/>
  <c r="AA209" i="907"/>
  <c r="AA210" i="907"/>
  <c r="AA211" i="907"/>
  <c r="AA212" i="907"/>
  <c r="AA213" i="907"/>
  <c r="AA214" i="907"/>
  <c r="AA215" i="907"/>
  <c r="AA216" i="907"/>
  <c r="AA217" i="907"/>
  <c r="AA218" i="907"/>
  <c r="AA219" i="907"/>
  <c r="AA220" i="907"/>
  <c r="AA221" i="907"/>
  <c r="AA222" i="907"/>
  <c r="AA223" i="907"/>
  <c r="AA224" i="907"/>
  <c r="AA225" i="907"/>
  <c r="AA226" i="907"/>
  <c r="AA227" i="907"/>
  <c r="AA228" i="907"/>
  <c r="AA229" i="907"/>
  <c r="AA230" i="907"/>
  <c r="AA231" i="907"/>
  <c r="AA232" i="907"/>
  <c r="AA233" i="907"/>
  <c r="AA234" i="907"/>
  <c r="AA235" i="907"/>
  <c r="AA236" i="907"/>
  <c r="AA237" i="907"/>
  <c r="AA238" i="907"/>
  <c r="AA239" i="907"/>
  <c r="AA240" i="907"/>
  <c r="AA241" i="907"/>
  <c r="AA242" i="907"/>
  <c r="AA243" i="907"/>
  <c r="AA244" i="907"/>
  <c r="AA245" i="907"/>
  <c r="AA246" i="907"/>
  <c r="AA247" i="907"/>
  <c r="AA248" i="907"/>
  <c r="AA249" i="907"/>
  <c r="AA250" i="907"/>
  <c r="AA251" i="907"/>
  <c r="AA252" i="907"/>
  <c r="AA253" i="907"/>
  <c r="AA254" i="907"/>
  <c r="AA255" i="907"/>
  <c r="AA256" i="907"/>
  <c r="AA257" i="907"/>
  <c r="AA258" i="907"/>
  <c r="AA259" i="907"/>
  <c r="AA260" i="907"/>
  <c r="AA261" i="907"/>
  <c r="AA262" i="907"/>
  <c r="AA263" i="907"/>
  <c r="AA264" i="907"/>
  <c r="AA265" i="907"/>
  <c r="AA266" i="907"/>
  <c r="AA267" i="907"/>
  <c r="AA268" i="907"/>
  <c r="AA269" i="907"/>
  <c r="AA270" i="907"/>
  <c r="AA271" i="907"/>
  <c r="AA272" i="907"/>
  <c r="AA273" i="907"/>
  <c r="AA274" i="907"/>
  <c r="AA275" i="907"/>
  <c r="AA276" i="907"/>
  <c r="AA277" i="907"/>
  <c r="AA278" i="907"/>
  <c r="AA279" i="907"/>
  <c r="AA280" i="907"/>
  <c r="AA281" i="907"/>
  <c r="AA282" i="907"/>
  <c r="AA283" i="907"/>
  <c r="AA284" i="907"/>
  <c r="AA285" i="907"/>
  <c r="AA286" i="907"/>
  <c r="AA287" i="907"/>
  <c r="AA288" i="907"/>
  <c r="AA289" i="907"/>
  <c r="AA290" i="907"/>
  <c r="AA291" i="907"/>
  <c r="AA292" i="907"/>
  <c r="AA293" i="907"/>
  <c r="AA294" i="907"/>
  <c r="AA295" i="907"/>
  <c r="AA296" i="907"/>
  <c r="AA297" i="907"/>
  <c r="AA298" i="907"/>
  <c r="AA299" i="907"/>
  <c r="AA300" i="907"/>
  <c r="AA301" i="907"/>
  <c r="AA302" i="907"/>
  <c r="AA303" i="907"/>
  <c r="AA304" i="907"/>
  <c r="AA305" i="907"/>
  <c r="AA306" i="907"/>
  <c r="AA307" i="907"/>
  <c r="AA308" i="907"/>
  <c r="AA309" i="907"/>
  <c r="AA310" i="907"/>
  <c r="AA311" i="907"/>
  <c r="AA312" i="907"/>
  <c r="AA313" i="907"/>
  <c r="AA314" i="907"/>
  <c r="AA315" i="907"/>
  <c r="AA316" i="907"/>
  <c r="AA317" i="907"/>
  <c r="AA318" i="907"/>
  <c r="AA319" i="907"/>
  <c r="AA320" i="907"/>
  <c r="AA321" i="907"/>
  <c r="AA322" i="907"/>
  <c r="AA323" i="907"/>
  <c r="AA324" i="907"/>
  <c r="AA325" i="907"/>
  <c r="AA326" i="907"/>
  <c r="AA327" i="907"/>
  <c r="AA328" i="907"/>
  <c r="AA329" i="907"/>
  <c r="AA330" i="907"/>
  <c r="AA331" i="907"/>
  <c r="AA332" i="907"/>
  <c r="AA333" i="907"/>
  <c r="AA334" i="907"/>
  <c r="AA335" i="907"/>
  <c r="AA336" i="907"/>
  <c r="AA337" i="907"/>
  <c r="AA338" i="907"/>
  <c r="AA339" i="907"/>
  <c r="AA340" i="907"/>
  <c r="AA341" i="907"/>
  <c r="AA342" i="907"/>
  <c r="AA343" i="907"/>
  <c r="AA344" i="907"/>
  <c r="AA345" i="907"/>
  <c r="AA346" i="907"/>
  <c r="AA347" i="907"/>
  <c r="AA348" i="907"/>
  <c r="AA349" i="907"/>
  <c r="AA350" i="907"/>
  <c r="AA351" i="907"/>
  <c r="AA352" i="907"/>
  <c r="AA353" i="907"/>
  <c r="AA354" i="907"/>
  <c r="AA355" i="907"/>
  <c r="AA356" i="907"/>
  <c r="AA357" i="907"/>
  <c r="AA358" i="907"/>
  <c r="AA359" i="907"/>
  <c r="AA360" i="907"/>
  <c r="AA361" i="907"/>
  <c r="AA362" i="907"/>
  <c r="AA363" i="907"/>
  <c r="AA364" i="907"/>
  <c r="AA365" i="907"/>
  <c r="AA366" i="907"/>
  <c r="AA367" i="907"/>
  <c r="AA368" i="907"/>
  <c r="AA369" i="907"/>
  <c r="AA370" i="907"/>
  <c r="AA371" i="907"/>
  <c r="AA372" i="907"/>
  <c r="AA373" i="907"/>
  <c r="AA374" i="907"/>
  <c r="AA375" i="907"/>
  <c r="AA376" i="907"/>
  <c r="AA377" i="907"/>
  <c r="AA378" i="907"/>
  <c r="AA379" i="907"/>
  <c r="AA380" i="907"/>
  <c r="AA381" i="907"/>
  <c r="AA382" i="907"/>
  <c r="AA383" i="907"/>
  <c r="AA384" i="907"/>
  <c r="AA385" i="907"/>
  <c r="AA386" i="907"/>
  <c r="AA387" i="907"/>
  <c r="AA388" i="907"/>
  <c r="AA389" i="907"/>
  <c r="AA390" i="907"/>
  <c r="AA391" i="907"/>
  <c r="AA392" i="907"/>
  <c r="AA393" i="907"/>
  <c r="AA394" i="907"/>
  <c r="AA395" i="907"/>
  <c r="AA396" i="907"/>
  <c r="AA397" i="907"/>
  <c r="AA398" i="907"/>
  <c r="AA399" i="907"/>
  <c r="AA400" i="907"/>
  <c r="AA401" i="907"/>
  <c r="AA402" i="907"/>
  <c r="AA403" i="907"/>
  <c r="AA404" i="907"/>
  <c r="AA405" i="907"/>
  <c r="AA406" i="907"/>
  <c r="AA407" i="907"/>
  <c r="AA408" i="907"/>
  <c r="AA409" i="907"/>
  <c r="AA410" i="907"/>
  <c r="AA411" i="907"/>
  <c r="AA412" i="907"/>
  <c r="AA413" i="907"/>
  <c r="AA414" i="907"/>
  <c r="AA415" i="907"/>
  <c r="AA416" i="907"/>
  <c r="AA417" i="907"/>
  <c r="AA418" i="907"/>
  <c r="AA419" i="907"/>
  <c r="AA420" i="907"/>
  <c r="AA421" i="907"/>
  <c r="AA422" i="907"/>
  <c r="AA423" i="907"/>
  <c r="AA424" i="907"/>
  <c r="AA425" i="907"/>
  <c r="AA426" i="907"/>
  <c r="AA427" i="907"/>
  <c r="AA428" i="907"/>
  <c r="AA429" i="907"/>
  <c r="AA430" i="907"/>
  <c r="AA431" i="907"/>
  <c r="AA432" i="907"/>
  <c r="AA433" i="907"/>
  <c r="AA434" i="907"/>
  <c r="AA435" i="907"/>
  <c r="AA436" i="907"/>
  <c r="AA437" i="907"/>
  <c r="AA438" i="907"/>
  <c r="AA439" i="907"/>
  <c r="AA440" i="907"/>
  <c r="AA441" i="907"/>
  <c r="AA442" i="907"/>
  <c r="AA443" i="907"/>
  <c r="AA444" i="907"/>
  <c r="AA445" i="907"/>
  <c r="AA446" i="907"/>
  <c r="AA447" i="907"/>
  <c r="AA448" i="907"/>
  <c r="AA449" i="907"/>
  <c r="AA450" i="907"/>
  <c r="AA451" i="907"/>
  <c r="AA452" i="907"/>
  <c r="AA453" i="907"/>
  <c r="AA454" i="907"/>
  <c r="AA455" i="907"/>
  <c r="AA456" i="907"/>
  <c r="AA457" i="907"/>
  <c r="AA458" i="907"/>
  <c r="AA459" i="907"/>
  <c r="AA460" i="907"/>
  <c r="AA461" i="907"/>
  <c r="AA462" i="907"/>
  <c r="AA463" i="907"/>
  <c r="AA464" i="907"/>
  <c r="AA465" i="907"/>
  <c r="AA466" i="907"/>
  <c r="AA467" i="907"/>
  <c r="AA468" i="907"/>
  <c r="AA469" i="907"/>
  <c r="AA470" i="907"/>
  <c r="AA471" i="907"/>
  <c r="AA472" i="907"/>
  <c r="AA473" i="907"/>
  <c r="AA474" i="907"/>
  <c r="AA475" i="907"/>
  <c r="AA476" i="907"/>
  <c r="AA477" i="907"/>
  <c r="AA478" i="907"/>
  <c r="AA479" i="907"/>
  <c r="AA480" i="907"/>
  <c r="AA481" i="907"/>
  <c r="AA482" i="907"/>
  <c r="AA483" i="907"/>
  <c r="AA484" i="907"/>
  <c r="AA485" i="907"/>
  <c r="AA486" i="907"/>
  <c r="AA487" i="907"/>
  <c r="AA488" i="907"/>
  <c r="AA489" i="907"/>
  <c r="AA490" i="907"/>
  <c r="AA491" i="907"/>
  <c r="AA492" i="907"/>
  <c r="AA493" i="907"/>
  <c r="AA494" i="907"/>
  <c r="AA495" i="907"/>
  <c r="AA496" i="907"/>
  <c r="AA497" i="907"/>
  <c r="AA498" i="907"/>
  <c r="AA499" i="907"/>
  <c r="AA500" i="907"/>
  <c r="AA501" i="907"/>
  <c r="AA502" i="907"/>
  <c r="AA503" i="907"/>
  <c r="AA504" i="907"/>
  <c r="AA505" i="907"/>
  <c r="AA506" i="907"/>
  <c r="AA507" i="907"/>
  <c r="AA508" i="907"/>
  <c r="AA509" i="907"/>
  <c r="AA510" i="907"/>
  <c r="AA511" i="907"/>
  <c r="AA512" i="907"/>
  <c r="AA513" i="907"/>
  <c r="AA514" i="907"/>
  <c r="AA515" i="907"/>
  <c r="AA516" i="907"/>
  <c r="AA517" i="907"/>
  <c r="AA518" i="907"/>
  <c r="AA519" i="907"/>
  <c r="AA520" i="907"/>
  <c r="AA521" i="907"/>
  <c r="AA522" i="907"/>
  <c r="AA523" i="907"/>
  <c r="AA524" i="907"/>
  <c r="AA525" i="907"/>
  <c r="AA526" i="907"/>
  <c r="AA527" i="907"/>
  <c r="AA528" i="907"/>
  <c r="AA529" i="907"/>
  <c r="AA530" i="907"/>
  <c r="AA531" i="907"/>
  <c r="AA532" i="907"/>
  <c r="AA533" i="907"/>
  <c r="AA534" i="907"/>
  <c r="AA535" i="907"/>
  <c r="AA536" i="907"/>
  <c r="AA537" i="907"/>
  <c r="AA538" i="907"/>
  <c r="AA539" i="907"/>
  <c r="AA540" i="907"/>
  <c r="AA541" i="907"/>
  <c r="AA542" i="907"/>
  <c r="AA543" i="907"/>
  <c r="AA544" i="907"/>
  <c r="AA545" i="907"/>
  <c r="AA546" i="907"/>
  <c r="AA547" i="907"/>
  <c r="AA548" i="907"/>
  <c r="AA549" i="907"/>
  <c r="AA550" i="907"/>
  <c r="AA551" i="907"/>
  <c r="AA552" i="907"/>
  <c r="AA553" i="907"/>
  <c r="AA554" i="907"/>
  <c r="AA555" i="907"/>
  <c r="AA556" i="907"/>
  <c r="AA557" i="907"/>
  <c r="AA558" i="907"/>
  <c r="AA559" i="907"/>
  <c r="AA560" i="907"/>
  <c r="AA561" i="907"/>
  <c r="AA562" i="907"/>
  <c r="AA563" i="907"/>
  <c r="AA564" i="907"/>
  <c r="AA565" i="907"/>
  <c r="AA566" i="907"/>
  <c r="AA567" i="907"/>
  <c r="AA568" i="907"/>
  <c r="AA569" i="907"/>
  <c r="AA570" i="907"/>
  <c r="AA571" i="907"/>
  <c r="AA572" i="907"/>
  <c r="AA573" i="907"/>
  <c r="AA574" i="907"/>
  <c r="AA575" i="907"/>
  <c r="AA576" i="907"/>
  <c r="AA577" i="907"/>
  <c r="AA578" i="907"/>
  <c r="AA579" i="907"/>
  <c r="AA580" i="907"/>
  <c r="AA581" i="907"/>
  <c r="AA582" i="907"/>
  <c r="AA583" i="907"/>
  <c r="AA584" i="907"/>
  <c r="AA585" i="907"/>
  <c r="AA586" i="907"/>
  <c r="AA587" i="907"/>
  <c r="AA588" i="907"/>
  <c r="AA589" i="907"/>
  <c r="AA590" i="907"/>
  <c r="AA591" i="907"/>
  <c r="AA592" i="907"/>
  <c r="AA593" i="907"/>
  <c r="AA594" i="907"/>
  <c r="AA595" i="907"/>
  <c r="AA596" i="907"/>
  <c r="AA597" i="907"/>
  <c r="AA598" i="907"/>
  <c r="AA599" i="907"/>
  <c r="AA600" i="907"/>
  <c r="AA601" i="907"/>
  <c r="AA602" i="907"/>
  <c r="AA603" i="907"/>
  <c r="AA604" i="907"/>
  <c r="AA605" i="907"/>
  <c r="AA606" i="907"/>
  <c r="AA607" i="907"/>
  <c r="AA608" i="907"/>
  <c r="AA609" i="907"/>
  <c r="AA610" i="907"/>
  <c r="AA611" i="907"/>
  <c r="AA612" i="907"/>
  <c r="AA613" i="907"/>
  <c r="AA614" i="907"/>
  <c r="AA615" i="907"/>
  <c r="AA616" i="907"/>
  <c r="AA617" i="907"/>
  <c r="AA618" i="907"/>
  <c r="AA619" i="907"/>
  <c r="AA620" i="907"/>
  <c r="AA621" i="907"/>
  <c r="AA622" i="907"/>
  <c r="AA623" i="907"/>
  <c r="AA624" i="907"/>
  <c r="AA625" i="907"/>
  <c r="AA626" i="907"/>
  <c r="AA627" i="907"/>
  <c r="AA628" i="907"/>
  <c r="AA629" i="907"/>
  <c r="AA630" i="907"/>
  <c r="AA631" i="907"/>
  <c r="AA632" i="907"/>
  <c r="AA633" i="907"/>
  <c r="AA634" i="907"/>
  <c r="AA635" i="907"/>
  <c r="AA636" i="907"/>
  <c r="Z3" i="907"/>
  <c r="Z4" i="907"/>
  <c r="Z5" i="907"/>
  <c r="Z6" i="907"/>
  <c r="Z7" i="907"/>
  <c r="Z8" i="907"/>
  <c r="Z9" i="907"/>
  <c r="Z10" i="907"/>
  <c r="Z11" i="907"/>
  <c r="Z12" i="907"/>
  <c r="Z13" i="907"/>
  <c r="Z14" i="907"/>
  <c r="Z15" i="907"/>
  <c r="Z16" i="907"/>
  <c r="Z17" i="907"/>
  <c r="Z18" i="907"/>
  <c r="Z19" i="907"/>
  <c r="Z20" i="907"/>
  <c r="Z21" i="907"/>
  <c r="Z22" i="907"/>
  <c r="Z23" i="907"/>
  <c r="Z24" i="907"/>
  <c r="Z25" i="907"/>
  <c r="Z26" i="907"/>
  <c r="Z27" i="907"/>
  <c r="Z28" i="907"/>
  <c r="Z29" i="907"/>
  <c r="Z30" i="907"/>
  <c r="Z31" i="907"/>
  <c r="Z32" i="907"/>
  <c r="Z33" i="907"/>
  <c r="Z34" i="907"/>
  <c r="Z35" i="907"/>
  <c r="Z36" i="907"/>
  <c r="Z37" i="907"/>
  <c r="Z38" i="907"/>
  <c r="Z39" i="907"/>
  <c r="Z40" i="907"/>
  <c r="Z41" i="907"/>
  <c r="Z42" i="907"/>
  <c r="Z43" i="907"/>
  <c r="Z44" i="907"/>
  <c r="Z45" i="907"/>
  <c r="Z46" i="907"/>
  <c r="Z47" i="907"/>
  <c r="Z48" i="907"/>
  <c r="Z49" i="907"/>
  <c r="Z50" i="907"/>
  <c r="Z51" i="907"/>
  <c r="Z52" i="907"/>
  <c r="Z53" i="907"/>
  <c r="Z54" i="907"/>
  <c r="Z55" i="907"/>
  <c r="Z56" i="907"/>
  <c r="Z57" i="907"/>
  <c r="Z58" i="907"/>
  <c r="Z59" i="907"/>
  <c r="Z60" i="907"/>
  <c r="Z61" i="907"/>
  <c r="Z62" i="907"/>
  <c r="Z63" i="907"/>
  <c r="Z64" i="907"/>
  <c r="Z65" i="907"/>
  <c r="Z66" i="907"/>
  <c r="Z67" i="907"/>
  <c r="Z68" i="907"/>
  <c r="Z69" i="907"/>
  <c r="Z70" i="907"/>
  <c r="Z71" i="907"/>
  <c r="Z72" i="907"/>
  <c r="Z73" i="907"/>
  <c r="Z74" i="907"/>
  <c r="Z75" i="907"/>
  <c r="Z76" i="907"/>
  <c r="Z77" i="907"/>
  <c r="Z78" i="907"/>
  <c r="Z79" i="907"/>
  <c r="Z80" i="907"/>
  <c r="Z81" i="907"/>
  <c r="Z82" i="907"/>
  <c r="Z83" i="907"/>
  <c r="Z84" i="907"/>
  <c r="Z85" i="907"/>
  <c r="Z86" i="907"/>
  <c r="Z87" i="907"/>
  <c r="Z88" i="907"/>
  <c r="Z89" i="907"/>
  <c r="Z90" i="907"/>
  <c r="Z91" i="907"/>
  <c r="Z92" i="907"/>
  <c r="Z93" i="907"/>
  <c r="Z94" i="907"/>
  <c r="Z95" i="907"/>
  <c r="Z96" i="907"/>
  <c r="Z97" i="907"/>
  <c r="Z98" i="907"/>
  <c r="Z99" i="907"/>
  <c r="Z100" i="907"/>
  <c r="Z101" i="907"/>
  <c r="Z102" i="907"/>
  <c r="Z103" i="907"/>
  <c r="Z104" i="907"/>
  <c r="Z105" i="907"/>
  <c r="Z106" i="907"/>
  <c r="Z107" i="907"/>
  <c r="Z108" i="907"/>
  <c r="Z109" i="907"/>
  <c r="Z110" i="907"/>
  <c r="Z111" i="907"/>
  <c r="Z112" i="907"/>
  <c r="Z113" i="907"/>
  <c r="Z114" i="907"/>
  <c r="Z115" i="907"/>
  <c r="Z116" i="907"/>
  <c r="Z117" i="907"/>
  <c r="Z118" i="907"/>
  <c r="Z119" i="907"/>
  <c r="Z120" i="907"/>
  <c r="Z121" i="907"/>
  <c r="Z122" i="907"/>
  <c r="Z123" i="907"/>
  <c r="Z124" i="907"/>
  <c r="Z125" i="907"/>
  <c r="Z126" i="907"/>
  <c r="Z127" i="907"/>
  <c r="Z128" i="907"/>
  <c r="Z129" i="907"/>
  <c r="Z130" i="907"/>
  <c r="Z131" i="907"/>
  <c r="Z132" i="907"/>
  <c r="Z133" i="907"/>
  <c r="Z134" i="907"/>
  <c r="Z135" i="907"/>
  <c r="Z136" i="907"/>
  <c r="Z137" i="907"/>
  <c r="Z138" i="907"/>
  <c r="Z139" i="907"/>
  <c r="Z140" i="907"/>
  <c r="Z141" i="907"/>
  <c r="Z142" i="907"/>
  <c r="Z143" i="907"/>
  <c r="Z144" i="907"/>
  <c r="Z145" i="907"/>
  <c r="Z146" i="907"/>
  <c r="Z147" i="907"/>
  <c r="Z148" i="907"/>
  <c r="Z149" i="907"/>
  <c r="Z150" i="907"/>
  <c r="Z151" i="907"/>
  <c r="Z152" i="907"/>
  <c r="Z153" i="907"/>
  <c r="Z154" i="907"/>
  <c r="Z155" i="907"/>
  <c r="Z156" i="907"/>
  <c r="Z157" i="907"/>
  <c r="Z158" i="907"/>
  <c r="Z159" i="907"/>
  <c r="Z160" i="907"/>
  <c r="Z161" i="907"/>
  <c r="Z162" i="907"/>
  <c r="Z163" i="907"/>
  <c r="Z164" i="907"/>
  <c r="Z165" i="907"/>
  <c r="Z166" i="907"/>
  <c r="Z167" i="907"/>
  <c r="Z168" i="907"/>
  <c r="Z169" i="907"/>
  <c r="Z170" i="907"/>
  <c r="Z171" i="907"/>
  <c r="Z172" i="907"/>
  <c r="Z173" i="907"/>
  <c r="Z174" i="907"/>
  <c r="Z175" i="907"/>
  <c r="Z176" i="907"/>
  <c r="Z177" i="907"/>
  <c r="Z178" i="907"/>
  <c r="Z179" i="907"/>
  <c r="Z180" i="907"/>
  <c r="Z181" i="907"/>
  <c r="Z182" i="907"/>
  <c r="Z183" i="907"/>
  <c r="Z184" i="907"/>
  <c r="Z185" i="907"/>
  <c r="Z186" i="907"/>
  <c r="Z187" i="907"/>
  <c r="Z188" i="907"/>
  <c r="Z189" i="907"/>
  <c r="Z190" i="907"/>
  <c r="Z191" i="907"/>
  <c r="Z192" i="907"/>
  <c r="Z193" i="907"/>
  <c r="Z194" i="907"/>
  <c r="Z195" i="907"/>
  <c r="Z196" i="907"/>
  <c r="Z197" i="907"/>
  <c r="Z198" i="907"/>
  <c r="Z199" i="907"/>
  <c r="Z200" i="907"/>
  <c r="Z201" i="907"/>
  <c r="Z202" i="907"/>
  <c r="Z203" i="907"/>
  <c r="Z204" i="907"/>
  <c r="Z205" i="907"/>
  <c r="Z206" i="907"/>
  <c r="Z207" i="907"/>
  <c r="Z208" i="907"/>
  <c r="Z209" i="907"/>
  <c r="Z210" i="907"/>
  <c r="Z211" i="907"/>
  <c r="Z212" i="907"/>
  <c r="Z213" i="907"/>
  <c r="Z214" i="907"/>
  <c r="Z215" i="907"/>
  <c r="Z216" i="907"/>
  <c r="Z217" i="907"/>
  <c r="Z218" i="907"/>
  <c r="Z219" i="907"/>
  <c r="Z220" i="907"/>
  <c r="Z221" i="907"/>
  <c r="Z222" i="907"/>
  <c r="Z223" i="907"/>
  <c r="Z224" i="907"/>
  <c r="Z225" i="907"/>
  <c r="Z226" i="907"/>
  <c r="Z227" i="907"/>
  <c r="Z228" i="907"/>
  <c r="Z229" i="907"/>
  <c r="Z230" i="907"/>
  <c r="Z231" i="907"/>
  <c r="Z232" i="907"/>
  <c r="Z233" i="907"/>
  <c r="Z234" i="907"/>
  <c r="Z235" i="907"/>
  <c r="Z236" i="907"/>
  <c r="Z237" i="907"/>
  <c r="Z238" i="907"/>
  <c r="Z239" i="907"/>
  <c r="Z240" i="907"/>
  <c r="Z241" i="907"/>
  <c r="Z242" i="907"/>
  <c r="Z243" i="907"/>
  <c r="Z244" i="907"/>
  <c r="Z245" i="907"/>
  <c r="Z246" i="907"/>
  <c r="Z247" i="907"/>
  <c r="Z248" i="907"/>
  <c r="Z249" i="907"/>
  <c r="Z250" i="907"/>
  <c r="Z251" i="907"/>
  <c r="Z252" i="907"/>
  <c r="Z253" i="907"/>
  <c r="Z254" i="907"/>
  <c r="Z255" i="907"/>
  <c r="Z256" i="907"/>
  <c r="Z257" i="907"/>
  <c r="Z258" i="907"/>
  <c r="Z259" i="907"/>
  <c r="Z260" i="907"/>
  <c r="Z261" i="907"/>
  <c r="Z262" i="907"/>
  <c r="Z263" i="907"/>
  <c r="Z264" i="907"/>
  <c r="Z265" i="907"/>
  <c r="Z266" i="907"/>
  <c r="Z267" i="907"/>
  <c r="Z268" i="907"/>
  <c r="Z269" i="907"/>
  <c r="Z270" i="907"/>
  <c r="Z271" i="907"/>
  <c r="Z272" i="907"/>
  <c r="Z273" i="907"/>
  <c r="Z274" i="907"/>
  <c r="Z275" i="907"/>
  <c r="Z276" i="907"/>
  <c r="Z277" i="907"/>
  <c r="Z278" i="907"/>
  <c r="Z279" i="907"/>
  <c r="Z280" i="907"/>
  <c r="Z281" i="907"/>
  <c r="Z282" i="907"/>
  <c r="Z283" i="907"/>
  <c r="Z284" i="907"/>
  <c r="Z285" i="907"/>
  <c r="Z286" i="907"/>
  <c r="Z287" i="907"/>
  <c r="Z288" i="907"/>
  <c r="Z289" i="907"/>
  <c r="Z290" i="907"/>
  <c r="Z291" i="907"/>
  <c r="Z292" i="907"/>
  <c r="Z293" i="907"/>
  <c r="Z294" i="907"/>
  <c r="Z295" i="907"/>
  <c r="Z296" i="907"/>
  <c r="Z297" i="907"/>
  <c r="Z298" i="907"/>
  <c r="Z299" i="907"/>
  <c r="Z300" i="907"/>
  <c r="Z301" i="907"/>
  <c r="Z302" i="907"/>
  <c r="Z303" i="907"/>
  <c r="Z304" i="907"/>
  <c r="Z305" i="907"/>
  <c r="Z306" i="907"/>
  <c r="Z307" i="907"/>
  <c r="Z308" i="907"/>
  <c r="Z309" i="907"/>
  <c r="Z310" i="907"/>
  <c r="Z311" i="907"/>
  <c r="Z312" i="907"/>
  <c r="Z313" i="907"/>
  <c r="Z314" i="907"/>
  <c r="Z315" i="907"/>
  <c r="Z316" i="907"/>
  <c r="Z317" i="907"/>
  <c r="Z318" i="907"/>
  <c r="Z319" i="907"/>
  <c r="Z320" i="907"/>
  <c r="Z321" i="907"/>
  <c r="Z322" i="907"/>
  <c r="Z323" i="907"/>
  <c r="Z324" i="907"/>
  <c r="Z325" i="907"/>
  <c r="Z326" i="907"/>
  <c r="Z327" i="907"/>
  <c r="Z328" i="907"/>
  <c r="Z329" i="907"/>
  <c r="Z330" i="907"/>
  <c r="Z331" i="907"/>
  <c r="Z332" i="907"/>
  <c r="Z333" i="907"/>
  <c r="Z334" i="907"/>
  <c r="Z335" i="907"/>
  <c r="Z336" i="907"/>
  <c r="Z337" i="907"/>
  <c r="Z338" i="907"/>
  <c r="Z339" i="907"/>
  <c r="Z340" i="907"/>
  <c r="Z341" i="907"/>
  <c r="Z342" i="907"/>
  <c r="Z343" i="907"/>
  <c r="Z344" i="907"/>
  <c r="Z345" i="907"/>
  <c r="Z346" i="907"/>
  <c r="Z347" i="907"/>
  <c r="Z348" i="907"/>
  <c r="Z349" i="907"/>
  <c r="Z350" i="907"/>
  <c r="Z351" i="907"/>
  <c r="Z352" i="907"/>
  <c r="Z353" i="907"/>
  <c r="Z354" i="907"/>
  <c r="Z355" i="907"/>
  <c r="Z356" i="907"/>
  <c r="Z357" i="907"/>
  <c r="Z358" i="907"/>
  <c r="Z359" i="907"/>
  <c r="Z360" i="907"/>
  <c r="Z361" i="907"/>
  <c r="Z362" i="907"/>
  <c r="Z363" i="907"/>
  <c r="Z364" i="907"/>
  <c r="Z365" i="907"/>
  <c r="Z366" i="907"/>
  <c r="Z367" i="907"/>
  <c r="Z368" i="907"/>
  <c r="Z369" i="907"/>
  <c r="Z370" i="907"/>
  <c r="Z371" i="907"/>
  <c r="Z372" i="907"/>
  <c r="Z373" i="907"/>
  <c r="Z374" i="907"/>
  <c r="Z375" i="907"/>
  <c r="Z376" i="907"/>
  <c r="Z377" i="907"/>
  <c r="Z378" i="907"/>
  <c r="Z379" i="907"/>
  <c r="Z380" i="907"/>
  <c r="Z381" i="907"/>
  <c r="Z382" i="907"/>
  <c r="Z383" i="907"/>
  <c r="Z384" i="907"/>
  <c r="Z385" i="907"/>
  <c r="Z386" i="907"/>
  <c r="Z387" i="907"/>
  <c r="Z388" i="907"/>
  <c r="Z389" i="907"/>
  <c r="Z390" i="907"/>
  <c r="Z391" i="907"/>
  <c r="Z392" i="907"/>
  <c r="Z393" i="907"/>
  <c r="Z394" i="907"/>
  <c r="Z395" i="907"/>
  <c r="Z396" i="907"/>
  <c r="Z397" i="907"/>
  <c r="Z398" i="907"/>
  <c r="Z399" i="907"/>
  <c r="Z400" i="907"/>
  <c r="Z401" i="907"/>
  <c r="Z402" i="907"/>
  <c r="Z403" i="907"/>
  <c r="Z404" i="907"/>
  <c r="Z405" i="907"/>
  <c r="Z406" i="907"/>
  <c r="Z407" i="907"/>
  <c r="Z408" i="907"/>
  <c r="Z409" i="907"/>
  <c r="Z410" i="907"/>
  <c r="Z411" i="907"/>
  <c r="Z412" i="907"/>
  <c r="Z413" i="907"/>
  <c r="Z414" i="907"/>
  <c r="Z415" i="907"/>
  <c r="Z416" i="907"/>
  <c r="Z417" i="907"/>
  <c r="Z418" i="907"/>
  <c r="Z419" i="907"/>
  <c r="Z420" i="907"/>
  <c r="Z421" i="907"/>
  <c r="Z422" i="907"/>
  <c r="Z423" i="907"/>
  <c r="Z424" i="907"/>
  <c r="Z425" i="907"/>
  <c r="Z426" i="907"/>
  <c r="Z427" i="907"/>
  <c r="Z428" i="907"/>
  <c r="Z429" i="907"/>
  <c r="Z430" i="907"/>
  <c r="Z431" i="907"/>
  <c r="Z432" i="907"/>
  <c r="Z433" i="907"/>
  <c r="Z434" i="907"/>
  <c r="Z435" i="907"/>
  <c r="Z436" i="907"/>
  <c r="Z437" i="907"/>
  <c r="Z438" i="907"/>
  <c r="Z439" i="907"/>
  <c r="Z440" i="907"/>
  <c r="Z441" i="907"/>
  <c r="Z442" i="907"/>
  <c r="Z443" i="907"/>
  <c r="Z444" i="907"/>
  <c r="Z445" i="907"/>
  <c r="Z446" i="907"/>
  <c r="Z447" i="907"/>
  <c r="Z448" i="907"/>
  <c r="Z449" i="907"/>
  <c r="Z450" i="907"/>
  <c r="Z451" i="907"/>
  <c r="Z452" i="907"/>
  <c r="Z453" i="907"/>
  <c r="Z454" i="907"/>
  <c r="Z455" i="907"/>
  <c r="Z456" i="907"/>
  <c r="Z457" i="907"/>
  <c r="Z458" i="907"/>
  <c r="Z459" i="907"/>
  <c r="Z460" i="907"/>
  <c r="Z461" i="907"/>
  <c r="Z462" i="907"/>
  <c r="Z463" i="907"/>
  <c r="Z464" i="907"/>
  <c r="Z465" i="907"/>
  <c r="Z466" i="907"/>
  <c r="Z467" i="907"/>
  <c r="Z468" i="907"/>
  <c r="Z469" i="907"/>
  <c r="Z470" i="907"/>
  <c r="Z471" i="907"/>
  <c r="Z472" i="907"/>
  <c r="Z473" i="907"/>
  <c r="Z474" i="907"/>
  <c r="Z475" i="907"/>
  <c r="Z476" i="907"/>
  <c r="Z477" i="907"/>
  <c r="Z478" i="907"/>
  <c r="Z479" i="907"/>
  <c r="Z480" i="907"/>
  <c r="Z481" i="907"/>
  <c r="Z482" i="907"/>
  <c r="Z483" i="907"/>
  <c r="Z484" i="907"/>
  <c r="Z485" i="907"/>
  <c r="Z486" i="907"/>
  <c r="Z487" i="907"/>
  <c r="Z488" i="907"/>
  <c r="Z489" i="907"/>
  <c r="Z490" i="907"/>
  <c r="Z491" i="907"/>
  <c r="Z492" i="907"/>
  <c r="Z493" i="907"/>
  <c r="Z494" i="907"/>
  <c r="Z495" i="907"/>
  <c r="Z496" i="907"/>
  <c r="Z497" i="907"/>
  <c r="Z498" i="907"/>
  <c r="Z499" i="907"/>
  <c r="Z500" i="907"/>
  <c r="Z501" i="907"/>
  <c r="Z502" i="907"/>
  <c r="Z503" i="907"/>
  <c r="Z504" i="907"/>
  <c r="Z505" i="907"/>
  <c r="Z506" i="907"/>
  <c r="Z507" i="907"/>
  <c r="Z508" i="907"/>
  <c r="Z509" i="907"/>
  <c r="Z510" i="907"/>
  <c r="Z511" i="907"/>
  <c r="Z512" i="907"/>
  <c r="Z513" i="907"/>
  <c r="Z514" i="907"/>
  <c r="Z515" i="907"/>
  <c r="Z516" i="907"/>
  <c r="Z517" i="907"/>
  <c r="Z518" i="907"/>
  <c r="Z519" i="907"/>
  <c r="Z520" i="907"/>
  <c r="Z521" i="907"/>
  <c r="Z522" i="907"/>
  <c r="Z523" i="907"/>
  <c r="Z524" i="907"/>
  <c r="Z525" i="907"/>
  <c r="Z526" i="907"/>
  <c r="Z527" i="907"/>
  <c r="Z528" i="907"/>
  <c r="Z529" i="907"/>
  <c r="Z530" i="907"/>
  <c r="Z531" i="907"/>
  <c r="Z532" i="907"/>
  <c r="Z533" i="907"/>
  <c r="Z534" i="907"/>
  <c r="Z535" i="907"/>
  <c r="Z536" i="907"/>
  <c r="Z537" i="907"/>
  <c r="Z538" i="907"/>
  <c r="Z539" i="907"/>
  <c r="Z540" i="907"/>
  <c r="Z541" i="907"/>
  <c r="Z542" i="907"/>
  <c r="Z543" i="907"/>
  <c r="Z544" i="907"/>
  <c r="Z545" i="907"/>
  <c r="Z546" i="907"/>
  <c r="Z547" i="907"/>
  <c r="Z548" i="907"/>
  <c r="Z549" i="907"/>
  <c r="Z550" i="907"/>
  <c r="Z551" i="907"/>
  <c r="Z552" i="907"/>
  <c r="Z553" i="907"/>
  <c r="Z554" i="907"/>
  <c r="Z555" i="907"/>
  <c r="Z556" i="907"/>
  <c r="Z557" i="907"/>
  <c r="Z558" i="907"/>
  <c r="Z559" i="907"/>
  <c r="Z560" i="907"/>
  <c r="Z561" i="907"/>
  <c r="Z562" i="907"/>
  <c r="Z563" i="907"/>
  <c r="Z564" i="907"/>
  <c r="Z565" i="907"/>
  <c r="Z566" i="907"/>
  <c r="Z567" i="907"/>
  <c r="Z568" i="907"/>
  <c r="Z569" i="907"/>
  <c r="Z570" i="907"/>
  <c r="Z571" i="907"/>
  <c r="Z572" i="907"/>
  <c r="Z573" i="907"/>
  <c r="Z574" i="907"/>
  <c r="Z575" i="907"/>
  <c r="Z576" i="907"/>
  <c r="Z577" i="907"/>
  <c r="Z578" i="907"/>
  <c r="Z579" i="907"/>
  <c r="Z580" i="907"/>
  <c r="Z581" i="907"/>
  <c r="Z582" i="907"/>
  <c r="Z583" i="907"/>
  <c r="Z584" i="907"/>
  <c r="Z585" i="907"/>
  <c r="Z586" i="907"/>
  <c r="Z587" i="907"/>
  <c r="Z588" i="907"/>
  <c r="Z589" i="907"/>
  <c r="Z590" i="907"/>
  <c r="Z591" i="907"/>
  <c r="Z592" i="907"/>
  <c r="Z593" i="907"/>
  <c r="Z594" i="907"/>
  <c r="Z595" i="907"/>
  <c r="Z596" i="907"/>
  <c r="Z597" i="907"/>
  <c r="Z598" i="907"/>
  <c r="Z599" i="907"/>
  <c r="Z600" i="907"/>
  <c r="Z601" i="907"/>
  <c r="Z602" i="907"/>
  <c r="Z603" i="907"/>
  <c r="Z604" i="907"/>
  <c r="Z605" i="907"/>
  <c r="Z606" i="907"/>
  <c r="Z607" i="907"/>
  <c r="Z608" i="907"/>
  <c r="Z609" i="907"/>
  <c r="Z610" i="907"/>
  <c r="Z611" i="907"/>
  <c r="Z612" i="907"/>
  <c r="Z613" i="907"/>
  <c r="Z614" i="907"/>
  <c r="Z615" i="907"/>
  <c r="Z616" i="907"/>
  <c r="Z617" i="907"/>
  <c r="Z618" i="907"/>
  <c r="Z619" i="907"/>
  <c r="Z620" i="907"/>
  <c r="Z621" i="907"/>
  <c r="Z622" i="907"/>
  <c r="Z623" i="907"/>
  <c r="Z624" i="907"/>
  <c r="Z625" i="907"/>
  <c r="Z626" i="907"/>
  <c r="Z627" i="907"/>
  <c r="Z628" i="907"/>
  <c r="Z629" i="907"/>
  <c r="Z630" i="907"/>
  <c r="Z631" i="907"/>
  <c r="Z632" i="907"/>
  <c r="Z633" i="907"/>
  <c r="Z634" i="907"/>
  <c r="Z635" i="907"/>
  <c r="Z636" i="907"/>
  <c r="Y3" i="907"/>
  <c r="Y4" i="907"/>
  <c r="Y5" i="907"/>
  <c r="Y6" i="907"/>
  <c r="Y7" i="907"/>
  <c r="Y8" i="907"/>
  <c r="Y9" i="907"/>
  <c r="Y10" i="907"/>
  <c r="Y11" i="907"/>
  <c r="Y12" i="907"/>
  <c r="Y13" i="907"/>
  <c r="Y14" i="907"/>
  <c r="Y15" i="907"/>
  <c r="Y16" i="907"/>
  <c r="Y17" i="907"/>
  <c r="Y18" i="907"/>
  <c r="Y19" i="907"/>
  <c r="Y20" i="907"/>
  <c r="Y21" i="907"/>
  <c r="Y22" i="907"/>
  <c r="Y23" i="907"/>
  <c r="Y24" i="907"/>
  <c r="Y25" i="907"/>
  <c r="Y26" i="907"/>
  <c r="Y27" i="907"/>
  <c r="Y28" i="907"/>
  <c r="Y29" i="907"/>
  <c r="Y30" i="907"/>
  <c r="Y31" i="907"/>
  <c r="Y32" i="907"/>
  <c r="Y33" i="907"/>
  <c r="Y34" i="907"/>
  <c r="Y35" i="907"/>
  <c r="Y36" i="907"/>
  <c r="Y37" i="907"/>
  <c r="Y38" i="907"/>
  <c r="Y39" i="907"/>
  <c r="Y40" i="907"/>
  <c r="Y41" i="907"/>
  <c r="Y42" i="907"/>
  <c r="Y43" i="907"/>
  <c r="Y44" i="907"/>
  <c r="Y45" i="907"/>
  <c r="Y46" i="907"/>
  <c r="Y47" i="907"/>
  <c r="Y48" i="907"/>
  <c r="Y49" i="907"/>
  <c r="Y50" i="907"/>
  <c r="Y51" i="907"/>
  <c r="Y52" i="907"/>
  <c r="Y53" i="907"/>
  <c r="Y54" i="907"/>
  <c r="Y55" i="907"/>
  <c r="Y56" i="907"/>
  <c r="Y57" i="907"/>
  <c r="Y58" i="907"/>
  <c r="Y59" i="907"/>
  <c r="Y60" i="907"/>
  <c r="Y61" i="907"/>
  <c r="Y62" i="907"/>
  <c r="Y63" i="907"/>
  <c r="Y64" i="907"/>
  <c r="Y65" i="907"/>
  <c r="Y66" i="907"/>
  <c r="Y67" i="907"/>
  <c r="Y68" i="907"/>
  <c r="Y69" i="907"/>
  <c r="Y70" i="907"/>
  <c r="Y71" i="907"/>
  <c r="Y72" i="907"/>
  <c r="Y73" i="907"/>
  <c r="Y74" i="907"/>
  <c r="Y75" i="907"/>
  <c r="Y76" i="907"/>
  <c r="Y77" i="907"/>
  <c r="Y78" i="907"/>
  <c r="Y79" i="907"/>
  <c r="Y80" i="907"/>
  <c r="Y81" i="907"/>
  <c r="Y82" i="907"/>
  <c r="Y83" i="907"/>
  <c r="Y84" i="907"/>
  <c r="Y85" i="907"/>
  <c r="Y86" i="907"/>
  <c r="Y87" i="907"/>
  <c r="Y88" i="907"/>
  <c r="Y89" i="907"/>
  <c r="Y90" i="907"/>
  <c r="Y91" i="907"/>
  <c r="Y92" i="907"/>
  <c r="Y93" i="907"/>
  <c r="Y94" i="907"/>
  <c r="Y95" i="907"/>
  <c r="Y96" i="907"/>
  <c r="Y97" i="907"/>
  <c r="Y98" i="907"/>
  <c r="Y99" i="907"/>
  <c r="Y100" i="907"/>
  <c r="Y101" i="907"/>
  <c r="Y102" i="907"/>
  <c r="Y103" i="907"/>
  <c r="Y104" i="907"/>
  <c r="Y105" i="907"/>
  <c r="Y106" i="907"/>
  <c r="Y107" i="907"/>
  <c r="Y108" i="907"/>
  <c r="Y109" i="907"/>
  <c r="Y110" i="907"/>
  <c r="Y111" i="907"/>
  <c r="Y112" i="907"/>
  <c r="Y113" i="907"/>
  <c r="Y114" i="907"/>
  <c r="Y115" i="907"/>
  <c r="Y116" i="907"/>
  <c r="Y117" i="907"/>
  <c r="Y118" i="907"/>
  <c r="Y119" i="907"/>
  <c r="Y120" i="907"/>
  <c r="Y121" i="907"/>
  <c r="Y122" i="907"/>
  <c r="Y123" i="907"/>
  <c r="Y124" i="907"/>
  <c r="Y125" i="907"/>
  <c r="Y126" i="907"/>
  <c r="Y127" i="907"/>
  <c r="Y128" i="907"/>
  <c r="Y129" i="907"/>
  <c r="Y130" i="907"/>
  <c r="Y131" i="907"/>
  <c r="Y132" i="907"/>
  <c r="Y133" i="907"/>
  <c r="Y134" i="907"/>
  <c r="Y135" i="907"/>
  <c r="Y136" i="907"/>
  <c r="Y137" i="907"/>
  <c r="Y138" i="907"/>
  <c r="Y139" i="907"/>
  <c r="Y140" i="907"/>
  <c r="Y141" i="907"/>
  <c r="Y142" i="907"/>
  <c r="Y143" i="907"/>
  <c r="Y144" i="907"/>
  <c r="Y145" i="907"/>
  <c r="Y146" i="907"/>
  <c r="Y147" i="907"/>
  <c r="Y148" i="907"/>
  <c r="Y149" i="907"/>
  <c r="Y150" i="907"/>
  <c r="Y151" i="907"/>
  <c r="Y152" i="907"/>
  <c r="Y153" i="907"/>
  <c r="Y154" i="907"/>
  <c r="Y155" i="907"/>
  <c r="Y156" i="907"/>
  <c r="Y157" i="907"/>
  <c r="Y158" i="907"/>
  <c r="Y159" i="907"/>
  <c r="Y160" i="907"/>
  <c r="Y161" i="907"/>
  <c r="Y162" i="907"/>
  <c r="Y163" i="907"/>
  <c r="Y164" i="907"/>
  <c r="Y165" i="907"/>
  <c r="Y166" i="907"/>
  <c r="Y167" i="907"/>
  <c r="Y168" i="907"/>
  <c r="Y169" i="907"/>
  <c r="Y170" i="907"/>
  <c r="Y171" i="907"/>
  <c r="Y172" i="907"/>
  <c r="Y173" i="907"/>
  <c r="Y174" i="907"/>
  <c r="Y175" i="907"/>
  <c r="Y176" i="907"/>
  <c r="Y177" i="907"/>
  <c r="Y178" i="907"/>
  <c r="Y179" i="907"/>
  <c r="Y180" i="907"/>
  <c r="Y181" i="907"/>
  <c r="Y182" i="907"/>
  <c r="Y183" i="907"/>
  <c r="Y184" i="907"/>
  <c r="Y185" i="907"/>
  <c r="Y186" i="907"/>
  <c r="Y187" i="907"/>
  <c r="Y188" i="907"/>
  <c r="Y189" i="907"/>
  <c r="Y190" i="907"/>
  <c r="Y191" i="907"/>
  <c r="Y192" i="907"/>
  <c r="Y193" i="907"/>
  <c r="Y194" i="907"/>
  <c r="Y195" i="907"/>
  <c r="Y196" i="907"/>
  <c r="Y197" i="907"/>
  <c r="Y198" i="907"/>
  <c r="Y199" i="907"/>
  <c r="Y200" i="907"/>
  <c r="Y201" i="907"/>
  <c r="Y202" i="907"/>
  <c r="Y203" i="907"/>
  <c r="Y204" i="907"/>
  <c r="Y205" i="907"/>
  <c r="Y206" i="907"/>
  <c r="Y207" i="907"/>
  <c r="Y208" i="907"/>
  <c r="Y209" i="907"/>
  <c r="Y210" i="907"/>
  <c r="Y211" i="907"/>
  <c r="Y212" i="907"/>
  <c r="Y213" i="907"/>
  <c r="Y214" i="907"/>
  <c r="Y215" i="907"/>
  <c r="Y216" i="907"/>
  <c r="Y217" i="907"/>
  <c r="Y218" i="907"/>
  <c r="Y219" i="907"/>
  <c r="Y220" i="907"/>
  <c r="Y221" i="907"/>
  <c r="Y222" i="907"/>
  <c r="Y223" i="907"/>
  <c r="Y224" i="907"/>
  <c r="Y225" i="907"/>
  <c r="Y226" i="907"/>
  <c r="Y227" i="907"/>
  <c r="Y228" i="907"/>
  <c r="Y229" i="907"/>
  <c r="Y230" i="907"/>
  <c r="Y231" i="907"/>
  <c r="Y232" i="907"/>
  <c r="Y233" i="907"/>
  <c r="Y234" i="907"/>
  <c r="Y235" i="907"/>
  <c r="Y236" i="907"/>
  <c r="Y237" i="907"/>
  <c r="Y238" i="907"/>
  <c r="Y239" i="907"/>
  <c r="Y240" i="907"/>
  <c r="Y241" i="907"/>
  <c r="Y242" i="907"/>
  <c r="Y243" i="907"/>
  <c r="Y244" i="907"/>
  <c r="Y245" i="907"/>
  <c r="Y246" i="907"/>
  <c r="Y247" i="907"/>
  <c r="Y248" i="907"/>
  <c r="Y249" i="907"/>
  <c r="Y250" i="907"/>
  <c r="Y251" i="907"/>
  <c r="Y252" i="907"/>
  <c r="Y253" i="907"/>
  <c r="Y254" i="907"/>
  <c r="Y255" i="907"/>
  <c r="Y256" i="907"/>
  <c r="Y257" i="907"/>
  <c r="Y258" i="907"/>
  <c r="Y259" i="907"/>
  <c r="Y260" i="907"/>
  <c r="Y261" i="907"/>
  <c r="Y262" i="907"/>
  <c r="Y263" i="907"/>
  <c r="Y264" i="907"/>
  <c r="Y265" i="907"/>
  <c r="Y266" i="907"/>
  <c r="Y267" i="907"/>
  <c r="Y268" i="907"/>
  <c r="Y269" i="907"/>
  <c r="Y270" i="907"/>
  <c r="Y271" i="907"/>
  <c r="Y272" i="907"/>
  <c r="Y273" i="907"/>
  <c r="Y274" i="907"/>
  <c r="Y275" i="907"/>
  <c r="Y276" i="907"/>
  <c r="Y277" i="907"/>
  <c r="Y278" i="907"/>
  <c r="Y279" i="907"/>
  <c r="Y280" i="907"/>
  <c r="Y281" i="907"/>
  <c r="Y282" i="907"/>
  <c r="Y283" i="907"/>
  <c r="Y284" i="907"/>
  <c r="Y285" i="907"/>
  <c r="Y286" i="907"/>
  <c r="Y287" i="907"/>
  <c r="Y288" i="907"/>
  <c r="Y289" i="907"/>
  <c r="Y290" i="907"/>
  <c r="Y291" i="907"/>
  <c r="Y292" i="907"/>
  <c r="Y293" i="907"/>
  <c r="Y294" i="907"/>
  <c r="Y295" i="907"/>
  <c r="Y296" i="907"/>
  <c r="Y297" i="907"/>
  <c r="Y298" i="907"/>
  <c r="Y299" i="907"/>
  <c r="Y300" i="907"/>
  <c r="Y301" i="907"/>
  <c r="Y302" i="907"/>
  <c r="Y303" i="907"/>
  <c r="Y304" i="907"/>
  <c r="Y305" i="907"/>
  <c r="Y306" i="907"/>
  <c r="Y307" i="907"/>
  <c r="Y308" i="907"/>
  <c r="Y309" i="907"/>
  <c r="Y310" i="907"/>
  <c r="Y311" i="907"/>
  <c r="Y312" i="907"/>
  <c r="Y313" i="907"/>
  <c r="Y314" i="907"/>
  <c r="Y315" i="907"/>
  <c r="Y316" i="907"/>
  <c r="Y317" i="907"/>
  <c r="Y318" i="907"/>
  <c r="Y319" i="907"/>
  <c r="Y320" i="907"/>
  <c r="Y321" i="907"/>
  <c r="Y322" i="907"/>
  <c r="Y323" i="907"/>
  <c r="Y324" i="907"/>
  <c r="Y325" i="907"/>
  <c r="Y326" i="907"/>
  <c r="Y327" i="907"/>
  <c r="Y328" i="907"/>
  <c r="Y329" i="907"/>
  <c r="Y330" i="907"/>
  <c r="Y331" i="907"/>
  <c r="Y332" i="907"/>
  <c r="Y333" i="907"/>
  <c r="Y334" i="907"/>
  <c r="Y335" i="907"/>
  <c r="Y336" i="907"/>
  <c r="Y337" i="907"/>
  <c r="Y338" i="907"/>
  <c r="Y339" i="907"/>
  <c r="Y340" i="907"/>
  <c r="Y341" i="907"/>
  <c r="Y342" i="907"/>
  <c r="Y343" i="907"/>
  <c r="Y344" i="907"/>
  <c r="Y345" i="907"/>
  <c r="Y346" i="907"/>
  <c r="Y347" i="907"/>
  <c r="Y348" i="907"/>
  <c r="Y349" i="907"/>
  <c r="Y350" i="907"/>
  <c r="Y351" i="907"/>
  <c r="Y352" i="907"/>
  <c r="Y353" i="907"/>
  <c r="Y354" i="907"/>
  <c r="Y355" i="907"/>
  <c r="Y356" i="907"/>
  <c r="Y357" i="907"/>
  <c r="Y358" i="907"/>
  <c r="Y359" i="907"/>
  <c r="Y360" i="907"/>
  <c r="Y361" i="907"/>
  <c r="Y362" i="907"/>
  <c r="Y363" i="907"/>
  <c r="Y364" i="907"/>
  <c r="Y365" i="907"/>
  <c r="Y366" i="907"/>
  <c r="Y367" i="907"/>
  <c r="Y368" i="907"/>
  <c r="Y369" i="907"/>
  <c r="Y370" i="907"/>
  <c r="Y371" i="907"/>
  <c r="Y372" i="907"/>
  <c r="Y373" i="907"/>
  <c r="Y374" i="907"/>
  <c r="Y375" i="907"/>
  <c r="Y376" i="907"/>
  <c r="Y377" i="907"/>
  <c r="Y378" i="907"/>
  <c r="Y379" i="907"/>
  <c r="Y380" i="907"/>
  <c r="Y381" i="907"/>
  <c r="Y382" i="907"/>
  <c r="Y383" i="907"/>
  <c r="Y384" i="907"/>
  <c r="Y385" i="907"/>
  <c r="Y386" i="907"/>
  <c r="Y387" i="907"/>
  <c r="Y388" i="907"/>
  <c r="Y389" i="907"/>
  <c r="Y390" i="907"/>
  <c r="Y391" i="907"/>
  <c r="Y392" i="907"/>
  <c r="Y393" i="907"/>
  <c r="Y394" i="907"/>
  <c r="Y395" i="907"/>
  <c r="Y396" i="907"/>
  <c r="Y397" i="907"/>
  <c r="Y398" i="907"/>
  <c r="Y399" i="907"/>
  <c r="Y400" i="907"/>
  <c r="Y401" i="907"/>
  <c r="Y402" i="907"/>
  <c r="Y403" i="907"/>
  <c r="Y404" i="907"/>
  <c r="Y405" i="907"/>
  <c r="Y406" i="907"/>
  <c r="Y407" i="907"/>
  <c r="Y408" i="907"/>
  <c r="Y409" i="907"/>
  <c r="Y410" i="907"/>
  <c r="Y411" i="907"/>
  <c r="Y412" i="907"/>
  <c r="Y413" i="907"/>
  <c r="Y414" i="907"/>
  <c r="Y415" i="907"/>
  <c r="Y416" i="907"/>
  <c r="Y417" i="907"/>
  <c r="Y418" i="907"/>
  <c r="Y419" i="907"/>
  <c r="Y420" i="907"/>
  <c r="Y421" i="907"/>
  <c r="Y422" i="907"/>
  <c r="Y423" i="907"/>
  <c r="Y424" i="907"/>
  <c r="Y425" i="907"/>
  <c r="Y426" i="907"/>
  <c r="Y427" i="907"/>
  <c r="Y428" i="907"/>
  <c r="Y429" i="907"/>
  <c r="Y430" i="907"/>
  <c r="Y431" i="907"/>
  <c r="Y432" i="907"/>
  <c r="Y433" i="907"/>
  <c r="Y434" i="907"/>
  <c r="Y435" i="907"/>
  <c r="Y436" i="907"/>
  <c r="Y437" i="907"/>
  <c r="Y438" i="907"/>
  <c r="Y439" i="907"/>
  <c r="Y440" i="907"/>
  <c r="Y441" i="907"/>
  <c r="Y442" i="907"/>
  <c r="Y443" i="907"/>
  <c r="Y444" i="907"/>
  <c r="Y445" i="907"/>
  <c r="Y446" i="907"/>
  <c r="Y447" i="907"/>
  <c r="Y448" i="907"/>
  <c r="Y449" i="907"/>
  <c r="Y450" i="907"/>
  <c r="Y451" i="907"/>
  <c r="Y452" i="907"/>
  <c r="Y453" i="907"/>
  <c r="Y454" i="907"/>
  <c r="Y455" i="907"/>
  <c r="Y456" i="907"/>
  <c r="Y457" i="907"/>
  <c r="Y458" i="907"/>
  <c r="Y459" i="907"/>
  <c r="Y460" i="907"/>
  <c r="Y461" i="907"/>
  <c r="Y462" i="907"/>
  <c r="Y463" i="907"/>
  <c r="Y464" i="907"/>
  <c r="Y465" i="907"/>
  <c r="Y466" i="907"/>
  <c r="Y467" i="907"/>
  <c r="Y468" i="907"/>
  <c r="Y469" i="907"/>
  <c r="Y470" i="907"/>
  <c r="Y471" i="907"/>
  <c r="Y472" i="907"/>
  <c r="Y473" i="907"/>
  <c r="Y474" i="907"/>
  <c r="Y475" i="907"/>
  <c r="Y476" i="907"/>
  <c r="Y477" i="907"/>
  <c r="Y478" i="907"/>
  <c r="Y479" i="907"/>
  <c r="Y480" i="907"/>
  <c r="Y481" i="907"/>
  <c r="Y482" i="907"/>
  <c r="Y483" i="907"/>
  <c r="Y484" i="907"/>
  <c r="Y485" i="907"/>
  <c r="Y486" i="907"/>
  <c r="Y487" i="907"/>
  <c r="Y488" i="907"/>
  <c r="Y489" i="907"/>
  <c r="Y490" i="907"/>
  <c r="Y491" i="907"/>
  <c r="Y492" i="907"/>
  <c r="Y493" i="907"/>
  <c r="Y494" i="907"/>
  <c r="Y495" i="907"/>
  <c r="Y496" i="907"/>
  <c r="Y497" i="907"/>
  <c r="Y498" i="907"/>
  <c r="Y499" i="907"/>
  <c r="Y500" i="907"/>
  <c r="Y501" i="907"/>
  <c r="Y502" i="907"/>
  <c r="Y503" i="907"/>
  <c r="Y504" i="907"/>
  <c r="Y505" i="907"/>
  <c r="Y506" i="907"/>
  <c r="Y507" i="907"/>
  <c r="Y508" i="907"/>
  <c r="Y509" i="907"/>
  <c r="Y510" i="907"/>
  <c r="Y511" i="907"/>
  <c r="Y512" i="907"/>
  <c r="Y513" i="907"/>
  <c r="Y514" i="907"/>
  <c r="Y515" i="907"/>
  <c r="Y516" i="907"/>
  <c r="Y517" i="907"/>
  <c r="Y518" i="907"/>
  <c r="Y519" i="907"/>
  <c r="Y520" i="907"/>
  <c r="Y521" i="907"/>
  <c r="Y522" i="907"/>
  <c r="Y523" i="907"/>
  <c r="Y524" i="907"/>
  <c r="Y525" i="907"/>
  <c r="Y526" i="907"/>
  <c r="Y527" i="907"/>
  <c r="Y528" i="907"/>
  <c r="Y529" i="907"/>
  <c r="Y530" i="907"/>
  <c r="Y531" i="907"/>
  <c r="Y532" i="907"/>
  <c r="Y533" i="907"/>
  <c r="Y534" i="907"/>
  <c r="Y535" i="907"/>
  <c r="Y536" i="907"/>
  <c r="Y537" i="907"/>
  <c r="Y538" i="907"/>
  <c r="Y539" i="907"/>
  <c r="Y540" i="907"/>
  <c r="Y541" i="907"/>
  <c r="Y542" i="907"/>
  <c r="Y543" i="907"/>
  <c r="Y544" i="907"/>
  <c r="Y545" i="907"/>
  <c r="Y546" i="907"/>
  <c r="Y547" i="907"/>
  <c r="Y548" i="907"/>
  <c r="Y549" i="907"/>
  <c r="Y550" i="907"/>
  <c r="Y551" i="907"/>
  <c r="Y552" i="907"/>
  <c r="Y553" i="907"/>
  <c r="Y554" i="907"/>
  <c r="Y555" i="907"/>
  <c r="Y556" i="907"/>
  <c r="Y557" i="907"/>
  <c r="Y558" i="907"/>
  <c r="Y559" i="907"/>
  <c r="Y560" i="907"/>
  <c r="Y561" i="907"/>
  <c r="Y562" i="907"/>
  <c r="Y563" i="907"/>
  <c r="Y564" i="907"/>
  <c r="Y565" i="907"/>
  <c r="Y566" i="907"/>
  <c r="Y567" i="907"/>
  <c r="Y568" i="907"/>
  <c r="Y569" i="907"/>
  <c r="Y570" i="907"/>
  <c r="Y571" i="907"/>
  <c r="Y572" i="907"/>
  <c r="Y573" i="907"/>
  <c r="Y574" i="907"/>
  <c r="Y575" i="907"/>
  <c r="Y576" i="907"/>
  <c r="Y577" i="907"/>
  <c r="Y578" i="907"/>
  <c r="Y579" i="907"/>
  <c r="Y580" i="907"/>
  <c r="Y581" i="907"/>
  <c r="Y582" i="907"/>
  <c r="Y583" i="907"/>
  <c r="Y584" i="907"/>
  <c r="Y585" i="907"/>
  <c r="Y586" i="907"/>
  <c r="Y587" i="907"/>
  <c r="Y588" i="907"/>
  <c r="Y589" i="907"/>
  <c r="Y590" i="907"/>
  <c r="Y591" i="907"/>
  <c r="Y592" i="907"/>
  <c r="Y593" i="907"/>
  <c r="Y594" i="907"/>
  <c r="Y595" i="907"/>
  <c r="Y596" i="907"/>
  <c r="Y597" i="907"/>
  <c r="Y598" i="907"/>
  <c r="Y599" i="907"/>
  <c r="Y600" i="907"/>
  <c r="Y601" i="907"/>
  <c r="Y602" i="907"/>
  <c r="Y603" i="907"/>
  <c r="Y604" i="907"/>
  <c r="Y605" i="907"/>
  <c r="Y606" i="907"/>
  <c r="Y607" i="907"/>
  <c r="Y608" i="907"/>
  <c r="Y609" i="907"/>
  <c r="Y610" i="907"/>
  <c r="Y611" i="907"/>
  <c r="Y612" i="907"/>
  <c r="Y613" i="907"/>
  <c r="Y614" i="907"/>
  <c r="Y615" i="907"/>
  <c r="Y616" i="907"/>
  <c r="Y617" i="907"/>
  <c r="Y618" i="907"/>
  <c r="Y619" i="907"/>
  <c r="Y620" i="907"/>
  <c r="Y621" i="907"/>
  <c r="Y622" i="907"/>
  <c r="Y623" i="907"/>
  <c r="Y624" i="907"/>
  <c r="Y625" i="907"/>
  <c r="Y626" i="907"/>
  <c r="Y627" i="907"/>
  <c r="Y628" i="907"/>
  <c r="Y629" i="907"/>
  <c r="Y630" i="907"/>
  <c r="Y631" i="907"/>
  <c r="Y632" i="907"/>
  <c r="Y633" i="907"/>
  <c r="Y634" i="907"/>
  <c r="Y635" i="907"/>
  <c r="Y636" i="907"/>
  <c r="X3" i="907"/>
  <c r="X4" i="907"/>
  <c r="X5" i="907"/>
  <c r="X6" i="907"/>
  <c r="X7" i="907"/>
  <c r="X8" i="907"/>
  <c r="X9" i="907"/>
  <c r="X10" i="907"/>
  <c r="X11" i="907"/>
  <c r="X12" i="907"/>
  <c r="X13" i="907"/>
  <c r="X14" i="907"/>
  <c r="X15" i="907"/>
  <c r="X16" i="907"/>
  <c r="X17" i="907"/>
  <c r="X18" i="907"/>
  <c r="X19" i="907"/>
  <c r="X20" i="907"/>
  <c r="X21" i="907"/>
  <c r="X22" i="907"/>
  <c r="X23" i="907"/>
  <c r="X24" i="907"/>
  <c r="X25" i="907"/>
  <c r="X26" i="907"/>
  <c r="X27" i="907"/>
  <c r="X28" i="907"/>
  <c r="X29" i="907"/>
  <c r="X30" i="907"/>
  <c r="X31" i="907"/>
  <c r="X32" i="907"/>
  <c r="X33" i="907"/>
  <c r="X34" i="907"/>
  <c r="X35" i="907"/>
  <c r="X36" i="907"/>
  <c r="X37" i="907"/>
  <c r="X38" i="907"/>
  <c r="X39" i="907"/>
  <c r="X40" i="907"/>
  <c r="X41" i="907"/>
  <c r="X42" i="907"/>
  <c r="X43" i="907"/>
  <c r="X44" i="907"/>
  <c r="X45" i="907"/>
  <c r="X46" i="907"/>
  <c r="X47" i="907"/>
  <c r="X48" i="907"/>
  <c r="X49" i="907"/>
  <c r="X50" i="907"/>
  <c r="X51" i="907"/>
  <c r="X52" i="907"/>
  <c r="X53" i="907"/>
  <c r="X54" i="907"/>
  <c r="X55" i="907"/>
  <c r="X56" i="907"/>
  <c r="X57" i="907"/>
  <c r="X58" i="907"/>
  <c r="X59" i="907"/>
  <c r="X60" i="907"/>
  <c r="X61" i="907"/>
  <c r="X62" i="907"/>
  <c r="X63" i="907"/>
  <c r="X64" i="907"/>
  <c r="X65" i="907"/>
  <c r="X66" i="907"/>
  <c r="X67" i="907"/>
  <c r="X68" i="907"/>
  <c r="X69" i="907"/>
  <c r="X70" i="907"/>
  <c r="X71" i="907"/>
  <c r="X72" i="907"/>
  <c r="X73" i="907"/>
  <c r="X74" i="907"/>
  <c r="X75" i="907"/>
  <c r="X76" i="907"/>
  <c r="X77" i="907"/>
  <c r="X78" i="907"/>
  <c r="X79" i="907"/>
  <c r="X80" i="907"/>
  <c r="X81" i="907"/>
  <c r="X82" i="907"/>
  <c r="X83" i="907"/>
  <c r="X84" i="907"/>
  <c r="X85" i="907"/>
  <c r="X86" i="907"/>
  <c r="X87" i="907"/>
  <c r="X88" i="907"/>
  <c r="X89" i="907"/>
  <c r="X90" i="907"/>
  <c r="X91" i="907"/>
  <c r="X92" i="907"/>
  <c r="X93" i="907"/>
  <c r="X94" i="907"/>
  <c r="X95" i="907"/>
  <c r="X96" i="907"/>
  <c r="X97" i="907"/>
  <c r="X98" i="907"/>
  <c r="X99" i="907"/>
  <c r="X100" i="907"/>
  <c r="X101" i="907"/>
  <c r="X102" i="907"/>
  <c r="X103" i="907"/>
  <c r="X104" i="907"/>
  <c r="X105" i="907"/>
  <c r="X106" i="907"/>
  <c r="X107" i="907"/>
  <c r="X108" i="907"/>
  <c r="X109" i="907"/>
  <c r="X110" i="907"/>
  <c r="X111" i="907"/>
  <c r="X112" i="907"/>
  <c r="X113" i="907"/>
  <c r="X114" i="907"/>
  <c r="X115" i="907"/>
  <c r="X116" i="907"/>
  <c r="X117" i="907"/>
  <c r="X118" i="907"/>
  <c r="X119" i="907"/>
  <c r="X120" i="907"/>
  <c r="X121" i="907"/>
  <c r="X122" i="907"/>
  <c r="X123" i="907"/>
  <c r="X124" i="907"/>
  <c r="X125" i="907"/>
  <c r="X126" i="907"/>
  <c r="X127" i="907"/>
  <c r="X128" i="907"/>
  <c r="X129" i="907"/>
  <c r="X130" i="907"/>
  <c r="X131" i="907"/>
  <c r="X132" i="907"/>
  <c r="X133" i="907"/>
  <c r="X134" i="907"/>
  <c r="X135" i="907"/>
  <c r="X136" i="907"/>
  <c r="X137" i="907"/>
  <c r="X138" i="907"/>
  <c r="X139" i="907"/>
  <c r="X140" i="907"/>
  <c r="X141" i="907"/>
  <c r="X142" i="907"/>
  <c r="X143" i="907"/>
  <c r="X144" i="907"/>
  <c r="X145" i="907"/>
  <c r="X146" i="907"/>
  <c r="X147" i="907"/>
  <c r="X148" i="907"/>
  <c r="X149" i="907"/>
  <c r="X150" i="907"/>
  <c r="X151" i="907"/>
  <c r="X152" i="907"/>
  <c r="X153" i="907"/>
  <c r="X154" i="907"/>
  <c r="X155" i="907"/>
  <c r="X156" i="907"/>
  <c r="X157" i="907"/>
  <c r="X158" i="907"/>
  <c r="X159" i="907"/>
  <c r="X160" i="907"/>
  <c r="X161" i="907"/>
  <c r="X162" i="907"/>
  <c r="X163" i="907"/>
  <c r="X164" i="907"/>
  <c r="X165" i="907"/>
  <c r="X166" i="907"/>
  <c r="X167" i="907"/>
  <c r="X168" i="907"/>
  <c r="X169" i="907"/>
  <c r="X170" i="907"/>
  <c r="X171" i="907"/>
  <c r="X172" i="907"/>
  <c r="X173" i="907"/>
  <c r="X174" i="907"/>
  <c r="X175" i="907"/>
  <c r="X176" i="907"/>
  <c r="X177" i="907"/>
  <c r="X178" i="907"/>
  <c r="X179" i="907"/>
  <c r="X180" i="907"/>
  <c r="X181" i="907"/>
  <c r="X182" i="907"/>
  <c r="X183" i="907"/>
  <c r="X184" i="907"/>
  <c r="X185" i="907"/>
  <c r="X186" i="907"/>
  <c r="X187" i="907"/>
  <c r="X188" i="907"/>
  <c r="X189" i="907"/>
  <c r="X190" i="907"/>
  <c r="X191" i="907"/>
  <c r="X192" i="907"/>
  <c r="X193" i="907"/>
  <c r="X194" i="907"/>
  <c r="X195" i="907"/>
  <c r="X196" i="907"/>
  <c r="X197" i="907"/>
  <c r="X198" i="907"/>
  <c r="X199" i="907"/>
  <c r="X200" i="907"/>
  <c r="X201" i="907"/>
  <c r="X202" i="907"/>
  <c r="X203" i="907"/>
  <c r="X204" i="907"/>
  <c r="X205" i="907"/>
  <c r="X206" i="907"/>
  <c r="X207" i="907"/>
  <c r="X208" i="907"/>
  <c r="X209" i="907"/>
  <c r="X210" i="907"/>
  <c r="X211" i="907"/>
  <c r="X212" i="907"/>
  <c r="X213" i="907"/>
  <c r="X214" i="907"/>
  <c r="X215" i="907"/>
  <c r="X216" i="907"/>
  <c r="X217" i="907"/>
  <c r="X218" i="907"/>
  <c r="X219" i="907"/>
  <c r="X220" i="907"/>
  <c r="X221" i="907"/>
  <c r="X222" i="907"/>
  <c r="X223" i="907"/>
  <c r="X224" i="907"/>
  <c r="X225" i="907"/>
  <c r="X226" i="907"/>
  <c r="X227" i="907"/>
  <c r="X228" i="907"/>
  <c r="X229" i="907"/>
  <c r="X230" i="907"/>
  <c r="X231" i="907"/>
  <c r="X232" i="907"/>
  <c r="X233" i="907"/>
  <c r="X234" i="907"/>
  <c r="X235" i="907"/>
  <c r="X236" i="907"/>
  <c r="X237" i="907"/>
  <c r="X238" i="907"/>
  <c r="X239" i="907"/>
  <c r="X240" i="907"/>
  <c r="X241" i="907"/>
  <c r="X242" i="907"/>
  <c r="X243" i="907"/>
  <c r="X244" i="907"/>
  <c r="X245" i="907"/>
  <c r="X246" i="907"/>
  <c r="X247" i="907"/>
  <c r="X248" i="907"/>
  <c r="X249" i="907"/>
  <c r="X250" i="907"/>
  <c r="X251" i="907"/>
  <c r="X252" i="907"/>
  <c r="X253" i="907"/>
  <c r="X254" i="907"/>
  <c r="X255" i="907"/>
  <c r="X256" i="907"/>
  <c r="X257" i="907"/>
  <c r="X258" i="907"/>
  <c r="X259" i="907"/>
  <c r="X260" i="907"/>
  <c r="X261" i="907"/>
  <c r="X262" i="907"/>
  <c r="X263" i="907"/>
  <c r="X264" i="907"/>
  <c r="X265" i="907"/>
  <c r="X266" i="907"/>
  <c r="X267" i="907"/>
  <c r="X268" i="907"/>
  <c r="X269" i="907"/>
  <c r="X270" i="907"/>
  <c r="X271" i="907"/>
  <c r="X272" i="907"/>
  <c r="X273" i="907"/>
  <c r="X274" i="907"/>
  <c r="X275" i="907"/>
  <c r="X276" i="907"/>
  <c r="X277" i="907"/>
  <c r="X278" i="907"/>
  <c r="X279" i="907"/>
  <c r="X280" i="907"/>
  <c r="X281" i="907"/>
  <c r="X282" i="907"/>
  <c r="X283" i="907"/>
  <c r="X284" i="907"/>
  <c r="X285" i="907"/>
  <c r="X286" i="907"/>
  <c r="X287" i="907"/>
  <c r="X288" i="907"/>
  <c r="X289" i="907"/>
  <c r="X290" i="907"/>
  <c r="X291" i="907"/>
  <c r="X292" i="907"/>
  <c r="X293" i="907"/>
  <c r="X294" i="907"/>
  <c r="X295" i="907"/>
  <c r="X296" i="907"/>
  <c r="X297" i="907"/>
  <c r="X298" i="907"/>
  <c r="X299" i="907"/>
  <c r="X300" i="907"/>
  <c r="X301" i="907"/>
  <c r="X302" i="907"/>
  <c r="X303" i="907"/>
  <c r="X304" i="907"/>
  <c r="X305" i="907"/>
  <c r="X306" i="907"/>
  <c r="X307" i="907"/>
  <c r="X308" i="907"/>
  <c r="X309" i="907"/>
  <c r="X310" i="907"/>
  <c r="X311" i="907"/>
  <c r="X312" i="907"/>
  <c r="X313" i="907"/>
  <c r="X314" i="907"/>
  <c r="X315" i="907"/>
  <c r="X316" i="907"/>
  <c r="X317" i="907"/>
  <c r="X318" i="907"/>
  <c r="X319" i="907"/>
  <c r="X320" i="907"/>
  <c r="X321" i="907"/>
  <c r="X322" i="907"/>
  <c r="X323" i="907"/>
  <c r="X324" i="907"/>
  <c r="X325" i="907"/>
  <c r="X326" i="907"/>
  <c r="X327" i="907"/>
  <c r="X328" i="907"/>
  <c r="X329" i="907"/>
  <c r="X330" i="907"/>
  <c r="X331" i="907"/>
  <c r="X332" i="907"/>
  <c r="X333" i="907"/>
  <c r="X334" i="907"/>
  <c r="X335" i="907"/>
  <c r="X336" i="907"/>
  <c r="X337" i="907"/>
  <c r="X338" i="907"/>
  <c r="X339" i="907"/>
  <c r="X340" i="907"/>
  <c r="X341" i="907"/>
  <c r="X342" i="907"/>
  <c r="X343" i="907"/>
  <c r="X344" i="907"/>
  <c r="X345" i="907"/>
  <c r="X346" i="907"/>
  <c r="X347" i="907"/>
  <c r="X348" i="907"/>
  <c r="X349" i="907"/>
  <c r="X350" i="907"/>
  <c r="X351" i="907"/>
  <c r="X352" i="907"/>
  <c r="X353" i="907"/>
  <c r="X354" i="907"/>
  <c r="X355" i="907"/>
  <c r="X356" i="907"/>
  <c r="X357" i="907"/>
  <c r="X358" i="907"/>
  <c r="X359" i="907"/>
  <c r="X360" i="907"/>
  <c r="X361" i="907"/>
  <c r="X362" i="907"/>
  <c r="X363" i="907"/>
  <c r="X364" i="907"/>
  <c r="X365" i="907"/>
  <c r="X366" i="907"/>
  <c r="X367" i="907"/>
  <c r="X368" i="907"/>
  <c r="X369" i="907"/>
  <c r="X370" i="907"/>
  <c r="X371" i="907"/>
  <c r="X372" i="907"/>
  <c r="X373" i="907"/>
  <c r="X374" i="907"/>
  <c r="X375" i="907"/>
  <c r="X376" i="907"/>
  <c r="X377" i="907"/>
  <c r="X378" i="907"/>
  <c r="X379" i="907"/>
  <c r="X380" i="907"/>
  <c r="X381" i="907"/>
  <c r="X382" i="907"/>
  <c r="X383" i="907"/>
  <c r="X384" i="907"/>
  <c r="X385" i="907"/>
  <c r="X386" i="907"/>
  <c r="X387" i="907"/>
  <c r="X388" i="907"/>
  <c r="X389" i="907"/>
  <c r="X390" i="907"/>
  <c r="X391" i="907"/>
  <c r="X392" i="907"/>
  <c r="X393" i="907"/>
  <c r="X394" i="907"/>
  <c r="X395" i="907"/>
  <c r="X396" i="907"/>
  <c r="X397" i="907"/>
  <c r="X398" i="907"/>
  <c r="X399" i="907"/>
  <c r="X400" i="907"/>
  <c r="X401" i="907"/>
  <c r="X402" i="907"/>
  <c r="X403" i="907"/>
  <c r="X404" i="907"/>
  <c r="X405" i="907"/>
  <c r="X406" i="907"/>
  <c r="X407" i="907"/>
  <c r="X408" i="907"/>
  <c r="X409" i="907"/>
  <c r="X410" i="907"/>
  <c r="X411" i="907"/>
  <c r="X412" i="907"/>
  <c r="X413" i="907"/>
  <c r="X414" i="907"/>
  <c r="X415" i="907"/>
  <c r="X416" i="907"/>
  <c r="X417" i="907"/>
  <c r="X418" i="907"/>
  <c r="X419" i="907"/>
  <c r="X420" i="907"/>
  <c r="X421" i="907"/>
  <c r="X422" i="907"/>
  <c r="X423" i="907"/>
  <c r="X424" i="907"/>
  <c r="X425" i="907"/>
  <c r="X426" i="907"/>
  <c r="X427" i="907"/>
  <c r="X428" i="907"/>
  <c r="X429" i="907"/>
  <c r="X430" i="907"/>
  <c r="X431" i="907"/>
  <c r="X432" i="907"/>
  <c r="X433" i="907"/>
  <c r="X434" i="907"/>
  <c r="X435" i="907"/>
  <c r="X436" i="907"/>
  <c r="X437" i="907"/>
  <c r="X438" i="907"/>
  <c r="X439" i="907"/>
  <c r="X440" i="907"/>
  <c r="X441" i="907"/>
  <c r="X442" i="907"/>
  <c r="X443" i="907"/>
  <c r="X444" i="907"/>
  <c r="X445" i="907"/>
  <c r="X446" i="907"/>
  <c r="X447" i="907"/>
  <c r="X448" i="907"/>
  <c r="X449" i="907"/>
  <c r="X450" i="907"/>
  <c r="X451" i="907"/>
  <c r="X452" i="907"/>
  <c r="X453" i="907"/>
  <c r="X454" i="907"/>
  <c r="X455" i="907"/>
  <c r="X456" i="907"/>
  <c r="X457" i="907"/>
  <c r="X458" i="907"/>
  <c r="X459" i="907"/>
  <c r="X460" i="907"/>
  <c r="X461" i="907"/>
  <c r="X462" i="907"/>
  <c r="X463" i="907"/>
  <c r="X464" i="907"/>
  <c r="X465" i="907"/>
  <c r="X466" i="907"/>
  <c r="X467" i="907"/>
  <c r="X468" i="907"/>
  <c r="X469" i="907"/>
  <c r="X470" i="907"/>
  <c r="X471" i="907"/>
  <c r="X472" i="907"/>
  <c r="X473" i="907"/>
  <c r="X474" i="907"/>
  <c r="X475" i="907"/>
  <c r="X476" i="907"/>
  <c r="X477" i="907"/>
  <c r="X478" i="907"/>
  <c r="X479" i="907"/>
  <c r="X480" i="907"/>
  <c r="X481" i="907"/>
  <c r="X482" i="907"/>
  <c r="X483" i="907"/>
  <c r="X484" i="907"/>
  <c r="X485" i="907"/>
  <c r="X486" i="907"/>
  <c r="X487" i="907"/>
  <c r="X488" i="907"/>
  <c r="X489" i="907"/>
  <c r="X490" i="907"/>
  <c r="X491" i="907"/>
  <c r="X492" i="907"/>
  <c r="X493" i="907"/>
  <c r="X494" i="907"/>
  <c r="X495" i="907"/>
  <c r="X496" i="907"/>
  <c r="X497" i="907"/>
  <c r="X498" i="907"/>
  <c r="X499" i="907"/>
  <c r="X500" i="907"/>
  <c r="X501" i="907"/>
  <c r="X502" i="907"/>
  <c r="X503" i="907"/>
  <c r="X504" i="907"/>
  <c r="X505" i="907"/>
  <c r="X506" i="907"/>
  <c r="X507" i="907"/>
  <c r="X508" i="907"/>
  <c r="X509" i="907"/>
  <c r="X510" i="907"/>
  <c r="X511" i="907"/>
  <c r="X512" i="907"/>
  <c r="X513" i="907"/>
  <c r="X514" i="907"/>
  <c r="X515" i="907"/>
  <c r="X516" i="907"/>
  <c r="X517" i="907"/>
  <c r="X518" i="907"/>
  <c r="X519" i="907"/>
  <c r="X520" i="907"/>
  <c r="X521" i="907"/>
  <c r="X522" i="907"/>
  <c r="X523" i="907"/>
  <c r="X524" i="907"/>
  <c r="X525" i="907"/>
  <c r="X526" i="907"/>
  <c r="X527" i="907"/>
  <c r="X528" i="907"/>
  <c r="X529" i="907"/>
  <c r="X530" i="907"/>
  <c r="X531" i="907"/>
  <c r="X532" i="907"/>
  <c r="X533" i="907"/>
  <c r="X534" i="907"/>
  <c r="X535" i="907"/>
  <c r="X536" i="907"/>
  <c r="X537" i="907"/>
  <c r="X538" i="907"/>
  <c r="X539" i="907"/>
  <c r="X540" i="907"/>
  <c r="X541" i="907"/>
  <c r="X542" i="907"/>
  <c r="X543" i="907"/>
  <c r="X544" i="907"/>
  <c r="X545" i="907"/>
  <c r="X546" i="907"/>
  <c r="X547" i="907"/>
  <c r="X548" i="907"/>
  <c r="X549" i="907"/>
  <c r="X550" i="907"/>
  <c r="X551" i="907"/>
  <c r="X552" i="907"/>
  <c r="X553" i="907"/>
  <c r="X554" i="907"/>
  <c r="X555" i="907"/>
  <c r="X556" i="907"/>
  <c r="X557" i="907"/>
  <c r="X558" i="907"/>
  <c r="X559" i="907"/>
  <c r="X560" i="907"/>
  <c r="X561" i="907"/>
  <c r="X562" i="907"/>
  <c r="X563" i="907"/>
  <c r="X564" i="907"/>
  <c r="X565" i="907"/>
  <c r="X566" i="907"/>
  <c r="X567" i="907"/>
  <c r="X568" i="907"/>
  <c r="X569" i="907"/>
  <c r="X570" i="907"/>
  <c r="X571" i="907"/>
  <c r="X572" i="907"/>
  <c r="X573" i="907"/>
  <c r="X574" i="907"/>
  <c r="X575" i="907"/>
  <c r="X576" i="907"/>
  <c r="X577" i="907"/>
  <c r="X578" i="907"/>
  <c r="X579" i="907"/>
  <c r="X580" i="907"/>
  <c r="X581" i="907"/>
  <c r="X582" i="907"/>
  <c r="X583" i="907"/>
  <c r="X584" i="907"/>
  <c r="X585" i="907"/>
  <c r="X586" i="907"/>
  <c r="X587" i="907"/>
  <c r="X588" i="907"/>
  <c r="X589" i="907"/>
  <c r="X590" i="907"/>
  <c r="X591" i="907"/>
  <c r="X592" i="907"/>
  <c r="X593" i="907"/>
  <c r="X594" i="907"/>
  <c r="X595" i="907"/>
  <c r="X596" i="907"/>
  <c r="X597" i="907"/>
  <c r="X598" i="907"/>
  <c r="X599" i="907"/>
  <c r="X600" i="907"/>
  <c r="X601" i="907"/>
  <c r="X602" i="907"/>
  <c r="X603" i="907"/>
  <c r="X604" i="907"/>
  <c r="X605" i="907"/>
  <c r="X606" i="907"/>
  <c r="X607" i="907"/>
  <c r="X608" i="907"/>
  <c r="X609" i="907"/>
  <c r="X610" i="907"/>
  <c r="X611" i="907"/>
  <c r="X612" i="907"/>
  <c r="X613" i="907"/>
  <c r="X614" i="907"/>
  <c r="X615" i="907"/>
  <c r="X616" i="907"/>
  <c r="X617" i="907"/>
  <c r="X618" i="907"/>
  <c r="X619" i="907"/>
  <c r="X620" i="907"/>
  <c r="X621" i="907"/>
  <c r="X622" i="907"/>
  <c r="X623" i="907"/>
  <c r="X624" i="907"/>
  <c r="X625" i="907"/>
  <c r="X626" i="907"/>
  <c r="X627" i="907"/>
  <c r="X628" i="907"/>
  <c r="X629" i="907"/>
  <c r="X630" i="907"/>
  <c r="X631" i="907"/>
  <c r="X632" i="907"/>
  <c r="X633" i="907"/>
  <c r="X634" i="907"/>
  <c r="X635" i="907"/>
  <c r="X636" i="907"/>
  <c r="W3" i="907"/>
  <c r="W4" i="907"/>
  <c r="W5" i="907"/>
  <c r="W6" i="907"/>
  <c r="W7" i="907"/>
  <c r="W8" i="907"/>
  <c r="W9" i="907"/>
  <c r="W10" i="907"/>
  <c r="W11" i="907"/>
  <c r="W12" i="907"/>
  <c r="W13" i="907"/>
  <c r="W14" i="907"/>
  <c r="W15" i="907"/>
  <c r="W16" i="907"/>
  <c r="W17" i="907"/>
  <c r="W18" i="907"/>
  <c r="W19" i="907"/>
  <c r="W20" i="907"/>
  <c r="W21" i="907"/>
  <c r="W22" i="907"/>
  <c r="W23" i="907"/>
  <c r="W24" i="907"/>
  <c r="W25" i="907"/>
  <c r="W26" i="907"/>
  <c r="W27" i="907"/>
  <c r="W28" i="907"/>
  <c r="W29" i="907"/>
  <c r="W30" i="907"/>
  <c r="W31" i="907"/>
  <c r="W32" i="907"/>
  <c r="W33" i="907"/>
  <c r="W34" i="907"/>
  <c r="W35" i="907"/>
  <c r="W36" i="907"/>
  <c r="W37" i="907"/>
  <c r="W38" i="907"/>
  <c r="W39" i="907"/>
  <c r="W40" i="907"/>
  <c r="W41" i="907"/>
  <c r="W42" i="907"/>
  <c r="W43" i="907"/>
  <c r="W44" i="907"/>
  <c r="W45" i="907"/>
  <c r="W46" i="907"/>
  <c r="W47" i="907"/>
  <c r="W48" i="907"/>
  <c r="W49" i="907"/>
  <c r="W50" i="907"/>
  <c r="W51" i="907"/>
  <c r="W52" i="907"/>
  <c r="W53" i="907"/>
  <c r="W54" i="907"/>
  <c r="W55" i="907"/>
  <c r="W56" i="907"/>
  <c r="W57" i="907"/>
  <c r="W58" i="907"/>
  <c r="W59" i="907"/>
  <c r="W60" i="907"/>
  <c r="W61" i="907"/>
  <c r="W62" i="907"/>
  <c r="W63" i="907"/>
  <c r="W64" i="907"/>
  <c r="W65" i="907"/>
  <c r="W66" i="907"/>
  <c r="W67" i="907"/>
  <c r="W68" i="907"/>
  <c r="W69" i="907"/>
  <c r="W70" i="907"/>
  <c r="W71" i="907"/>
  <c r="W72" i="907"/>
  <c r="W73" i="907"/>
  <c r="W74" i="907"/>
  <c r="W75" i="907"/>
  <c r="W76" i="907"/>
  <c r="W77" i="907"/>
  <c r="W78" i="907"/>
  <c r="W79" i="907"/>
  <c r="W80" i="907"/>
  <c r="W81" i="907"/>
  <c r="W82" i="907"/>
  <c r="W83" i="907"/>
  <c r="W84" i="907"/>
  <c r="W85" i="907"/>
  <c r="W86" i="907"/>
  <c r="W87" i="907"/>
  <c r="W88" i="907"/>
  <c r="W89" i="907"/>
  <c r="W90" i="907"/>
  <c r="W91" i="907"/>
  <c r="W92" i="907"/>
  <c r="W93" i="907"/>
  <c r="W94" i="907"/>
  <c r="W95" i="907"/>
  <c r="W96" i="907"/>
  <c r="W97" i="907"/>
  <c r="W98" i="907"/>
  <c r="W99" i="907"/>
  <c r="W100" i="907"/>
  <c r="W101" i="907"/>
  <c r="W102" i="907"/>
  <c r="W103" i="907"/>
  <c r="W104" i="907"/>
  <c r="W105" i="907"/>
  <c r="W106" i="907"/>
  <c r="W107" i="907"/>
  <c r="W108" i="907"/>
  <c r="W109" i="907"/>
  <c r="W110" i="907"/>
  <c r="W111" i="907"/>
  <c r="W112" i="907"/>
  <c r="W113" i="907"/>
  <c r="W114" i="907"/>
  <c r="W115" i="907"/>
  <c r="W116" i="907"/>
  <c r="W117" i="907"/>
  <c r="W118" i="907"/>
  <c r="W119" i="907"/>
  <c r="W120" i="907"/>
  <c r="W121" i="907"/>
  <c r="W122" i="907"/>
  <c r="W123" i="907"/>
  <c r="W124" i="907"/>
  <c r="W125" i="907"/>
  <c r="W126" i="907"/>
  <c r="W127" i="907"/>
  <c r="W128" i="907"/>
  <c r="W129" i="907"/>
  <c r="W130" i="907"/>
  <c r="W131" i="907"/>
  <c r="W132" i="907"/>
  <c r="W133" i="907"/>
  <c r="W134" i="907"/>
  <c r="W135" i="907"/>
  <c r="W136" i="907"/>
  <c r="W137" i="907"/>
  <c r="W138" i="907"/>
  <c r="W139" i="907"/>
  <c r="W140" i="907"/>
  <c r="W141" i="907"/>
  <c r="W142" i="907"/>
  <c r="W143" i="907"/>
  <c r="W144" i="907"/>
  <c r="W145" i="907"/>
  <c r="W146" i="907"/>
  <c r="W147" i="907"/>
  <c r="W148" i="907"/>
  <c r="W149" i="907"/>
  <c r="W150" i="907"/>
  <c r="W151" i="907"/>
  <c r="W152" i="907"/>
  <c r="W153" i="907"/>
  <c r="W154" i="907"/>
  <c r="W155" i="907"/>
  <c r="W156" i="907"/>
  <c r="W157" i="907"/>
  <c r="W158" i="907"/>
  <c r="W159" i="907"/>
  <c r="W160" i="907"/>
  <c r="W161" i="907"/>
  <c r="W162" i="907"/>
  <c r="W163" i="907"/>
  <c r="W164" i="907"/>
  <c r="W165" i="907"/>
  <c r="W166" i="907"/>
  <c r="W167" i="907"/>
  <c r="W168" i="907"/>
  <c r="W169" i="907"/>
  <c r="W170" i="907"/>
  <c r="W171" i="907"/>
  <c r="W172" i="907"/>
  <c r="W173" i="907"/>
  <c r="W174" i="907"/>
  <c r="W175" i="907"/>
  <c r="W176" i="907"/>
  <c r="W177" i="907"/>
  <c r="W178" i="907"/>
  <c r="W179" i="907"/>
  <c r="W180" i="907"/>
  <c r="W181" i="907"/>
  <c r="W182" i="907"/>
  <c r="W183" i="907"/>
  <c r="W184" i="907"/>
  <c r="W185" i="907"/>
  <c r="W186" i="907"/>
  <c r="W187" i="907"/>
  <c r="W188" i="907"/>
  <c r="W189" i="907"/>
  <c r="W190" i="907"/>
  <c r="W191" i="907"/>
  <c r="W192" i="907"/>
  <c r="W193" i="907"/>
  <c r="W194" i="907"/>
  <c r="W195" i="907"/>
  <c r="W196" i="907"/>
  <c r="W197" i="907"/>
  <c r="W198" i="907"/>
  <c r="W199" i="907"/>
  <c r="W200" i="907"/>
  <c r="W201" i="907"/>
  <c r="W202" i="907"/>
  <c r="W203" i="907"/>
  <c r="W204" i="907"/>
  <c r="W205" i="907"/>
  <c r="W206" i="907"/>
  <c r="W207" i="907"/>
  <c r="W208" i="907"/>
  <c r="W209" i="907"/>
  <c r="W210" i="907"/>
  <c r="W211" i="907"/>
  <c r="W212" i="907"/>
  <c r="W213" i="907"/>
  <c r="W214" i="907"/>
  <c r="W215" i="907"/>
  <c r="W216" i="907"/>
  <c r="W217" i="907"/>
  <c r="W218" i="907"/>
  <c r="W219" i="907"/>
  <c r="W220" i="907"/>
  <c r="W221" i="907"/>
  <c r="W222" i="907"/>
  <c r="W223" i="907"/>
  <c r="W224" i="907"/>
  <c r="W225" i="907"/>
  <c r="W226" i="907"/>
  <c r="W227" i="907"/>
  <c r="W228" i="907"/>
  <c r="W229" i="907"/>
  <c r="W230" i="907"/>
  <c r="W231" i="907"/>
  <c r="W232" i="907"/>
  <c r="W233" i="907"/>
  <c r="W234" i="907"/>
  <c r="W235" i="907"/>
  <c r="W236" i="907"/>
  <c r="W237" i="907"/>
  <c r="W238" i="907"/>
  <c r="W239" i="907"/>
  <c r="W240" i="907"/>
  <c r="W241" i="907"/>
  <c r="W242" i="907"/>
  <c r="W243" i="907"/>
  <c r="W244" i="907"/>
  <c r="W245" i="907"/>
  <c r="W246" i="907"/>
  <c r="W247" i="907"/>
  <c r="W248" i="907"/>
  <c r="W249" i="907"/>
  <c r="W250" i="907"/>
  <c r="W251" i="907"/>
  <c r="W252" i="907"/>
  <c r="W253" i="907"/>
  <c r="W254" i="907"/>
  <c r="W255" i="907"/>
  <c r="W256" i="907"/>
  <c r="W257" i="907"/>
  <c r="W258" i="907"/>
  <c r="W259" i="907"/>
  <c r="W260" i="907"/>
  <c r="W261" i="907"/>
  <c r="W262" i="907"/>
  <c r="W263" i="907"/>
  <c r="W264" i="907"/>
  <c r="W265" i="907"/>
  <c r="W266" i="907"/>
  <c r="W267" i="907"/>
  <c r="W268" i="907"/>
  <c r="W269" i="907"/>
  <c r="W270" i="907"/>
  <c r="W271" i="907"/>
  <c r="W272" i="907"/>
  <c r="W273" i="907"/>
  <c r="W274" i="907"/>
  <c r="W275" i="907"/>
  <c r="W276" i="907"/>
  <c r="W277" i="907"/>
  <c r="W278" i="907"/>
  <c r="W279" i="907"/>
  <c r="W280" i="907"/>
  <c r="W281" i="907"/>
  <c r="W282" i="907"/>
  <c r="W283" i="907"/>
  <c r="W284" i="907"/>
  <c r="W285" i="907"/>
  <c r="W286" i="907"/>
  <c r="W287" i="907"/>
  <c r="W288" i="907"/>
  <c r="W289" i="907"/>
  <c r="W290" i="907"/>
  <c r="W291" i="907"/>
  <c r="W292" i="907"/>
  <c r="W293" i="907"/>
  <c r="W294" i="907"/>
  <c r="W295" i="907"/>
  <c r="W296" i="907"/>
  <c r="W297" i="907"/>
  <c r="W298" i="907"/>
  <c r="W299" i="907"/>
  <c r="W300" i="907"/>
  <c r="W301" i="907"/>
  <c r="W302" i="907"/>
  <c r="W303" i="907"/>
  <c r="W304" i="907"/>
  <c r="W305" i="907"/>
  <c r="W306" i="907"/>
  <c r="W307" i="907"/>
  <c r="W308" i="907"/>
  <c r="W309" i="907"/>
  <c r="W310" i="907"/>
  <c r="W311" i="907"/>
  <c r="W312" i="907"/>
  <c r="W313" i="907"/>
  <c r="W314" i="907"/>
  <c r="W315" i="907"/>
  <c r="W316" i="907"/>
  <c r="W317" i="907"/>
  <c r="W318" i="907"/>
  <c r="W319" i="907"/>
  <c r="W320" i="907"/>
  <c r="W321" i="907"/>
  <c r="W322" i="907"/>
  <c r="W323" i="907"/>
  <c r="W324" i="907"/>
  <c r="W325" i="907"/>
  <c r="W326" i="907"/>
  <c r="W327" i="907"/>
  <c r="W328" i="907"/>
  <c r="W329" i="907"/>
  <c r="W330" i="907"/>
  <c r="W331" i="907"/>
  <c r="W332" i="907"/>
  <c r="W333" i="907"/>
  <c r="W334" i="907"/>
  <c r="W335" i="907"/>
  <c r="W336" i="907"/>
  <c r="W337" i="907"/>
  <c r="W338" i="907"/>
  <c r="W339" i="907"/>
  <c r="W340" i="907"/>
  <c r="W341" i="907"/>
  <c r="W342" i="907"/>
  <c r="W343" i="907"/>
  <c r="W344" i="907"/>
  <c r="W345" i="907"/>
  <c r="W346" i="907"/>
  <c r="W347" i="907"/>
  <c r="W348" i="907"/>
  <c r="W349" i="907"/>
  <c r="W350" i="907"/>
  <c r="W351" i="907"/>
  <c r="W352" i="907"/>
  <c r="W353" i="907"/>
  <c r="W354" i="907"/>
  <c r="W355" i="907"/>
  <c r="W356" i="907"/>
  <c r="W357" i="907"/>
  <c r="W358" i="907"/>
  <c r="W359" i="907"/>
  <c r="W360" i="907"/>
  <c r="W361" i="907"/>
  <c r="W362" i="907"/>
  <c r="W363" i="907"/>
  <c r="W364" i="907"/>
  <c r="W365" i="907"/>
  <c r="W366" i="907"/>
  <c r="W367" i="907"/>
  <c r="W368" i="907"/>
  <c r="W369" i="907"/>
  <c r="W370" i="907"/>
  <c r="W371" i="907"/>
  <c r="W372" i="907"/>
  <c r="W373" i="907"/>
  <c r="W374" i="907"/>
  <c r="W375" i="907"/>
  <c r="W376" i="907"/>
  <c r="W377" i="907"/>
  <c r="W378" i="907"/>
  <c r="W379" i="907"/>
  <c r="W380" i="907"/>
  <c r="W381" i="907"/>
  <c r="W382" i="907"/>
  <c r="W383" i="907"/>
  <c r="W384" i="907"/>
  <c r="W385" i="907"/>
  <c r="W386" i="907"/>
  <c r="W387" i="907"/>
  <c r="W388" i="907"/>
  <c r="W389" i="907"/>
  <c r="W390" i="907"/>
  <c r="W391" i="907"/>
  <c r="W392" i="907"/>
  <c r="W393" i="907"/>
  <c r="W394" i="907"/>
  <c r="W395" i="907"/>
  <c r="W396" i="907"/>
  <c r="W397" i="907"/>
  <c r="W398" i="907"/>
  <c r="W399" i="907"/>
  <c r="W400" i="907"/>
  <c r="W401" i="907"/>
  <c r="W402" i="907"/>
  <c r="W403" i="907"/>
  <c r="W404" i="907"/>
  <c r="W405" i="907"/>
  <c r="W406" i="907"/>
  <c r="W407" i="907"/>
  <c r="W408" i="907"/>
  <c r="W409" i="907"/>
  <c r="W410" i="907"/>
  <c r="W411" i="907"/>
  <c r="W412" i="907"/>
  <c r="W413" i="907"/>
  <c r="W414" i="907"/>
  <c r="W415" i="907"/>
  <c r="W416" i="907"/>
  <c r="W417" i="907"/>
  <c r="W418" i="907"/>
  <c r="W419" i="907"/>
  <c r="W420" i="907"/>
  <c r="W421" i="907"/>
  <c r="W422" i="907"/>
  <c r="W423" i="907"/>
  <c r="W424" i="907"/>
  <c r="W425" i="907"/>
  <c r="W426" i="907"/>
  <c r="W427" i="907"/>
  <c r="W428" i="907"/>
  <c r="W429" i="907"/>
  <c r="W430" i="907"/>
  <c r="W431" i="907"/>
  <c r="W432" i="907"/>
  <c r="W433" i="907"/>
  <c r="W434" i="907"/>
  <c r="W435" i="907"/>
  <c r="W436" i="907"/>
  <c r="W437" i="907"/>
  <c r="W438" i="907"/>
  <c r="W439" i="907"/>
  <c r="W440" i="907"/>
  <c r="W441" i="907"/>
  <c r="W442" i="907"/>
  <c r="W443" i="907"/>
  <c r="W444" i="907"/>
  <c r="W445" i="907"/>
  <c r="W446" i="907"/>
  <c r="W447" i="907"/>
  <c r="W448" i="907"/>
  <c r="W449" i="907"/>
  <c r="W450" i="907"/>
  <c r="W451" i="907"/>
  <c r="W452" i="907"/>
  <c r="W453" i="907"/>
  <c r="W454" i="907"/>
  <c r="W455" i="907"/>
  <c r="W456" i="907"/>
  <c r="W457" i="907"/>
  <c r="W458" i="907"/>
  <c r="W459" i="907"/>
  <c r="W460" i="907"/>
  <c r="W461" i="907"/>
  <c r="W462" i="907"/>
  <c r="W463" i="907"/>
  <c r="W464" i="907"/>
  <c r="W465" i="907"/>
  <c r="W466" i="907"/>
  <c r="W467" i="907"/>
  <c r="W468" i="907"/>
  <c r="W469" i="907"/>
  <c r="W470" i="907"/>
  <c r="W471" i="907"/>
  <c r="W472" i="907"/>
  <c r="W473" i="907"/>
  <c r="W474" i="907"/>
  <c r="W475" i="907"/>
  <c r="W476" i="907"/>
  <c r="W477" i="907"/>
  <c r="W478" i="907"/>
  <c r="W479" i="907"/>
  <c r="W480" i="907"/>
  <c r="W481" i="907"/>
  <c r="W482" i="907"/>
  <c r="W483" i="907"/>
  <c r="W484" i="907"/>
  <c r="W485" i="907"/>
  <c r="W486" i="907"/>
  <c r="W487" i="907"/>
  <c r="W488" i="907"/>
  <c r="W489" i="907"/>
  <c r="W490" i="907"/>
  <c r="W491" i="907"/>
  <c r="W492" i="907"/>
  <c r="W493" i="907"/>
  <c r="W494" i="907"/>
  <c r="W495" i="907"/>
  <c r="W496" i="907"/>
  <c r="W497" i="907"/>
  <c r="W498" i="907"/>
  <c r="W499" i="907"/>
  <c r="W500" i="907"/>
  <c r="W501" i="907"/>
  <c r="W502" i="907"/>
  <c r="W503" i="907"/>
  <c r="W504" i="907"/>
  <c r="W505" i="907"/>
  <c r="W506" i="907"/>
  <c r="W507" i="907"/>
  <c r="W508" i="907"/>
  <c r="W509" i="907"/>
  <c r="W510" i="907"/>
  <c r="W511" i="907"/>
  <c r="W512" i="907"/>
  <c r="W513" i="907"/>
  <c r="W514" i="907"/>
  <c r="W515" i="907"/>
  <c r="W516" i="907"/>
  <c r="W517" i="907"/>
  <c r="W518" i="907"/>
  <c r="W519" i="907"/>
  <c r="W520" i="907"/>
  <c r="W521" i="907"/>
  <c r="W522" i="907"/>
  <c r="W523" i="907"/>
  <c r="W524" i="907"/>
  <c r="W525" i="907"/>
  <c r="W526" i="907"/>
  <c r="W527" i="907"/>
  <c r="W528" i="907"/>
  <c r="W529" i="907"/>
  <c r="W530" i="907"/>
  <c r="W531" i="907"/>
  <c r="W532" i="907"/>
  <c r="W533" i="907"/>
  <c r="W534" i="907"/>
  <c r="W535" i="907"/>
  <c r="W536" i="907"/>
  <c r="W537" i="907"/>
  <c r="W538" i="907"/>
  <c r="W539" i="907"/>
  <c r="W540" i="907"/>
  <c r="W541" i="907"/>
  <c r="W542" i="907"/>
  <c r="W543" i="907"/>
  <c r="W544" i="907"/>
  <c r="W545" i="907"/>
  <c r="W546" i="907"/>
  <c r="W547" i="907"/>
  <c r="W548" i="907"/>
  <c r="W549" i="907"/>
  <c r="W550" i="907"/>
  <c r="W551" i="907"/>
  <c r="W552" i="907"/>
  <c r="W553" i="907"/>
  <c r="W554" i="907"/>
  <c r="W555" i="907"/>
  <c r="W556" i="907"/>
  <c r="W557" i="907"/>
  <c r="W558" i="907"/>
  <c r="W559" i="907"/>
  <c r="W560" i="907"/>
  <c r="W561" i="907"/>
  <c r="W562" i="907"/>
  <c r="W563" i="907"/>
  <c r="W564" i="907"/>
  <c r="W565" i="907"/>
  <c r="W566" i="907"/>
  <c r="W567" i="907"/>
  <c r="W568" i="907"/>
  <c r="W569" i="907"/>
  <c r="W570" i="907"/>
  <c r="W571" i="907"/>
  <c r="W572" i="907"/>
  <c r="W573" i="907"/>
  <c r="W574" i="907"/>
  <c r="W575" i="907"/>
  <c r="W576" i="907"/>
  <c r="W577" i="907"/>
  <c r="W578" i="907"/>
  <c r="W579" i="907"/>
  <c r="W580" i="907"/>
  <c r="W581" i="907"/>
  <c r="W582" i="907"/>
  <c r="W583" i="907"/>
  <c r="W584" i="907"/>
  <c r="W585" i="907"/>
  <c r="W586" i="907"/>
  <c r="W587" i="907"/>
  <c r="W588" i="907"/>
  <c r="W589" i="907"/>
  <c r="W590" i="907"/>
  <c r="W591" i="907"/>
  <c r="W592" i="907"/>
  <c r="W593" i="907"/>
  <c r="W594" i="907"/>
  <c r="W595" i="907"/>
  <c r="W596" i="907"/>
  <c r="W597" i="907"/>
  <c r="W598" i="907"/>
  <c r="W599" i="907"/>
  <c r="W600" i="907"/>
  <c r="W601" i="907"/>
  <c r="W602" i="907"/>
  <c r="W603" i="907"/>
  <c r="W604" i="907"/>
  <c r="W605" i="907"/>
  <c r="W606" i="907"/>
  <c r="W607" i="907"/>
  <c r="W608" i="907"/>
  <c r="W609" i="907"/>
  <c r="W610" i="907"/>
  <c r="W611" i="907"/>
  <c r="W612" i="907"/>
  <c r="W613" i="907"/>
  <c r="W614" i="907"/>
  <c r="W615" i="907"/>
  <c r="W616" i="907"/>
  <c r="W617" i="907"/>
  <c r="W618" i="907"/>
  <c r="W619" i="907"/>
  <c r="W620" i="907"/>
  <c r="W621" i="907"/>
  <c r="W622" i="907"/>
  <c r="W623" i="907"/>
  <c r="W624" i="907"/>
  <c r="W625" i="907"/>
  <c r="W626" i="907"/>
  <c r="W627" i="907"/>
  <c r="W628" i="907"/>
  <c r="W629" i="907"/>
  <c r="W630" i="907"/>
  <c r="W631" i="907"/>
  <c r="W632" i="907"/>
  <c r="W633" i="907"/>
  <c r="W634" i="907"/>
  <c r="W635" i="907"/>
  <c r="W636" i="907"/>
  <c r="V3" i="907"/>
  <c r="V4" i="907"/>
  <c r="V5" i="907"/>
  <c r="V6" i="907"/>
  <c r="V7" i="907"/>
  <c r="V8" i="907"/>
  <c r="V9" i="907"/>
  <c r="V10" i="907"/>
  <c r="V11" i="907"/>
  <c r="V12" i="907"/>
  <c r="V13" i="907"/>
  <c r="V14" i="907"/>
  <c r="V15" i="907"/>
  <c r="V16" i="907"/>
  <c r="V17" i="907"/>
  <c r="V18" i="907"/>
  <c r="V19" i="907"/>
  <c r="V20" i="907"/>
  <c r="V21" i="907"/>
  <c r="V22" i="907"/>
  <c r="V23" i="907"/>
  <c r="V24" i="907"/>
  <c r="V25" i="907"/>
  <c r="V26" i="907"/>
  <c r="V27" i="907"/>
  <c r="V28" i="907"/>
  <c r="V29" i="907"/>
  <c r="V30" i="907"/>
  <c r="V31" i="907"/>
  <c r="V32" i="907"/>
  <c r="V33" i="907"/>
  <c r="V34" i="907"/>
  <c r="V35" i="907"/>
  <c r="V36" i="907"/>
  <c r="V37" i="907"/>
  <c r="V38" i="907"/>
  <c r="V39" i="907"/>
  <c r="V40" i="907"/>
  <c r="V41" i="907"/>
  <c r="V42" i="907"/>
  <c r="V43" i="907"/>
  <c r="V44" i="907"/>
  <c r="V45" i="907"/>
  <c r="V46" i="907"/>
  <c r="V47" i="907"/>
  <c r="V48" i="907"/>
  <c r="V49" i="907"/>
  <c r="V50" i="907"/>
  <c r="V51" i="907"/>
  <c r="V52" i="907"/>
  <c r="V53" i="907"/>
  <c r="V54" i="907"/>
  <c r="V55" i="907"/>
  <c r="V56" i="907"/>
  <c r="V57" i="907"/>
  <c r="V58" i="907"/>
  <c r="V59" i="907"/>
  <c r="V60" i="907"/>
  <c r="V61" i="907"/>
  <c r="V62" i="907"/>
  <c r="V63" i="907"/>
  <c r="V64" i="907"/>
  <c r="V65" i="907"/>
  <c r="V66" i="907"/>
  <c r="V67" i="907"/>
  <c r="V68" i="907"/>
  <c r="V69" i="907"/>
  <c r="V70" i="907"/>
  <c r="V71" i="907"/>
  <c r="V72" i="907"/>
  <c r="V73" i="907"/>
  <c r="V74" i="907"/>
  <c r="V75" i="907"/>
  <c r="V76" i="907"/>
  <c r="V77" i="907"/>
  <c r="V78" i="907"/>
  <c r="V79" i="907"/>
  <c r="V80" i="907"/>
  <c r="V81" i="907"/>
  <c r="V82" i="907"/>
  <c r="V83" i="907"/>
  <c r="V84" i="907"/>
  <c r="V85" i="907"/>
  <c r="V86" i="907"/>
  <c r="V87" i="907"/>
  <c r="V88" i="907"/>
  <c r="V89" i="907"/>
  <c r="V90" i="907"/>
  <c r="V91" i="907"/>
  <c r="V92" i="907"/>
  <c r="V93" i="907"/>
  <c r="V94" i="907"/>
  <c r="V95" i="907"/>
  <c r="V96" i="907"/>
  <c r="V97" i="907"/>
  <c r="V98" i="907"/>
  <c r="V99" i="907"/>
  <c r="V100" i="907"/>
  <c r="V101" i="907"/>
  <c r="V102" i="907"/>
  <c r="V103" i="907"/>
  <c r="V104" i="907"/>
  <c r="V105" i="907"/>
  <c r="V106" i="907"/>
  <c r="V107" i="907"/>
  <c r="V108" i="907"/>
  <c r="V109" i="907"/>
  <c r="V110" i="907"/>
  <c r="V111" i="907"/>
  <c r="V112" i="907"/>
  <c r="V113" i="907"/>
  <c r="V114" i="907"/>
  <c r="V115" i="907"/>
  <c r="V116" i="907"/>
  <c r="V117" i="907"/>
  <c r="V118" i="907"/>
  <c r="V119" i="907"/>
  <c r="V120" i="907"/>
  <c r="V121" i="907"/>
  <c r="V122" i="907"/>
  <c r="V123" i="907"/>
  <c r="V124" i="907"/>
  <c r="V125" i="907"/>
  <c r="V126" i="907"/>
  <c r="V127" i="907"/>
  <c r="V128" i="907"/>
  <c r="V129" i="907"/>
  <c r="V130" i="907"/>
  <c r="V131" i="907"/>
  <c r="V132" i="907"/>
  <c r="V133" i="907"/>
  <c r="V134" i="907"/>
  <c r="V135" i="907"/>
  <c r="V136" i="907"/>
  <c r="V137" i="907"/>
  <c r="V138" i="907"/>
  <c r="V139" i="907"/>
  <c r="V140" i="907"/>
  <c r="V141" i="907"/>
  <c r="V142" i="907"/>
  <c r="V143" i="907"/>
  <c r="V144" i="907"/>
  <c r="V145" i="907"/>
  <c r="V146" i="907"/>
  <c r="V147" i="907"/>
  <c r="V148" i="907"/>
  <c r="V149" i="907"/>
  <c r="V150" i="907"/>
  <c r="V151" i="907"/>
  <c r="V152" i="907"/>
  <c r="V153" i="907"/>
  <c r="V154" i="907"/>
  <c r="V155" i="907"/>
  <c r="V156" i="907"/>
  <c r="V157" i="907"/>
  <c r="V158" i="907"/>
  <c r="V159" i="907"/>
  <c r="V160" i="907"/>
  <c r="V161" i="907"/>
  <c r="V162" i="907"/>
  <c r="V163" i="907"/>
  <c r="V164" i="907"/>
  <c r="V165" i="907"/>
  <c r="V166" i="907"/>
  <c r="V167" i="907"/>
  <c r="V168" i="907"/>
  <c r="V169" i="907"/>
  <c r="V170" i="907"/>
  <c r="V171" i="907"/>
  <c r="V172" i="907"/>
  <c r="V173" i="907"/>
  <c r="V174" i="907"/>
  <c r="V175" i="907"/>
  <c r="V176" i="907"/>
  <c r="V177" i="907"/>
  <c r="V178" i="907"/>
  <c r="V179" i="907"/>
  <c r="V180" i="907"/>
  <c r="V181" i="907"/>
  <c r="V182" i="907"/>
  <c r="V183" i="907"/>
  <c r="V184" i="907"/>
  <c r="V185" i="907"/>
  <c r="V186" i="907"/>
  <c r="V187" i="907"/>
  <c r="V188" i="907"/>
  <c r="V189" i="907"/>
  <c r="V190" i="907"/>
  <c r="V191" i="907"/>
  <c r="V192" i="907"/>
  <c r="V193" i="907"/>
  <c r="V194" i="907"/>
  <c r="V195" i="907"/>
  <c r="V196" i="907"/>
  <c r="V197" i="907"/>
  <c r="V198" i="907"/>
  <c r="V199" i="907"/>
  <c r="V200" i="907"/>
  <c r="V201" i="907"/>
  <c r="V202" i="907"/>
  <c r="V203" i="907"/>
  <c r="V204" i="907"/>
  <c r="V205" i="907"/>
  <c r="V206" i="907"/>
  <c r="V207" i="907"/>
  <c r="V208" i="907"/>
  <c r="V209" i="907"/>
  <c r="V210" i="907"/>
  <c r="V211" i="907"/>
  <c r="V212" i="907"/>
  <c r="V213" i="907"/>
  <c r="V214" i="907"/>
  <c r="V215" i="907"/>
  <c r="V216" i="907"/>
  <c r="V217" i="907"/>
  <c r="V218" i="907"/>
  <c r="V219" i="907"/>
  <c r="V220" i="907"/>
  <c r="V221" i="907"/>
  <c r="V222" i="907"/>
  <c r="V223" i="907"/>
  <c r="V224" i="907"/>
  <c r="V225" i="907"/>
  <c r="V226" i="907"/>
  <c r="V227" i="907"/>
  <c r="V228" i="907"/>
  <c r="V229" i="907"/>
  <c r="V230" i="907"/>
  <c r="V231" i="907"/>
  <c r="V232" i="907"/>
  <c r="V233" i="907"/>
  <c r="V234" i="907"/>
  <c r="V235" i="907"/>
  <c r="V236" i="907"/>
  <c r="V237" i="907"/>
  <c r="V238" i="907"/>
  <c r="V239" i="907"/>
  <c r="V240" i="907"/>
  <c r="V241" i="907"/>
  <c r="V242" i="907"/>
  <c r="V243" i="907"/>
  <c r="V244" i="907"/>
  <c r="V245" i="907"/>
  <c r="V246" i="907"/>
  <c r="V247" i="907"/>
  <c r="V248" i="907"/>
  <c r="V249" i="907"/>
  <c r="V250" i="907"/>
  <c r="V251" i="907"/>
  <c r="V252" i="907"/>
  <c r="V253" i="907"/>
  <c r="V254" i="907"/>
  <c r="V255" i="907"/>
  <c r="V256" i="907"/>
  <c r="V257" i="907"/>
  <c r="V258" i="907"/>
  <c r="V259" i="907"/>
  <c r="V260" i="907"/>
  <c r="V261" i="907"/>
  <c r="V262" i="907"/>
  <c r="V263" i="907"/>
  <c r="V264" i="907"/>
  <c r="V265" i="907"/>
  <c r="V266" i="907"/>
  <c r="V267" i="907"/>
  <c r="V268" i="907"/>
  <c r="V269" i="907"/>
  <c r="V270" i="907"/>
  <c r="V271" i="907"/>
  <c r="V272" i="907"/>
  <c r="V273" i="907"/>
  <c r="V274" i="907"/>
  <c r="V275" i="907"/>
  <c r="V276" i="907"/>
  <c r="V277" i="907"/>
  <c r="V278" i="907"/>
  <c r="V279" i="907"/>
  <c r="V280" i="907"/>
  <c r="V281" i="907"/>
  <c r="V282" i="907"/>
  <c r="V283" i="907"/>
  <c r="V284" i="907"/>
  <c r="V285" i="907"/>
  <c r="V286" i="907"/>
  <c r="V287" i="907"/>
  <c r="V288" i="907"/>
  <c r="V289" i="907"/>
  <c r="V290" i="907"/>
  <c r="V291" i="907"/>
  <c r="V292" i="907"/>
  <c r="V293" i="907"/>
  <c r="V294" i="907"/>
  <c r="V295" i="907"/>
  <c r="V296" i="907"/>
  <c r="V297" i="907"/>
  <c r="V298" i="907"/>
  <c r="V299" i="907"/>
  <c r="V300" i="907"/>
  <c r="V301" i="907"/>
  <c r="V302" i="907"/>
  <c r="V303" i="907"/>
  <c r="V304" i="907"/>
  <c r="V305" i="907"/>
  <c r="V306" i="907"/>
  <c r="V307" i="907"/>
  <c r="V308" i="907"/>
  <c r="V309" i="907"/>
  <c r="V310" i="907"/>
  <c r="V311" i="907"/>
  <c r="V312" i="907"/>
  <c r="V313" i="907"/>
  <c r="V314" i="907"/>
  <c r="V315" i="907"/>
  <c r="V316" i="907"/>
  <c r="V317" i="907"/>
  <c r="V318" i="907"/>
  <c r="V319" i="907"/>
  <c r="V320" i="907"/>
  <c r="V321" i="907"/>
  <c r="V322" i="907"/>
  <c r="V323" i="907"/>
  <c r="V324" i="907"/>
  <c r="V325" i="907"/>
  <c r="V326" i="907"/>
  <c r="V327" i="907"/>
  <c r="V328" i="907"/>
  <c r="V329" i="907"/>
  <c r="V330" i="907"/>
  <c r="V331" i="907"/>
  <c r="V332" i="907"/>
  <c r="V333" i="907"/>
  <c r="V334" i="907"/>
  <c r="V335" i="907"/>
  <c r="V336" i="907"/>
  <c r="V337" i="907"/>
  <c r="V338" i="907"/>
  <c r="V339" i="907"/>
  <c r="V340" i="907"/>
  <c r="V341" i="907"/>
  <c r="V342" i="907"/>
  <c r="V343" i="907"/>
  <c r="V344" i="907"/>
  <c r="V345" i="907"/>
  <c r="V346" i="907"/>
  <c r="V347" i="907"/>
  <c r="V348" i="907"/>
  <c r="V349" i="907"/>
  <c r="V350" i="907"/>
  <c r="V351" i="907"/>
  <c r="V352" i="907"/>
  <c r="V353" i="907"/>
  <c r="V354" i="907"/>
  <c r="V355" i="907"/>
  <c r="V356" i="907"/>
  <c r="V357" i="907"/>
  <c r="V358" i="907"/>
  <c r="V359" i="907"/>
  <c r="V360" i="907"/>
  <c r="V361" i="907"/>
  <c r="V362" i="907"/>
  <c r="V363" i="907"/>
  <c r="V364" i="907"/>
  <c r="V365" i="907"/>
  <c r="V366" i="907"/>
  <c r="V367" i="907"/>
  <c r="V368" i="907"/>
  <c r="V369" i="907"/>
  <c r="V370" i="907"/>
  <c r="V371" i="907"/>
  <c r="V372" i="907"/>
  <c r="V373" i="907"/>
  <c r="V374" i="907"/>
  <c r="V375" i="907"/>
  <c r="V376" i="907"/>
  <c r="V377" i="907"/>
  <c r="V378" i="907"/>
  <c r="V379" i="907"/>
  <c r="V380" i="907"/>
  <c r="V381" i="907"/>
  <c r="V382" i="907"/>
  <c r="V383" i="907"/>
  <c r="V384" i="907"/>
  <c r="V385" i="907"/>
  <c r="V386" i="907"/>
  <c r="V387" i="907"/>
  <c r="V388" i="907"/>
  <c r="V389" i="907"/>
  <c r="V390" i="907"/>
  <c r="V391" i="907"/>
  <c r="V392" i="907"/>
  <c r="V393" i="907"/>
  <c r="V394" i="907"/>
  <c r="V395" i="907"/>
  <c r="V396" i="907"/>
  <c r="V397" i="907"/>
  <c r="V398" i="907"/>
  <c r="V399" i="907"/>
  <c r="V400" i="907"/>
  <c r="V401" i="907"/>
  <c r="V402" i="907"/>
  <c r="V403" i="907"/>
  <c r="V404" i="907"/>
  <c r="V405" i="907"/>
  <c r="V406" i="907"/>
  <c r="V407" i="907"/>
  <c r="V408" i="907"/>
  <c r="V409" i="907"/>
  <c r="V410" i="907"/>
  <c r="V411" i="907"/>
  <c r="V412" i="907"/>
  <c r="V413" i="907"/>
  <c r="V414" i="907"/>
  <c r="V415" i="907"/>
  <c r="V416" i="907"/>
  <c r="V417" i="907"/>
  <c r="V418" i="907"/>
  <c r="V419" i="907"/>
  <c r="V420" i="907"/>
  <c r="V421" i="907"/>
  <c r="V422" i="907"/>
  <c r="V423" i="907"/>
  <c r="V424" i="907"/>
  <c r="V425" i="907"/>
  <c r="V426" i="907"/>
  <c r="V427" i="907"/>
  <c r="V428" i="907"/>
  <c r="V429" i="907"/>
  <c r="V430" i="907"/>
  <c r="V431" i="907"/>
  <c r="V432" i="907"/>
  <c r="V433" i="907"/>
  <c r="V434" i="907"/>
  <c r="V435" i="907"/>
  <c r="V436" i="907"/>
  <c r="V437" i="907"/>
  <c r="V438" i="907"/>
  <c r="V439" i="907"/>
  <c r="V440" i="907"/>
  <c r="V441" i="907"/>
  <c r="V442" i="907"/>
  <c r="V443" i="907"/>
  <c r="V444" i="907"/>
  <c r="V445" i="907"/>
  <c r="V446" i="907"/>
  <c r="V447" i="907"/>
  <c r="V448" i="907"/>
  <c r="V449" i="907"/>
  <c r="V450" i="907"/>
  <c r="V451" i="907"/>
  <c r="V452" i="907"/>
  <c r="V453" i="907"/>
  <c r="V454" i="907"/>
  <c r="V455" i="907"/>
  <c r="V456" i="907"/>
  <c r="V457" i="907"/>
  <c r="V458" i="907"/>
  <c r="V459" i="907"/>
  <c r="V460" i="907"/>
  <c r="V461" i="907"/>
  <c r="V462" i="907"/>
  <c r="V463" i="907"/>
  <c r="V464" i="907"/>
  <c r="V465" i="907"/>
  <c r="V466" i="907"/>
  <c r="V467" i="907"/>
  <c r="V468" i="907"/>
  <c r="V469" i="907"/>
  <c r="V470" i="907"/>
  <c r="V471" i="907"/>
  <c r="V472" i="907"/>
  <c r="V473" i="907"/>
  <c r="V474" i="907"/>
  <c r="V475" i="907"/>
  <c r="V476" i="907"/>
  <c r="V477" i="907"/>
  <c r="V478" i="907"/>
  <c r="V479" i="907"/>
  <c r="V480" i="907"/>
  <c r="V481" i="907"/>
  <c r="V482" i="907"/>
  <c r="V483" i="907"/>
  <c r="V484" i="907"/>
  <c r="V485" i="907"/>
  <c r="V486" i="907"/>
  <c r="V487" i="907"/>
  <c r="V488" i="907"/>
  <c r="V489" i="907"/>
  <c r="V490" i="907"/>
  <c r="V491" i="907"/>
  <c r="V492" i="907"/>
  <c r="V493" i="907"/>
  <c r="V494" i="907"/>
  <c r="V495" i="907"/>
  <c r="V496" i="907"/>
  <c r="V497" i="907"/>
  <c r="V498" i="907"/>
  <c r="V499" i="907"/>
  <c r="V500" i="907"/>
  <c r="V501" i="907"/>
  <c r="V502" i="907"/>
  <c r="V503" i="907"/>
  <c r="V504" i="907"/>
  <c r="V505" i="907"/>
  <c r="V506" i="907"/>
  <c r="V507" i="907"/>
  <c r="V508" i="907"/>
  <c r="V509" i="907"/>
  <c r="V510" i="907"/>
  <c r="V511" i="907"/>
  <c r="V512" i="907"/>
  <c r="V513" i="907"/>
  <c r="V514" i="907"/>
  <c r="V515" i="907"/>
  <c r="V516" i="907"/>
  <c r="V517" i="907"/>
  <c r="V518" i="907"/>
  <c r="V519" i="907"/>
  <c r="V520" i="907"/>
  <c r="V521" i="907"/>
  <c r="V522" i="907"/>
  <c r="V523" i="907"/>
  <c r="V524" i="907"/>
  <c r="V525" i="907"/>
  <c r="V526" i="907"/>
  <c r="V527" i="907"/>
  <c r="V528" i="907"/>
  <c r="V529" i="907"/>
  <c r="V530" i="907"/>
  <c r="V531" i="907"/>
  <c r="V532" i="907"/>
  <c r="V533" i="907"/>
  <c r="V534" i="907"/>
  <c r="V535" i="907"/>
  <c r="V536" i="907"/>
  <c r="V537" i="907"/>
  <c r="V538" i="907"/>
  <c r="V539" i="907"/>
  <c r="V540" i="907"/>
  <c r="V541" i="907"/>
  <c r="V542" i="907"/>
  <c r="V543" i="907"/>
  <c r="V544" i="907"/>
  <c r="V545" i="907"/>
  <c r="V546" i="907"/>
  <c r="V547" i="907"/>
  <c r="V548" i="907"/>
  <c r="V549" i="907"/>
  <c r="V550" i="907"/>
  <c r="V551" i="907"/>
  <c r="V552" i="907"/>
  <c r="V553" i="907"/>
  <c r="V554" i="907"/>
  <c r="V555" i="907"/>
  <c r="V556" i="907"/>
  <c r="V557" i="907"/>
  <c r="V558" i="907"/>
  <c r="V559" i="907"/>
  <c r="V560" i="907"/>
  <c r="V561" i="907"/>
  <c r="V562" i="907"/>
  <c r="V563" i="907"/>
  <c r="V564" i="907"/>
  <c r="V565" i="907"/>
  <c r="V566" i="907"/>
  <c r="V567" i="907"/>
  <c r="V568" i="907"/>
  <c r="V569" i="907"/>
  <c r="V570" i="907"/>
  <c r="V571" i="907"/>
  <c r="V572" i="907"/>
  <c r="V573" i="907"/>
  <c r="V574" i="907"/>
  <c r="V575" i="907"/>
  <c r="V576" i="907"/>
  <c r="V577" i="907"/>
  <c r="V578" i="907"/>
  <c r="V579" i="907"/>
  <c r="V580" i="907"/>
  <c r="V581" i="907"/>
  <c r="V582" i="907"/>
  <c r="V583" i="907"/>
  <c r="V584" i="907"/>
  <c r="V585" i="907"/>
  <c r="V586" i="907"/>
  <c r="V587" i="907"/>
  <c r="V588" i="907"/>
  <c r="V589" i="907"/>
  <c r="V590" i="907"/>
  <c r="V591" i="907"/>
  <c r="V592" i="907"/>
  <c r="V593" i="907"/>
  <c r="V594" i="907"/>
  <c r="V595" i="907"/>
  <c r="V596" i="907"/>
  <c r="V597" i="907"/>
  <c r="V598" i="907"/>
  <c r="V599" i="907"/>
  <c r="V600" i="907"/>
  <c r="V601" i="907"/>
  <c r="V602" i="907"/>
  <c r="V603" i="907"/>
  <c r="V604" i="907"/>
  <c r="V605" i="907"/>
  <c r="V606" i="907"/>
  <c r="V607" i="907"/>
  <c r="V608" i="907"/>
  <c r="V609" i="907"/>
  <c r="V610" i="907"/>
  <c r="V611" i="907"/>
  <c r="V612" i="907"/>
  <c r="V613" i="907"/>
  <c r="V614" i="907"/>
  <c r="V615" i="907"/>
  <c r="V616" i="907"/>
  <c r="V617" i="907"/>
  <c r="V618" i="907"/>
  <c r="V619" i="907"/>
  <c r="V620" i="907"/>
  <c r="V621" i="907"/>
  <c r="V622" i="907"/>
  <c r="V623" i="907"/>
  <c r="V624" i="907"/>
  <c r="V625" i="907"/>
  <c r="V626" i="907"/>
  <c r="V627" i="907"/>
  <c r="V628" i="907"/>
  <c r="V629" i="907"/>
  <c r="V630" i="907"/>
  <c r="V631" i="907"/>
  <c r="V632" i="907"/>
  <c r="V633" i="907"/>
  <c r="V634" i="907"/>
  <c r="V635" i="907"/>
  <c r="V636" i="907"/>
  <c r="U3" i="907"/>
  <c r="U4" i="907"/>
  <c r="U5" i="907"/>
  <c r="U6" i="907"/>
  <c r="U7" i="907"/>
  <c r="U8" i="907"/>
  <c r="U9" i="907"/>
  <c r="U10" i="907"/>
  <c r="U11" i="907"/>
  <c r="U12" i="907"/>
  <c r="U13" i="907"/>
  <c r="U14" i="907"/>
  <c r="U15" i="907"/>
  <c r="U16" i="907"/>
  <c r="U17" i="907"/>
  <c r="U18" i="907"/>
  <c r="U19" i="907"/>
  <c r="U20" i="907"/>
  <c r="U21" i="907"/>
  <c r="U22" i="907"/>
  <c r="U23" i="907"/>
  <c r="U24" i="907"/>
  <c r="U25" i="907"/>
  <c r="U26" i="907"/>
  <c r="U27" i="907"/>
  <c r="U28" i="907"/>
  <c r="U29" i="907"/>
  <c r="U30" i="907"/>
  <c r="U31" i="907"/>
  <c r="U32" i="907"/>
  <c r="U33" i="907"/>
  <c r="U34" i="907"/>
  <c r="U35" i="907"/>
  <c r="U36" i="907"/>
  <c r="U37" i="907"/>
  <c r="U38" i="907"/>
  <c r="U39" i="907"/>
  <c r="U40" i="907"/>
  <c r="U41" i="907"/>
  <c r="U42" i="907"/>
  <c r="U43" i="907"/>
  <c r="U44" i="907"/>
  <c r="U45" i="907"/>
  <c r="U46" i="907"/>
  <c r="U47" i="907"/>
  <c r="U48" i="907"/>
  <c r="U49" i="907"/>
  <c r="U50" i="907"/>
  <c r="U51" i="907"/>
  <c r="U52" i="907"/>
  <c r="U53" i="907"/>
  <c r="U54" i="907"/>
  <c r="U55" i="907"/>
  <c r="U56" i="907"/>
  <c r="U57" i="907"/>
  <c r="U58" i="907"/>
  <c r="U59" i="907"/>
  <c r="U60" i="907"/>
  <c r="U61" i="907"/>
  <c r="U62" i="907"/>
  <c r="U63" i="907"/>
  <c r="U64" i="907"/>
  <c r="U65" i="907"/>
  <c r="U66" i="907"/>
  <c r="U67" i="907"/>
  <c r="U68" i="907"/>
  <c r="U69" i="907"/>
  <c r="U70" i="907"/>
  <c r="U71" i="907"/>
  <c r="U72" i="907"/>
  <c r="U73" i="907"/>
  <c r="U74" i="907"/>
  <c r="U75" i="907"/>
  <c r="U76" i="907"/>
  <c r="U77" i="907"/>
  <c r="U78" i="907"/>
  <c r="U79" i="907"/>
  <c r="U80" i="907"/>
  <c r="U81" i="907"/>
  <c r="U82" i="907"/>
  <c r="U83" i="907"/>
  <c r="U84" i="907"/>
  <c r="U85" i="907"/>
  <c r="U86" i="907"/>
  <c r="U87" i="907"/>
  <c r="U88" i="907"/>
  <c r="U89" i="907"/>
  <c r="U90" i="907"/>
  <c r="U91" i="907"/>
  <c r="U92" i="907"/>
  <c r="U93" i="907"/>
  <c r="U94" i="907"/>
  <c r="U95" i="907"/>
  <c r="U96" i="907"/>
  <c r="U97" i="907"/>
  <c r="U98" i="907"/>
  <c r="U99" i="907"/>
  <c r="U100" i="907"/>
  <c r="U101" i="907"/>
  <c r="U102" i="907"/>
  <c r="U103" i="907"/>
  <c r="U104" i="907"/>
  <c r="U105" i="907"/>
  <c r="U106" i="907"/>
  <c r="U107" i="907"/>
  <c r="U108" i="907"/>
  <c r="U109" i="907"/>
  <c r="U110" i="907"/>
  <c r="U111" i="907"/>
  <c r="U112" i="907"/>
  <c r="U113" i="907"/>
  <c r="U114" i="907"/>
  <c r="U115" i="907"/>
  <c r="U116" i="907"/>
  <c r="U117" i="907"/>
  <c r="U118" i="907"/>
  <c r="U119" i="907"/>
  <c r="U120" i="907"/>
  <c r="U121" i="907"/>
  <c r="U122" i="907"/>
  <c r="U123" i="907"/>
  <c r="U124" i="907"/>
  <c r="U125" i="907"/>
  <c r="U126" i="907"/>
  <c r="U127" i="907"/>
  <c r="U128" i="907"/>
  <c r="U129" i="907"/>
  <c r="U130" i="907"/>
  <c r="U131" i="907"/>
  <c r="U132" i="907"/>
  <c r="U133" i="907"/>
  <c r="U134" i="907"/>
  <c r="U135" i="907"/>
  <c r="U136" i="907"/>
  <c r="U137" i="907"/>
  <c r="U138" i="907"/>
  <c r="U139" i="907"/>
  <c r="U140" i="907"/>
  <c r="U141" i="907"/>
  <c r="U142" i="907"/>
  <c r="U143" i="907"/>
  <c r="U144" i="907"/>
  <c r="U145" i="907"/>
  <c r="U146" i="907"/>
  <c r="U147" i="907"/>
  <c r="U148" i="907"/>
  <c r="U149" i="907"/>
  <c r="U150" i="907"/>
  <c r="U151" i="907"/>
  <c r="U152" i="907"/>
  <c r="U153" i="907"/>
  <c r="U154" i="907"/>
  <c r="U155" i="907"/>
  <c r="U156" i="907"/>
  <c r="U157" i="907"/>
  <c r="U158" i="907"/>
  <c r="U159" i="907"/>
  <c r="U160" i="907"/>
  <c r="U161" i="907"/>
  <c r="U162" i="907"/>
  <c r="U163" i="907"/>
  <c r="U164" i="907"/>
  <c r="U165" i="907"/>
  <c r="U166" i="907"/>
  <c r="U167" i="907"/>
  <c r="U168" i="907"/>
  <c r="U169" i="907"/>
  <c r="U170" i="907"/>
  <c r="U171" i="907"/>
  <c r="U172" i="907"/>
  <c r="U173" i="907"/>
  <c r="U174" i="907"/>
  <c r="U175" i="907"/>
  <c r="U176" i="907"/>
  <c r="U177" i="907"/>
  <c r="U178" i="907"/>
  <c r="U179" i="907"/>
  <c r="U180" i="907"/>
  <c r="U181" i="907"/>
  <c r="U182" i="907"/>
  <c r="U183" i="907"/>
  <c r="U184" i="907"/>
  <c r="U185" i="907"/>
  <c r="U186" i="907"/>
  <c r="U187" i="907"/>
  <c r="U188" i="907"/>
  <c r="U189" i="907"/>
  <c r="U190" i="907"/>
  <c r="U191" i="907"/>
  <c r="U192" i="907"/>
  <c r="U193" i="907"/>
  <c r="U194" i="907"/>
  <c r="U195" i="907"/>
  <c r="U196" i="907"/>
  <c r="U197" i="907"/>
  <c r="U198" i="907"/>
  <c r="U199" i="907"/>
  <c r="U200" i="907"/>
  <c r="U201" i="907"/>
  <c r="U202" i="907"/>
  <c r="U203" i="907"/>
  <c r="U204" i="907"/>
  <c r="U205" i="907"/>
  <c r="U206" i="907"/>
  <c r="U207" i="907"/>
  <c r="U208" i="907"/>
  <c r="U209" i="907"/>
  <c r="U210" i="907"/>
  <c r="U211" i="907"/>
  <c r="U212" i="907"/>
  <c r="U213" i="907"/>
  <c r="U214" i="907"/>
  <c r="U215" i="907"/>
  <c r="U216" i="907"/>
  <c r="U217" i="907"/>
  <c r="U218" i="907"/>
  <c r="U219" i="907"/>
  <c r="U220" i="907"/>
  <c r="U221" i="907"/>
  <c r="U222" i="907"/>
  <c r="U223" i="907"/>
  <c r="U224" i="907"/>
  <c r="U225" i="907"/>
  <c r="U226" i="907"/>
  <c r="U227" i="907"/>
  <c r="U228" i="907"/>
  <c r="U229" i="907"/>
  <c r="U230" i="907"/>
  <c r="U231" i="907"/>
  <c r="U232" i="907"/>
  <c r="U233" i="907"/>
  <c r="U234" i="907"/>
  <c r="U235" i="907"/>
  <c r="U236" i="907"/>
  <c r="U237" i="907"/>
  <c r="U238" i="907"/>
  <c r="U239" i="907"/>
  <c r="U240" i="907"/>
  <c r="U241" i="907"/>
  <c r="U242" i="907"/>
  <c r="U243" i="907"/>
  <c r="U244" i="907"/>
  <c r="U245" i="907"/>
  <c r="U246" i="907"/>
  <c r="U247" i="907"/>
  <c r="U248" i="907"/>
  <c r="U249" i="907"/>
  <c r="U250" i="907"/>
  <c r="U251" i="907"/>
  <c r="U252" i="907"/>
  <c r="U253" i="907"/>
  <c r="U254" i="907"/>
  <c r="U255" i="907"/>
  <c r="U256" i="907"/>
  <c r="U257" i="907"/>
  <c r="U258" i="907"/>
  <c r="U259" i="907"/>
  <c r="U260" i="907"/>
  <c r="U261" i="907"/>
  <c r="U262" i="907"/>
  <c r="U263" i="907"/>
  <c r="U264" i="907"/>
  <c r="U265" i="907"/>
  <c r="U266" i="907"/>
  <c r="U267" i="907"/>
  <c r="U268" i="907"/>
  <c r="U269" i="907"/>
  <c r="U270" i="907"/>
  <c r="U271" i="907"/>
  <c r="U272" i="907"/>
  <c r="U273" i="907"/>
  <c r="U274" i="907"/>
  <c r="U275" i="907"/>
  <c r="U276" i="907"/>
  <c r="U277" i="907"/>
  <c r="U278" i="907"/>
  <c r="U279" i="907"/>
  <c r="U280" i="907"/>
  <c r="U281" i="907"/>
  <c r="U282" i="907"/>
  <c r="U283" i="907"/>
  <c r="U284" i="907"/>
  <c r="U285" i="907"/>
  <c r="U286" i="907"/>
  <c r="U287" i="907"/>
  <c r="U288" i="907"/>
  <c r="U289" i="907"/>
  <c r="U290" i="907"/>
  <c r="U291" i="907"/>
  <c r="U292" i="907"/>
  <c r="U293" i="907"/>
  <c r="U294" i="907"/>
  <c r="U295" i="907"/>
  <c r="U296" i="907"/>
  <c r="U297" i="907"/>
  <c r="U298" i="907"/>
  <c r="U299" i="907"/>
  <c r="U300" i="907"/>
  <c r="U301" i="907"/>
  <c r="U302" i="907"/>
  <c r="U303" i="907"/>
  <c r="U304" i="907"/>
  <c r="U305" i="907"/>
  <c r="U306" i="907"/>
  <c r="U307" i="907"/>
  <c r="U308" i="907"/>
  <c r="U309" i="907"/>
  <c r="U310" i="907"/>
  <c r="U311" i="907"/>
  <c r="U312" i="907"/>
  <c r="U313" i="907"/>
  <c r="U314" i="907"/>
  <c r="U315" i="907"/>
  <c r="U316" i="907"/>
  <c r="U317" i="907"/>
  <c r="U318" i="907"/>
  <c r="U319" i="907"/>
  <c r="U320" i="907"/>
  <c r="U321" i="907"/>
  <c r="U322" i="907"/>
  <c r="U323" i="907"/>
  <c r="U324" i="907"/>
  <c r="U325" i="907"/>
  <c r="U326" i="907"/>
  <c r="U327" i="907"/>
  <c r="U328" i="907"/>
  <c r="U329" i="907"/>
  <c r="U330" i="907"/>
  <c r="U331" i="907"/>
  <c r="U332" i="907"/>
  <c r="U333" i="907"/>
  <c r="U334" i="907"/>
  <c r="U335" i="907"/>
  <c r="U336" i="907"/>
  <c r="U337" i="907"/>
  <c r="U338" i="907"/>
  <c r="U339" i="907"/>
  <c r="U340" i="907"/>
  <c r="U341" i="907"/>
  <c r="U342" i="907"/>
  <c r="U343" i="907"/>
  <c r="U344" i="907"/>
  <c r="U345" i="907"/>
  <c r="U346" i="907"/>
  <c r="U347" i="907"/>
  <c r="U348" i="907"/>
  <c r="U349" i="907"/>
  <c r="U350" i="907"/>
  <c r="U351" i="907"/>
  <c r="U352" i="907"/>
  <c r="U353" i="907"/>
  <c r="U354" i="907"/>
  <c r="U355" i="907"/>
  <c r="U356" i="907"/>
  <c r="U357" i="907"/>
  <c r="U358" i="907"/>
  <c r="U359" i="907"/>
  <c r="U360" i="907"/>
  <c r="U361" i="907"/>
  <c r="U362" i="907"/>
  <c r="U363" i="907"/>
  <c r="U364" i="907"/>
  <c r="U365" i="907"/>
  <c r="U366" i="907"/>
  <c r="U367" i="907"/>
  <c r="U368" i="907"/>
  <c r="U369" i="907"/>
  <c r="U370" i="907"/>
  <c r="U371" i="907"/>
  <c r="U372" i="907"/>
  <c r="U373" i="907"/>
  <c r="U374" i="907"/>
  <c r="U375" i="907"/>
  <c r="U376" i="907"/>
  <c r="U377" i="907"/>
  <c r="U378" i="907"/>
  <c r="U379" i="907"/>
  <c r="U380" i="907"/>
  <c r="U381" i="907"/>
  <c r="U382" i="907"/>
  <c r="U383" i="907"/>
  <c r="U384" i="907"/>
  <c r="U385" i="907"/>
  <c r="U386" i="907"/>
  <c r="U387" i="907"/>
  <c r="U388" i="907"/>
  <c r="U389" i="907"/>
  <c r="U390" i="907"/>
  <c r="U391" i="907"/>
  <c r="U392" i="907"/>
  <c r="U393" i="907"/>
  <c r="U394" i="907"/>
  <c r="U395" i="907"/>
  <c r="U396" i="907"/>
  <c r="U397" i="907"/>
  <c r="U398" i="907"/>
  <c r="U399" i="907"/>
  <c r="U400" i="907"/>
  <c r="U401" i="907"/>
  <c r="U402" i="907"/>
  <c r="U403" i="907"/>
  <c r="U404" i="907"/>
  <c r="U405" i="907"/>
  <c r="U406" i="907"/>
  <c r="U407" i="907"/>
  <c r="U408" i="907"/>
  <c r="U409" i="907"/>
  <c r="U410" i="907"/>
  <c r="U411" i="907"/>
  <c r="U412" i="907"/>
  <c r="U413" i="907"/>
  <c r="U414" i="907"/>
  <c r="U415" i="907"/>
  <c r="U416" i="907"/>
  <c r="U417" i="907"/>
  <c r="U418" i="907"/>
  <c r="U419" i="907"/>
  <c r="U420" i="907"/>
  <c r="U421" i="907"/>
  <c r="U422" i="907"/>
  <c r="U423" i="907"/>
  <c r="U424" i="907"/>
  <c r="U425" i="907"/>
  <c r="U426" i="907"/>
  <c r="U427" i="907"/>
  <c r="U428" i="907"/>
  <c r="U429" i="907"/>
  <c r="U430" i="907"/>
  <c r="U431" i="907"/>
  <c r="U432" i="907"/>
  <c r="U433" i="907"/>
  <c r="U434" i="907"/>
  <c r="U435" i="907"/>
  <c r="U436" i="907"/>
  <c r="U437" i="907"/>
  <c r="U438" i="907"/>
  <c r="U439" i="907"/>
  <c r="U440" i="907"/>
  <c r="U441" i="907"/>
  <c r="U442" i="907"/>
  <c r="U443" i="907"/>
  <c r="U444" i="907"/>
  <c r="U445" i="907"/>
  <c r="U446" i="907"/>
  <c r="U447" i="907"/>
  <c r="U448" i="907"/>
  <c r="U449" i="907"/>
  <c r="U450" i="907"/>
  <c r="U451" i="907"/>
  <c r="U452" i="907"/>
  <c r="U453" i="907"/>
  <c r="U454" i="907"/>
  <c r="U455" i="907"/>
  <c r="U456" i="907"/>
  <c r="U457" i="907"/>
  <c r="U458" i="907"/>
  <c r="U459" i="907"/>
  <c r="U460" i="907"/>
  <c r="U461" i="907"/>
  <c r="U462" i="907"/>
  <c r="U463" i="907"/>
  <c r="U464" i="907"/>
  <c r="U465" i="907"/>
  <c r="U466" i="907"/>
  <c r="U467" i="907"/>
  <c r="U468" i="907"/>
  <c r="U469" i="907"/>
  <c r="U470" i="907"/>
  <c r="U471" i="907"/>
  <c r="U472" i="907"/>
  <c r="U473" i="907"/>
  <c r="U474" i="907"/>
  <c r="U475" i="907"/>
  <c r="U476" i="907"/>
  <c r="U477" i="907"/>
  <c r="U478" i="907"/>
  <c r="U479" i="907"/>
  <c r="U480" i="907"/>
  <c r="U481" i="907"/>
  <c r="U482" i="907"/>
  <c r="U483" i="907"/>
  <c r="U484" i="907"/>
  <c r="U485" i="907"/>
  <c r="U486" i="907"/>
  <c r="U487" i="907"/>
  <c r="U488" i="907"/>
  <c r="U489" i="907"/>
  <c r="U490" i="907"/>
  <c r="U491" i="907"/>
  <c r="U492" i="907"/>
  <c r="U493" i="907"/>
  <c r="U494" i="907"/>
  <c r="U495" i="907"/>
  <c r="U496" i="907"/>
  <c r="U497" i="907"/>
  <c r="U498" i="907"/>
  <c r="U499" i="907"/>
  <c r="U500" i="907"/>
  <c r="U501" i="907"/>
  <c r="U502" i="907"/>
  <c r="U503" i="907"/>
  <c r="U504" i="907"/>
  <c r="U505" i="907"/>
  <c r="U506" i="907"/>
  <c r="U507" i="907"/>
  <c r="U508" i="907"/>
  <c r="U509" i="907"/>
  <c r="U510" i="907"/>
  <c r="U511" i="907"/>
  <c r="U512" i="907"/>
  <c r="U513" i="907"/>
  <c r="U514" i="907"/>
  <c r="U515" i="907"/>
  <c r="U516" i="907"/>
  <c r="U517" i="907"/>
  <c r="U518" i="907"/>
  <c r="U519" i="907"/>
  <c r="U520" i="907"/>
  <c r="U521" i="907"/>
  <c r="U522" i="907"/>
  <c r="U523" i="907"/>
  <c r="U524" i="907"/>
  <c r="U525" i="907"/>
  <c r="U526" i="907"/>
  <c r="U527" i="907"/>
  <c r="U528" i="907"/>
  <c r="U529" i="907"/>
  <c r="U530" i="907"/>
  <c r="U531" i="907"/>
  <c r="U532" i="907"/>
  <c r="U533" i="907"/>
  <c r="U534" i="907"/>
  <c r="U535" i="907"/>
  <c r="U536" i="907"/>
  <c r="U537" i="907"/>
  <c r="U538" i="907"/>
  <c r="U539" i="907"/>
  <c r="U540" i="907"/>
  <c r="U541" i="907"/>
  <c r="U542" i="907"/>
  <c r="U543" i="907"/>
  <c r="U544" i="907"/>
  <c r="U545" i="907"/>
  <c r="U546" i="907"/>
  <c r="U547" i="907"/>
  <c r="U548" i="907"/>
  <c r="U549" i="907"/>
  <c r="U550" i="907"/>
  <c r="U551" i="907"/>
  <c r="U552" i="907"/>
  <c r="U553" i="907"/>
  <c r="U554" i="907"/>
  <c r="U555" i="907"/>
  <c r="U556" i="907"/>
  <c r="U557" i="907"/>
  <c r="U558" i="907"/>
  <c r="U559" i="907"/>
  <c r="U560" i="907"/>
  <c r="U561" i="907"/>
  <c r="U562" i="907"/>
  <c r="U563" i="907"/>
  <c r="U564" i="907"/>
  <c r="U565" i="907"/>
  <c r="U566" i="907"/>
  <c r="U567" i="907"/>
  <c r="U568" i="907"/>
  <c r="U569" i="907"/>
  <c r="U570" i="907"/>
  <c r="U571" i="907"/>
  <c r="U572" i="907"/>
  <c r="U573" i="907"/>
  <c r="U574" i="907"/>
  <c r="U575" i="907"/>
  <c r="U576" i="907"/>
  <c r="U577" i="907"/>
  <c r="U578" i="907"/>
  <c r="U579" i="907"/>
  <c r="U580" i="907"/>
  <c r="U581" i="907"/>
  <c r="U582" i="907"/>
  <c r="U583" i="907"/>
  <c r="U584" i="907"/>
  <c r="U585" i="907"/>
  <c r="U586" i="907"/>
  <c r="U587" i="907"/>
  <c r="U588" i="907"/>
  <c r="U589" i="907"/>
  <c r="U590" i="907"/>
  <c r="U591" i="907"/>
  <c r="U592" i="907"/>
  <c r="U593" i="907"/>
  <c r="U594" i="907"/>
  <c r="U595" i="907"/>
  <c r="U596" i="907"/>
  <c r="U597" i="907"/>
  <c r="U598" i="907"/>
  <c r="U599" i="907"/>
  <c r="U600" i="907"/>
  <c r="U601" i="907"/>
  <c r="U602" i="907"/>
  <c r="U603" i="907"/>
  <c r="U604" i="907"/>
  <c r="U605" i="907"/>
  <c r="U606" i="907"/>
  <c r="U607" i="907"/>
  <c r="U608" i="907"/>
  <c r="U609" i="907"/>
  <c r="U610" i="907"/>
  <c r="U611" i="907"/>
  <c r="U612" i="907"/>
  <c r="U613" i="907"/>
  <c r="U614" i="907"/>
  <c r="U615" i="907"/>
  <c r="U616" i="907"/>
  <c r="U617" i="907"/>
  <c r="U618" i="907"/>
  <c r="U619" i="907"/>
  <c r="U620" i="907"/>
  <c r="U621" i="907"/>
  <c r="U622" i="907"/>
  <c r="U623" i="907"/>
  <c r="U624" i="907"/>
  <c r="U625" i="907"/>
  <c r="U626" i="907"/>
  <c r="U627" i="907"/>
  <c r="U628" i="907"/>
  <c r="U629" i="907"/>
  <c r="U630" i="907"/>
  <c r="U631" i="907"/>
  <c r="U632" i="907"/>
  <c r="U633" i="907"/>
  <c r="U634" i="907"/>
  <c r="U635" i="907"/>
  <c r="U636" i="907"/>
  <c r="T3" i="907"/>
  <c r="T4" i="907"/>
  <c r="T5" i="907"/>
  <c r="T6" i="907"/>
  <c r="T7" i="907"/>
  <c r="T8" i="907"/>
  <c r="T9" i="907"/>
  <c r="T10" i="907"/>
  <c r="T11" i="907"/>
  <c r="T12" i="907"/>
  <c r="T13" i="907"/>
  <c r="T14" i="907"/>
  <c r="T15" i="907"/>
  <c r="T16" i="907"/>
  <c r="T17" i="907"/>
  <c r="T18" i="907"/>
  <c r="T19" i="907"/>
  <c r="T20" i="907"/>
  <c r="T21" i="907"/>
  <c r="T22" i="907"/>
  <c r="T23" i="907"/>
  <c r="T24" i="907"/>
  <c r="T25" i="907"/>
  <c r="T26" i="907"/>
  <c r="T27" i="907"/>
  <c r="T28" i="907"/>
  <c r="T29" i="907"/>
  <c r="T30" i="907"/>
  <c r="T31" i="907"/>
  <c r="T32" i="907"/>
  <c r="T33" i="907"/>
  <c r="T34" i="907"/>
  <c r="T35" i="907"/>
  <c r="T36" i="907"/>
  <c r="T37" i="907"/>
  <c r="T38" i="907"/>
  <c r="T39" i="907"/>
  <c r="T40" i="907"/>
  <c r="T41" i="907"/>
  <c r="T42" i="907"/>
  <c r="T43" i="907"/>
  <c r="T44" i="907"/>
  <c r="T45" i="907"/>
  <c r="T46" i="907"/>
  <c r="T47" i="907"/>
  <c r="T48" i="907"/>
  <c r="T49" i="907"/>
  <c r="T50" i="907"/>
  <c r="T51" i="907"/>
  <c r="T52" i="907"/>
  <c r="T53" i="907"/>
  <c r="T54" i="907"/>
  <c r="T55" i="907"/>
  <c r="T56" i="907"/>
  <c r="T57" i="907"/>
  <c r="T58" i="907"/>
  <c r="T59" i="907"/>
  <c r="T60" i="907"/>
  <c r="T61" i="907"/>
  <c r="T62" i="907"/>
  <c r="T63" i="907"/>
  <c r="T64" i="907"/>
  <c r="T65" i="907"/>
  <c r="T66" i="907"/>
  <c r="T67" i="907"/>
  <c r="T68" i="907"/>
  <c r="T69" i="907"/>
  <c r="T70" i="907"/>
  <c r="T71" i="907"/>
  <c r="T72" i="907"/>
  <c r="T73" i="907"/>
  <c r="T74" i="907"/>
  <c r="T75" i="907"/>
  <c r="T76" i="907"/>
  <c r="T77" i="907"/>
  <c r="T78" i="907"/>
  <c r="T79" i="907"/>
  <c r="T80" i="907"/>
  <c r="T81" i="907"/>
  <c r="T82" i="907"/>
  <c r="T83" i="907"/>
  <c r="T84" i="907"/>
  <c r="T85" i="907"/>
  <c r="T86" i="907"/>
  <c r="T87" i="907"/>
  <c r="T88" i="907"/>
  <c r="T89" i="907"/>
  <c r="T90" i="907"/>
  <c r="T91" i="907"/>
  <c r="T92" i="907"/>
  <c r="T93" i="907"/>
  <c r="T94" i="907"/>
  <c r="T95" i="907"/>
  <c r="T96" i="907"/>
  <c r="T97" i="907"/>
  <c r="T98" i="907"/>
  <c r="T99" i="907"/>
  <c r="T100" i="907"/>
  <c r="T101" i="907"/>
  <c r="T102" i="907"/>
  <c r="T103" i="907"/>
  <c r="T104" i="907"/>
  <c r="T105" i="907"/>
  <c r="T106" i="907"/>
  <c r="T107" i="907"/>
  <c r="T108" i="907"/>
  <c r="T109" i="907"/>
  <c r="T110" i="907"/>
  <c r="T111" i="907"/>
  <c r="T112" i="907"/>
  <c r="T113" i="907"/>
  <c r="T114" i="907"/>
  <c r="T115" i="907"/>
  <c r="T116" i="907"/>
  <c r="T117" i="907"/>
  <c r="T118" i="907"/>
  <c r="T119" i="907"/>
  <c r="T120" i="907"/>
  <c r="T121" i="907"/>
  <c r="T122" i="907"/>
  <c r="T123" i="907"/>
  <c r="T124" i="907"/>
  <c r="T125" i="907"/>
  <c r="T126" i="907"/>
  <c r="T127" i="907"/>
  <c r="T128" i="907"/>
  <c r="T129" i="907"/>
  <c r="T130" i="907"/>
  <c r="T131" i="907"/>
  <c r="T132" i="907"/>
  <c r="T133" i="907"/>
  <c r="T134" i="907"/>
  <c r="T135" i="907"/>
  <c r="T136" i="907"/>
  <c r="T137" i="907"/>
  <c r="T138" i="907"/>
  <c r="T139" i="907"/>
  <c r="T140" i="907"/>
  <c r="T141" i="907"/>
  <c r="T142" i="907"/>
  <c r="T143" i="907"/>
  <c r="T144" i="907"/>
  <c r="T145" i="907"/>
  <c r="T146" i="907"/>
  <c r="T147" i="907"/>
  <c r="T148" i="907"/>
  <c r="T149" i="907"/>
  <c r="T150" i="907"/>
  <c r="T151" i="907"/>
  <c r="T152" i="907"/>
  <c r="T153" i="907"/>
  <c r="T154" i="907"/>
  <c r="T155" i="907"/>
  <c r="T156" i="907"/>
  <c r="T157" i="907"/>
  <c r="T158" i="907"/>
  <c r="T159" i="907"/>
  <c r="T160" i="907"/>
  <c r="T161" i="907"/>
  <c r="T162" i="907"/>
  <c r="T163" i="907"/>
  <c r="T164" i="907"/>
  <c r="T165" i="907"/>
  <c r="T166" i="907"/>
  <c r="T167" i="907"/>
  <c r="T168" i="907"/>
  <c r="T169" i="907"/>
  <c r="T170" i="907"/>
  <c r="T171" i="907"/>
  <c r="T172" i="907"/>
  <c r="T173" i="907"/>
  <c r="T174" i="907"/>
  <c r="T175" i="907"/>
  <c r="T176" i="907"/>
  <c r="T177" i="907"/>
  <c r="T178" i="907"/>
  <c r="T179" i="907"/>
  <c r="T180" i="907"/>
  <c r="T181" i="907"/>
  <c r="T182" i="907"/>
  <c r="T183" i="907"/>
  <c r="T184" i="907"/>
  <c r="T185" i="907"/>
  <c r="T186" i="907"/>
  <c r="T187" i="907"/>
  <c r="T188" i="907"/>
  <c r="T189" i="907"/>
  <c r="T190" i="907"/>
  <c r="T191" i="907"/>
  <c r="T192" i="907"/>
  <c r="T193" i="907"/>
  <c r="T194" i="907"/>
  <c r="T195" i="907"/>
  <c r="T196" i="907"/>
  <c r="T197" i="907"/>
  <c r="T198" i="907"/>
  <c r="T199" i="907"/>
  <c r="T200" i="907"/>
  <c r="T201" i="907"/>
  <c r="T202" i="907"/>
  <c r="T203" i="907"/>
  <c r="T204" i="907"/>
  <c r="T205" i="907"/>
  <c r="T206" i="907"/>
  <c r="T207" i="907"/>
  <c r="T208" i="907"/>
  <c r="T209" i="907"/>
  <c r="T210" i="907"/>
  <c r="T211" i="907"/>
  <c r="T212" i="907"/>
  <c r="T213" i="907"/>
  <c r="T214" i="907"/>
  <c r="T215" i="907"/>
  <c r="T216" i="907"/>
  <c r="T217" i="907"/>
  <c r="T218" i="907"/>
  <c r="T219" i="907"/>
  <c r="T220" i="907"/>
  <c r="T221" i="907"/>
  <c r="T222" i="907"/>
  <c r="T223" i="907"/>
  <c r="T224" i="907"/>
  <c r="T225" i="907"/>
  <c r="T226" i="907"/>
  <c r="T227" i="907"/>
  <c r="T228" i="907"/>
  <c r="T229" i="907"/>
  <c r="T230" i="907"/>
  <c r="T231" i="907"/>
  <c r="T232" i="907"/>
  <c r="T233" i="907"/>
  <c r="T234" i="907"/>
  <c r="T235" i="907"/>
  <c r="T236" i="907"/>
  <c r="T237" i="907"/>
  <c r="T238" i="907"/>
  <c r="T239" i="907"/>
  <c r="T240" i="907"/>
  <c r="T241" i="907"/>
  <c r="T242" i="907"/>
  <c r="T243" i="907"/>
  <c r="T244" i="907"/>
  <c r="T245" i="907"/>
  <c r="T246" i="907"/>
  <c r="T247" i="907"/>
  <c r="T248" i="907"/>
  <c r="T249" i="907"/>
  <c r="T250" i="907"/>
  <c r="T251" i="907"/>
  <c r="T252" i="907"/>
  <c r="T253" i="907"/>
  <c r="T254" i="907"/>
  <c r="T255" i="907"/>
  <c r="T256" i="907"/>
  <c r="T257" i="907"/>
  <c r="T258" i="907"/>
  <c r="T259" i="907"/>
  <c r="T260" i="907"/>
  <c r="T261" i="907"/>
  <c r="T262" i="907"/>
  <c r="T263" i="907"/>
  <c r="T264" i="907"/>
  <c r="T265" i="907"/>
  <c r="T266" i="907"/>
  <c r="T267" i="907"/>
  <c r="T268" i="907"/>
  <c r="T269" i="907"/>
  <c r="T270" i="907"/>
  <c r="T271" i="907"/>
  <c r="T272" i="907"/>
  <c r="T273" i="907"/>
  <c r="T274" i="907"/>
  <c r="T275" i="907"/>
  <c r="T276" i="907"/>
  <c r="T277" i="907"/>
  <c r="T278" i="907"/>
  <c r="T279" i="907"/>
  <c r="T280" i="907"/>
  <c r="T281" i="907"/>
  <c r="T282" i="907"/>
  <c r="T283" i="907"/>
  <c r="T284" i="907"/>
  <c r="T285" i="907"/>
  <c r="T286" i="907"/>
  <c r="T287" i="907"/>
  <c r="T288" i="907"/>
  <c r="T289" i="907"/>
  <c r="T290" i="907"/>
  <c r="T291" i="907"/>
  <c r="T292" i="907"/>
  <c r="T293" i="907"/>
  <c r="T294" i="907"/>
  <c r="T295" i="907"/>
  <c r="T296" i="907"/>
  <c r="T297" i="907"/>
  <c r="T298" i="907"/>
  <c r="T299" i="907"/>
  <c r="T300" i="907"/>
  <c r="T301" i="907"/>
  <c r="T302" i="907"/>
  <c r="T303" i="907"/>
  <c r="T304" i="907"/>
  <c r="T305" i="907"/>
  <c r="T306" i="907"/>
  <c r="T307" i="907"/>
  <c r="T308" i="907"/>
  <c r="T309" i="907"/>
  <c r="T310" i="907"/>
  <c r="T311" i="907"/>
  <c r="T312" i="907"/>
  <c r="T313" i="907"/>
  <c r="T314" i="907"/>
  <c r="T315" i="907"/>
  <c r="T316" i="907"/>
  <c r="T317" i="907"/>
  <c r="T318" i="907"/>
  <c r="T319" i="907"/>
  <c r="T320" i="907"/>
  <c r="T321" i="907"/>
  <c r="T322" i="907"/>
  <c r="T323" i="907"/>
  <c r="T324" i="907"/>
  <c r="T325" i="907"/>
  <c r="T326" i="907"/>
  <c r="T327" i="907"/>
  <c r="T328" i="907"/>
  <c r="T329" i="907"/>
  <c r="T330" i="907"/>
  <c r="T331" i="907"/>
  <c r="T332" i="907"/>
  <c r="T333" i="907"/>
  <c r="T334" i="907"/>
  <c r="T335" i="907"/>
  <c r="T336" i="907"/>
  <c r="T337" i="907"/>
  <c r="T338" i="907"/>
  <c r="T339" i="907"/>
  <c r="T340" i="907"/>
  <c r="T341" i="907"/>
  <c r="T342" i="907"/>
  <c r="T343" i="907"/>
  <c r="T344" i="907"/>
  <c r="T345" i="907"/>
  <c r="T346" i="907"/>
  <c r="T347" i="907"/>
  <c r="T348" i="907"/>
  <c r="T349" i="907"/>
  <c r="T350" i="907"/>
  <c r="T351" i="907"/>
  <c r="T352" i="907"/>
  <c r="T353" i="907"/>
  <c r="T354" i="907"/>
  <c r="T355" i="907"/>
  <c r="T356" i="907"/>
  <c r="T357" i="907"/>
  <c r="T358" i="907"/>
  <c r="T359" i="907"/>
  <c r="T360" i="907"/>
  <c r="T361" i="907"/>
  <c r="T362" i="907"/>
  <c r="T363" i="907"/>
  <c r="T364" i="907"/>
  <c r="T365" i="907"/>
  <c r="T366" i="907"/>
  <c r="T367" i="907"/>
  <c r="T368" i="907"/>
  <c r="T369" i="907"/>
  <c r="T370" i="907"/>
  <c r="T371" i="907"/>
  <c r="T372" i="907"/>
  <c r="T373" i="907"/>
  <c r="T374" i="907"/>
  <c r="T375" i="907"/>
  <c r="T376" i="907"/>
  <c r="T377" i="907"/>
  <c r="T378" i="907"/>
  <c r="T379" i="907"/>
  <c r="T380" i="907"/>
  <c r="T381" i="907"/>
  <c r="T382" i="907"/>
  <c r="T383" i="907"/>
  <c r="T384" i="907"/>
  <c r="T385" i="907"/>
  <c r="T386" i="907"/>
  <c r="T387" i="907"/>
  <c r="T388" i="907"/>
  <c r="T389" i="907"/>
  <c r="T390" i="907"/>
  <c r="T391" i="907"/>
  <c r="T392" i="907"/>
  <c r="T393" i="907"/>
  <c r="T394" i="907"/>
  <c r="T395" i="907"/>
  <c r="T396" i="907"/>
  <c r="T397" i="907"/>
  <c r="T398" i="907"/>
  <c r="T399" i="907"/>
  <c r="T400" i="907"/>
  <c r="T401" i="907"/>
  <c r="T402" i="907"/>
  <c r="T403" i="907"/>
  <c r="T404" i="907"/>
  <c r="T405" i="907"/>
  <c r="T406" i="907"/>
  <c r="T407" i="907"/>
  <c r="T408" i="907"/>
  <c r="T409" i="907"/>
  <c r="T410" i="907"/>
  <c r="T411" i="907"/>
  <c r="T412" i="907"/>
  <c r="T413" i="907"/>
  <c r="T414" i="907"/>
  <c r="T415" i="907"/>
  <c r="T416" i="907"/>
  <c r="T417" i="907"/>
  <c r="T418" i="907"/>
  <c r="T419" i="907"/>
  <c r="T420" i="907"/>
  <c r="T421" i="907"/>
  <c r="T422" i="907"/>
  <c r="T423" i="907"/>
  <c r="T424" i="907"/>
  <c r="T425" i="907"/>
  <c r="T426" i="907"/>
  <c r="T427" i="907"/>
  <c r="T428" i="907"/>
  <c r="T429" i="907"/>
  <c r="T430" i="907"/>
  <c r="T431" i="907"/>
  <c r="T432" i="907"/>
  <c r="T433" i="907"/>
  <c r="T434" i="907"/>
  <c r="T435" i="907"/>
  <c r="T436" i="907"/>
  <c r="T437" i="907"/>
  <c r="T438" i="907"/>
  <c r="T439" i="907"/>
  <c r="T440" i="907"/>
  <c r="T441" i="907"/>
  <c r="T442" i="907"/>
  <c r="T443" i="907"/>
  <c r="T444" i="907"/>
  <c r="T445" i="907"/>
  <c r="T446" i="907"/>
  <c r="T447" i="907"/>
  <c r="T448" i="907"/>
  <c r="T449" i="907"/>
  <c r="T450" i="907"/>
  <c r="T451" i="907"/>
  <c r="T452" i="907"/>
  <c r="T453" i="907"/>
  <c r="T454" i="907"/>
  <c r="T455" i="907"/>
  <c r="T456" i="907"/>
  <c r="T457" i="907"/>
  <c r="T458" i="907"/>
  <c r="T459" i="907"/>
  <c r="T460" i="907"/>
  <c r="T461" i="907"/>
  <c r="T462" i="907"/>
  <c r="T463" i="907"/>
  <c r="T464" i="907"/>
  <c r="T465" i="907"/>
  <c r="T466" i="907"/>
  <c r="T467" i="907"/>
  <c r="T468" i="907"/>
  <c r="T469" i="907"/>
  <c r="T470" i="907"/>
  <c r="T471" i="907"/>
  <c r="T472" i="907"/>
  <c r="T473" i="907"/>
  <c r="T474" i="907"/>
  <c r="T475" i="907"/>
  <c r="T476" i="907"/>
  <c r="T477" i="907"/>
  <c r="T478" i="907"/>
  <c r="T479" i="907"/>
  <c r="T480" i="907"/>
  <c r="T481" i="907"/>
  <c r="T482" i="907"/>
  <c r="T483" i="907"/>
  <c r="T484" i="907"/>
  <c r="T485" i="907"/>
  <c r="T486" i="907"/>
  <c r="T487" i="907"/>
  <c r="T488" i="907"/>
  <c r="T489" i="907"/>
  <c r="T490" i="907"/>
  <c r="T491" i="907"/>
  <c r="T492" i="907"/>
  <c r="T493" i="907"/>
  <c r="T494" i="907"/>
  <c r="T495" i="907"/>
  <c r="T496" i="907"/>
  <c r="T497" i="907"/>
  <c r="T498" i="907"/>
  <c r="T499" i="907"/>
  <c r="T500" i="907"/>
  <c r="T501" i="907"/>
  <c r="T502" i="907"/>
  <c r="T503" i="907"/>
  <c r="T504" i="907"/>
  <c r="T505" i="907"/>
  <c r="T506" i="907"/>
  <c r="T507" i="907"/>
  <c r="T508" i="907"/>
  <c r="T509" i="907"/>
  <c r="T510" i="907"/>
  <c r="T511" i="907"/>
  <c r="T512" i="907"/>
  <c r="T513" i="907"/>
  <c r="T514" i="907"/>
  <c r="T515" i="907"/>
  <c r="T516" i="907"/>
  <c r="T517" i="907"/>
  <c r="T518" i="907"/>
  <c r="T519" i="907"/>
  <c r="T520" i="907"/>
  <c r="T521" i="907"/>
  <c r="T522" i="907"/>
  <c r="T523" i="907"/>
  <c r="T524" i="907"/>
  <c r="T525" i="907"/>
  <c r="T526" i="907"/>
  <c r="T527" i="907"/>
  <c r="T528" i="907"/>
  <c r="T529" i="907"/>
  <c r="T530" i="907"/>
  <c r="T531" i="907"/>
  <c r="T532" i="907"/>
  <c r="T533" i="907"/>
  <c r="T534" i="907"/>
  <c r="T535" i="907"/>
  <c r="T536" i="907"/>
  <c r="T537" i="907"/>
  <c r="T538" i="907"/>
  <c r="T539" i="907"/>
  <c r="T540" i="907"/>
  <c r="T541" i="907"/>
  <c r="T542" i="907"/>
  <c r="T543" i="907"/>
  <c r="T544" i="907"/>
  <c r="T545" i="907"/>
  <c r="T546" i="907"/>
  <c r="T547" i="907"/>
  <c r="T548" i="907"/>
  <c r="T549" i="907"/>
  <c r="T550" i="907"/>
  <c r="T551" i="907"/>
  <c r="T552" i="907"/>
  <c r="T553" i="907"/>
  <c r="T554" i="907"/>
  <c r="T555" i="907"/>
  <c r="T556" i="907"/>
  <c r="T557" i="907"/>
  <c r="T558" i="907"/>
  <c r="T559" i="907"/>
  <c r="T560" i="907"/>
  <c r="T561" i="907"/>
  <c r="T562" i="907"/>
  <c r="T563" i="907"/>
  <c r="T564" i="907"/>
  <c r="T565" i="907"/>
  <c r="T566" i="907"/>
  <c r="T567" i="907"/>
  <c r="T568" i="907"/>
  <c r="T569" i="907"/>
  <c r="T570" i="907"/>
  <c r="T571" i="907"/>
  <c r="T572" i="907"/>
  <c r="T573" i="907"/>
  <c r="T574" i="907"/>
  <c r="T575" i="907"/>
  <c r="T576" i="907"/>
  <c r="T577" i="907"/>
  <c r="T578" i="907"/>
  <c r="T579" i="907"/>
  <c r="T580" i="907"/>
  <c r="T581" i="907"/>
  <c r="T582" i="907"/>
  <c r="T583" i="907"/>
  <c r="T584" i="907"/>
  <c r="T585" i="907"/>
  <c r="T586" i="907"/>
  <c r="T587" i="907"/>
  <c r="T588" i="907"/>
  <c r="T589" i="907"/>
  <c r="T590" i="907"/>
  <c r="T591" i="907"/>
  <c r="T592" i="907"/>
  <c r="T593" i="907"/>
  <c r="T594" i="907"/>
  <c r="T595" i="907"/>
  <c r="T596" i="907"/>
  <c r="T597" i="907"/>
  <c r="T598" i="907"/>
  <c r="T599" i="907"/>
  <c r="T600" i="907"/>
  <c r="T601" i="907"/>
  <c r="T602" i="907"/>
  <c r="T603" i="907"/>
  <c r="T604" i="907"/>
  <c r="T605" i="907"/>
  <c r="T606" i="907"/>
  <c r="T607" i="907"/>
  <c r="T608" i="907"/>
  <c r="T609" i="907"/>
  <c r="T610" i="907"/>
  <c r="T611" i="907"/>
  <c r="T612" i="907"/>
  <c r="T613" i="907"/>
  <c r="T614" i="907"/>
  <c r="T615" i="907"/>
  <c r="T616" i="907"/>
  <c r="T617" i="907"/>
  <c r="T618" i="907"/>
  <c r="T619" i="907"/>
  <c r="T620" i="907"/>
  <c r="T621" i="907"/>
  <c r="T622" i="907"/>
  <c r="T623" i="907"/>
  <c r="T624" i="907"/>
  <c r="T625" i="907"/>
  <c r="T626" i="907"/>
  <c r="T627" i="907"/>
  <c r="T628" i="907"/>
  <c r="T629" i="907"/>
  <c r="T630" i="907"/>
  <c r="T631" i="907"/>
  <c r="T632" i="907"/>
  <c r="T633" i="907"/>
  <c r="T634" i="907"/>
  <c r="T635" i="907"/>
  <c r="T636" i="907"/>
  <c r="X3" i="906"/>
  <c r="X4" i="906"/>
  <c r="W3" i="906"/>
  <c r="W4" i="906"/>
  <c r="V3" i="906"/>
  <c r="V4" i="906"/>
  <c r="U3" i="906"/>
  <c r="U4" i="906"/>
  <c r="T3" i="906"/>
  <c r="T4" i="906"/>
  <c r="S3" i="906"/>
  <c r="S4" i="906"/>
  <c r="R3" i="906"/>
  <c r="R4" i="906"/>
  <c r="Q3" i="906"/>
  <c r="Q4" i="906"/>
  <c r="P3" i="906"/>
  <c r="P4" i="906"/>
  <c r="O3" i="906"/>
  <c r="O4" i="906"/>
  <c r="AE636" i="907" l="1"/>
  <c r="AE632" i="907"/>
  <c r="AE628" i="907"/>
  <c r="AE624" i="907"/>
  <c r="AE620" i="907"/>
  <c r="AE616" i="907"/>
  <c r="AE612" i="907"/>
  <c r="AE608" i="907"/>
  <c r="AE604" i="907"/>
  <c r="AE600" i="907"/>
  <c r="AE596" i="907"/>
  <c r="AE592" i="907"/>
  <c r="AE588" i="907"/>
  <c r="AE584" i="907"/>
  <c r="AE580" i="907"/>
  <c r="AE576" i="907"/>
  <c r="AE572" i="907"/>
  <c r="AE568" i="907"/>
  <c r="AE564" i="907"/>
  <c r="AE560" i="907"/>
  <c r="AE556" i="907"/>
  <c r="AE552" i="907"/>
  <c r="AE548" i="907"/>
  <c r="AE544" i="907"/>
  <c r="AE540" i="907"/>
  <c r="AE536" i="907"/>
  <c r="AE532" i="907"/>
  <c r="AE528" i="907"/>
  <c r="AE524" i="907"/>
  <c r="AE520" i="907"/>
  <c r="AE516" i="907"/>
  <c r="AE512" i="907"/>
  <c r="AE508" i="907"/>
  <c r="AE504" i="907"/>
  <c r="AE500" i="907"/>
  <c r="AE496" i="907"/>
  <c r="AE492" i="907"/>
  <c r="AE488" i="907"/>
  <c r="AE484" i="907"/>
  <c r="AE480" i="907"/>
  <c r="AE476" i="907"/>
  <c r="AE472" i="907"/>
  <c r="AE468" i="907"/>
  <c r="AE464" i="907"/>
  <c r="AE460" i="907"/>
  <c r="AE456" i="907"/>
  <c r="AE452" i="907"/>
  <c r="AE448" i="907"/>
  <c r="AE444" i="907"/>
  <c r="AE440" i="907"/>
  <c r="AE436" i="907"/>
  <c r="AE432" i="907"/>
  <c r="AE428" i="907"/>
  <c r="AE424" i="907"/>
  <c r="AE420" i="907"/>
  <c r="AE416" i="907"/>
  <c r="AE412" i="907"/>
  <c r="AE408" i="907"/>
  <c r="AE404" i="907"/>
  <c r="AE400" i="907"/>
  <c r="AE396" i="907"/>
  <c r="AE392" i="907"/>
  <c r="AE388" i="907"/>
  <c r="AE384" i="907"/>
  <c r="AE380" i="907"/>
  <c r="AE376" i="907"/>
  <c r="AE372" i="907"/>
  <c r="AE368" i="907"/>
  <c r="AE364" i="907"/>
  <c r="AE360" i="907"/>
  <c r="AE356" i="907"/>
  <c r="AE352" i="907"/>
  <c r="AE348" i="907"/>
  <c r="AE344" i="907"/>
  <c r="AE340" i="907"/>
  <c r="AE336" i="907"/>
  <c r="AE332" i="907"/>
  <c r="AE328" i="907"/>
  <c r="AE324" i="907"/>
  <c r="AE320" i="907"/>
  <c r="AE316" i="907"/>
  <c r="AE312" i="907"/>
  <c r="AE308" i="907"/>
  <c r="AE304" i="907"/>
  <c r="AE300" i="907"/>
  <c r="AE296" i="907"/>
  <c r="AE292" i="907"/>
  <c r="AE288" i="907"/>
  <c r="AE284" i="907"/>
  <c r="AE280" i="907"/>
  <c r="AE276" i="907"/>
  <c r="AE272" i="907"/>
  <c r="AE268" i="907"/>
  <c r="AE264" i="907"/>
  <c r="AE260" i="907"/>
  <c r="AE256" i="907"/>
  <c r="AE252" i="907"/>
  <c r="AE248" i="907"/>
  <c r="AE244" i="907"/>
  <c r="AE240" i="907"/>
  <c r="AE236" i="907"/>
  <c r="AE232" i="907"/>
  <c r="AE228" i="907"/>
  <c r="AE224" i="907"/>
  <c r="AE220" i="907"/>
  <c r="AE216" i="907"/>
  <c r="AE212" i="907"/>
  <c r="AE208" i="907"/>
  <c r="AE204" i="907"/>
  <c r="AE200" i="907"/>
  <c r="AE196" i="907"/>
  <c r="AE192" i="907"/>
  <c r="AE188" i="907"/>
  <c r="AE184" i="907"/>
  <c r="AE180" i="907"/>
  <c r="AE176" i="907"/>
  <c r="AE172" i="907"/>
  <c r="AE168" i="907"/>
  <c r="AE164" i="907"/>
  <c r="AE160" i="907"/>
  <c r="AE156" i="907"/>
  <c r="AE152" i="907"/>
  <c r="AE148" i="907"/>
  <c r="AE144" i="907"/>
  <c r="AE140" i="907"/>
  <c r="AE136" i="907"/>
  <c r="AE132" i="907"/>
  <c r="AE128" i="907"/>
  <c r="AE124" i="907"/>
  <c r="AE635" i="907"/>
  <c r="AE631" i="907"/>
  <c r="AE627" i="907"/>
  <c r="AE623" i="907"/>
  <c r="AE619" i="907"/>
  <c r="AE615" i="907"/>
  <c r="AE611" i="907"/>
  <c r="AE607" i="907"/>
  <c r="AE603" i="907"/>
  <c r="AE599" i="907"/>
  <c r="AE595" i="907"/>
  <c r="AE591" i="907"/>
  <c r="AE587" i="907"/>
  <c r="AE583" i="907"/>
  <c r="AE579" i="907"/>
  <c r="AE575" i="907"/>
  <c r="AE571" i="907"/>
  <c r="AE567" i="907"/>
  <c r="AE563" i="907"/>
  <c r="AE559" i="907"/>
  <c r="AE555" i="907"/>
  <c r="AE551" i="907"/>
  <c r="AE547" i="907"/>
  <c r="AE543" i="907"/>
  <c r="AE539" i="907"/>
  <c r="AE535" i="907"/>
  <c r="AE531" i="907"/>
  <c r="AE527" i="907"/>
  <c r="AE523" i="907"/>
  <c r="AE519" i="907"/>
  <c r="AE515" i="907"/>
  <c r="AE511" i="907"/>
  <c r="AE507" i="907"/>
  <c r="AE503" i="907"/>
  <c r="AE499" i="907"/>
  <c r="AE495" i="907"/>
  <c r="AE491" i="907"/>
  <c r="AE487" i="907"/>
  <c r="AE483" i="907"/>
  <c r="AE479" i="907"/>
  <c r="AE475" i="907"/>
  <c r="AE471" i="907"/>
  <c r="AE467" i="907"/>
  <c r="AE463" i="907"/>
  <c r="AE459" i="907"/>
  <c r="AE455" i="907"/>
  <c r="AE451" i="907"/>
  <c r="AE447" i="907"/>
  <c r="AE443" i="907"/>
  <c r="AE439" i="907"/>
  <c r="AE435" i="907"/>
  <c r="AE431" i="907"/>
  <c r="AE427" i="907"/>
  <c r="AE423" i="907"/>
  <c r="AE419" i="907"/>
  <c r="AE415" i="907"/>
  <c r="AE411" i="907"/>
  <c r="AE407" i="907"/>
  <c r="AE403" i="907"/>
  <c r="AE399" i="907"/>
  <c r="AE395" i="907"/>
  <c r="AE391" i="907"/>
  <c r="AE387" i="907"/>
  <c r="AE383" i="907"/>
  <c r="AE379" i="907"/>
  <c r="AE375" i="907"/>
  <c r="AE371" i="907"/>
  <c r="AE367" i="907"/>
  <c r="AE363" i="907"/>
  <c r="AE359" i="907"/>
  <c r="AE355" i="907"/>
  <c r="AE351" i="907"/>
  <c r="AE347" i="907"/>
  <c r="AE343" i="907"/>
  <c r="AE339" i="907"/>
  <c r="AE335" i="907"/>
  <c r="AE331" i="907"/>
  <c r="AE327" i="907"/>
  <c r="AE323" i="907"/>
  <c r="AE319" i="907"/>
  <c r="AE315" i="907"/>
  <c r="AE311" i="907"/>
  <c r="AE307" i="907"/>
  <c r="AE303" i="907"/>
  <c r="AE299" i="907"/>
  <c r="AE295" i="907"/>
  <c r="AE291" i="907"/>
  <c r="AE287" i="907"/>
  <c r="AE283" i="907"/>
  <c r="AE279" i="907"/>
  <c r="AE275" i="907"/>
  <c r="AE271" i="907"/>
  <c r="AE267" i="907"/>
  <c r="AE263" i="907"/>
  <c r="AE259" i="907"/>
  <c r="AE255" i="907"/>
  <c r="AE251" i="907"/>
  <c r="AE247" i="907"/>
  <c r="AE243" i="907"/>
  <c r="AE239" i="907"/>
  <c r="AE235" i="907"/>
  <c r="AE231" i="907"/>
  <c r="AE227" i="907"/>
  <c r="AE223" i="907"/>
  <c r="AE219" i="907"/>
  <c r="AE215" i="907"/>
  <c r="AE211" i="907"/>
  <c r="AE207" i="907"/>
  <c r="AE203" i="907"/>
  <c r="AE199" i="907"/>
  <c r="AE195" i="907"/>
  <c r="AE191" i="907"/>
  <c r="AE187" i="907"/>
  <c r="AE183" i="907"/>
  <c r="AE179" i="907"/>
  <c r="AE175" i="907"/>
  <c r="AE171" i="907"/>
  <c r="AE167" i="907"/>
  <c r="AE163" i="907"/>
  <c r="AE159" i="907"/>
  <c r="AE155" i="907"/>
  <c r="AE151" i="907"/>
  <c r="AE147" i="907"/>
  <c r="AE143" i="907"/>
  <c r="AE139" i="907"/>
  <c r="AE135" i="907"/>
  <c r="AE131" i="907"/>
  <c r="AE127" i="907"/>
  <c r="AE123" i="907"/>
  <c r="AE119" i="907"/>
  <c r="AE115" i="907"/>
  <c r="AE111" i="907"/>
  <c r="AE107" i="907"/>
  <c r="AE103" i="907"/>
  <c r="AE99" i="907"/>
  <c r="AE95" i="907"/>
  <c r="AE91" i="907"/>
  <c r="AE87" i="907"/>
  <c r="AE83" i="907"/>
  <c r="AE79" i="907"/>
  <c r="AE75" i="907"/>
  <c r="AE71" i="907"/>
  <c r="AE67" i="907"/>
  <c r="AE63" i="907"/>
  <c r="AE59" i="907"/>
  <c r="AE55" i="907"/>
  <c r="AE51" i="907"/>
  <c r="AE47" i="907"/>
  <c r="AE43" i="907"/>
  <c r="AE39" i="907"/>
  <c r="AE35" i="907"/>
  <c r="AE31" i="907"/>
  <c r="AE27" i="907"/>
  <c r="AE23" i="907"/>
  <c r="AE19" i="907"/>
  <c r="AE15" i="907"/>
  <c r="AE11" i="907"/>
  <c r="AE7" i="907"/>
  <c r="AE3" i="907"/>
  <c r="AE120" i="907"/>
  <c r="AE116" i="907"/>
  <c r="AE112" i="907"/>
  <c r="AE108" i="907"/>
  <c r="AE104" i="907"/>
  <c r="AE100" i="907"/>
  <c r="AE96" i="907"/>
  <c r="AE92" i="907"/>
  <c r="AE88" i="907"/>
  <c r="AE84" i="907"/>
  <c r="AE80" i="907"/>
  <c r="AE76" i="907"/>
  <c r="AE72" i="907"/>
  <c r="AE68" i="907"/>
  <c r="AE64" i="907"/>
  <c r="AE60" i="907"/>
  <c r="AE56" i="907"/>
  <c r="AE52" i="907"/>
  <c r="AE48" i="907"/>
  <c r="AE44" i="907"/>
  <c r="AE40" i="907"/>
  <c r="AE36" i="907"/>
  <c r="AE32" i="907"/>
  <c r="AE28" i="907"/>
  <c r="AE24" i="907"/>
  <c r="AE20" i="907"/>
  <c r="AE16" i="907"/>
  <c r="AE12" i="907"/>
  <c r="AE8" i="907"/>
  <c r="AE4" i="907"/>
  <c r="AE634" i="907"/>
  <c r="AE630" i="907"/>
  <c r="AE626" i="907"/>
  <c r="AE622" i="907"/>
  <c r="AE618" i="907"/>
  <c r="AE614" i="907"/>
  <c r="AE610" i="907"/>
  <c r="AE606" i="907"/>
  <c r="AE602" i="907"/>
  <c r="AE598" i="907"/>
  <c r="AE594" i="907"/>
  <c r="AE590" i="907"/>
  <c r="AE586" i="907"/>
  <c r="AE582" i="907"/>
  <c r="AE578" i="907"/>
  <c r="AE574" i="907"/>
  <c r="AE570" i="907"/>
  <c r="AE566" i="907"/>
  <c r="AE562" i="907"/>
  <c r="AE558" i="907"/>
  <c r="AE554" i="907"/>
  <c r="AE550" i="907"/>
  <c r="AE546" i="907"/>
  <c r="AE542" i="907"/>
  <c r="AE538" i="907"/>
  <c r="AE534" i="907"/>
  <c r="AE530" i="907"/>
  <c r="AE526" i="907"/>
  <c r="AE522" i="907"/>
  <c r="AE518" i="907"/>
  <c r="AE514" i="907"/>
  <c r="AE510" i="907"/>
  <c r="AE506" i="907"/>
  <c r="AE502" i="907"/>
  <c r="AE498" i="907"/>
  <c r="AE494" i="907"/>
  <c r="AE490" i="907"/>
  <c r="AE486" i="907"/>
  <c r="AE482" i="907"/>
  <c r="AE478" i="907"/>
  <c r="AE474" i="907"/>
  <c r="AE470" i="907"/>
  <c r="AE466" i="907"/>
  <c r="AE462" i="907"/>
  <c r="AE458" i="907"/>
  <c r="AE454" i="907"/>
  <c r="AE450" i="907"/>
  <c r="AE446" i="907"/>
  <c r="AE442" i="907"/>
  <c r="AE438" i="907"/>
  <c r="AE434" i="907"/>
  <c r="AE430" i="907"/>
  <c r="AE426" i="907"/>
  <c r="AE422" i="907"/>
  <c r="AE418" i="907"/>
  <c r="AE414" i="907"/>
  <c r="AE410" i="907"/>
  <c r="AE406" i="907"/>
  <c r="AE402" i="907"/>
  <c r="AE398" i="907"/>
  <c r="AE394" i="907"/>
  <c r="AE390" i="907"/>
  <c r="AE386" i="907"/>
  <c r="AE382" i="907"/>
  <c r="AE378" i="907"/>
  <c r="AE374" i="907"/>
  <c r="AE370" i="907"/>
  <c r="AE366" i="907"/>
  <c r="AE362" i="907"/>
  <c r="AE358" i="907"/>
  <c r="AE354" i="907"/>
  <c r="AE350" i="907"/>
  <c r="AE346" i="907"/>
  <c r="AE342" i="907"/>
  <c r="AE338" i="907"/>
  <c r="AE334" i="907"/>
  <c r="AE330" i="907"/>
  <c r="AE633" i="907"/>
  <c r="AE629" i="907"/>
  <c r="AE625" i="907"/>
  <c r="AE621" i="907"/>
  <c r="AE617" i="907"/>
  <c r="AE613" i="907"/>
  <c r="AE609" i="907"/>
  <c r="AE605" i="907"/>
  <c r="AE601" i="907"/>
  <c r="AE597" i="907"/>
  <c r="AE593" i="907"/>
  <c r="AE589" i="907"/>
  <c r="AE585" i="907"/>
  <c r="AE581" i="907"/>
  <c r="AE577" i="907"/>
  <c r="AE573" i="907"/>
  <c r="AE569" i="907"/>
  <c r="AE565" i="907"/>
  <c r="AE561" i="907"/>
  <c r="AE557" i="907"/>
  <c r="AE553" i="907"/>
  <c r="AE549" i="907"/>
  <c r="AE545" i="907"/>
  <c r="AE541" i="907"/>
  <c r="AE537" i="907"/>
  <c r="AE533" i="907"/>
  <c r="AE529" i="907"/>
  <c r="AE525" i="907"/>
  <c r="AE521" i="907"/>
  <c r="AE517" i="907"/>
  <c r="AE513" i="907"/>
  <c r="AE509" i="907"/>
  <c r="AE505" i="907"/>
  <c r="AE501" i="907"/>
  <c r="AE497" i="907"/>
  <c r="AE493" i="907"/>
  <c r="AE489" i="907"/>
  <c r="AE485" i="907"/>
  <c r="AE481" i="907"/>
  <c r="AE477" i="907"/>
  <c r="AE473" i="907"/>
  <c r="AE469" i="907"/>
  <c r="AE465" i="907"/>
  <c r="AE461" i="907"/>
  <c r="AE457" i="907"/>
  <c r="AE453" i="907"/>
  <c r="AE449" i="907"/>
  <c r="AE445" i="907"/>
  <c r="AE441" i="907"/>
  <c r="AE437" i="907"/>
  <c r="AE433" i="907"/>
  <c r="AE429" i="907"/>
  <c r="AE425" i="907"/>
  <c r="AE421" i="907"/>
  <c r="AE417" i="907"/>
  <c r="AE413" i="907"/>
  <c r="AE409" i="907"/>
  <c r="AE405" i="907"/>
  <c r="AE401" i="907"/>
  <c r="AE397" i="907"/>
  <c r="AE393" i="907"/>
  <c r="AE389" i="907"/>
  <c r="AE385" i="907"/>
  <c r="AE381" i="907"/>
  <c r="AE377" i="907"/>
  <c r="AE373" i="907"/>
  <c r="AE369" i="907"/>
  <c r="AE365" i="907"/>
  <c r="AE361" i="907"/>
  <c r="AE357" i="907"/>
  <c r="AE353" i="907"/>
  <c r="AE349" i="907"/>
  <c r="AE345" i="907"/>
  <c r="AE341" i="907"/>
  <c r="AE337" i="907"/>
  <c r="AE333" i="907"/>
  <c r="AE329" i="907"/>
  <c r="AE325" i="907"/>
  <c r="AE321" i="907"/>
  <c r="AE317" i="907"/>
  <c r="AE313" i="907"/>
  <c r="AE309" i="907"/>
  <c r="AE305" i="907"/>
  <c r="AE301" i="907"/>
  <c r="AE297" i="907"/>
  <c r="AE293" i="907"/>
  <c r="AE289" i="907"/>
  <c r="AE285" i="907"/>
  <c r="AE281" i="907"/>
  <c r="AE277" i="907"/>
  <c r="AE273" i="907"/>
  <c r="AE269" i="907"/>
  <c r="AE265" i="907"/>
  <c r="AE261" i="907"/>
  <c r="AE257" i="907"/>
  <c r="AE253" i="907"/>
  <c r="AE249" i="907"/>
  <c r="AE245" i="907"/>
  <c r="AE241" i="907"/>
  <c r="AE237" i="907"/>
  <c r="AE233" i="907"/>
  <c r="AE229" i="907"/>
  <c r="AE225" i="907"/>
  <c r="AE221" i="907"/>
  <c r="AE217" i="907"/>
  <c r="AE213" i="907"/>
  <c r="AE209" i="907"/>
  <c r="AE205" i="907"/>
  <c r="AE201" i="907"/>
  <c r="AE197" i="907"/>
  <c r="AE193" i="907"/>
  <c r="AE189" i="907"/>
  <c r="AE185" i="907"/>
  <c r="AE181" i="907"/>
  <c r="AE177" i="907"/>
  <c r="AE173" i="907"/>
  <c r="AE169" i="907"/>
  <c r="AE165" i="907"/>
  <c r="AE161" i="907"/>
  <c r="AE157" i="907"/>
  <c r="AE153" i="907"/>
  <c r="AE149" i="907"/>
  <c r="AE145" i="907"/>
  <c r="AE141" i="907"/>
  <c r="AE137" i="907"/>
  <c r="AE133" i="907"/>
  <c r="AE129" i="907"/>
  <c r="AE125" i="907"/>
  <c r="AE121" i="907"/>
  <c r="AE117" i="907"/>
  <c r="AE113" i="907"/>
  <c r="AE109" i="907"/>
  <c r="AE105" i="907"/>
  <c r="AE101" i="907"/>
  <c r="AE97" i="907"/>
  <c r="AE93" i="907"/>
  <c r="AE89" i="907"/>
  <c r="AE85" i="907"/>
  <c r="AE81" i="907"/>
  <c r="AE77" i="907"/>
  <c r="AE73" i="907"/>
  <c r="AE69" i="907"/>
  <c r="AE65" i="907"/>
  <c r="AE61" i="907"/>
  <c r="AE57" i="907"/>
  <c r="AE53" i="907"/>
  <c r="AE49" i="907"/>
  <c r="AE45" i="907"/>
  <c r="AE41" i="907"/>
  <c r="AE37" i="907"/>
  <c r="AE33" i="907"/>
  <c r="AE29" i="907"/>
  <c r="AE25" i="907"/>
  <c r="AE21" i="907"/>
  <c r="AE17" i="907"/>
  <c r="AE13" i="907"/>
  <c r="AE9" i="907"/>
  <c r="AE5" i="907"/>
  <c r="AE326" i="907"/>
  <c r="AE322" i="907"/>
  <c r="AE318" i="907"/>
  <c r="AE314" i="907"/>
  <c r="AE310" i="907"/>
  <c r="AE306" i="907"/>
  <c r="AE302" i="907"/>
  <c r="AE298" i="907"/>
  <c r="AE294" i="907"/>
  <c r="AE290" i="907"/>
  <c r="AE286" i="907"/>
  <c r="AE282" i="907"/>
  <c r="AE278" i="907"/>
  <c r="AE274" i="907"/>
  <c r="AE270" i="907"/>
  <c r="AE266" i="907"/>
  <c r="AE262" i="907"/>
  <c r="AE258" i="907"/>
  <c r="AE254" i="907"/>
  <c r="AE250" i="907"/>
  <c r="AE246" i="907"/>
  <c r="AE242" i="907"/>
  <c r="AE238" i="907"/>
  <c r="AE234" i="907"/>
  <c r="AE230" i="907"/>
  <c r="AE226" i="907"/>
  <c r="AE222" i="907"/>
  <c r="AE218" i="907"/>
  <c r="AE214" i="907"/>
  <c r="AE210" i="907"/>
  <c r="AE206" i="907"/>
  <c r="AE202" i="907"/>
  <c r="AE198" i="907"/>
  <c r="AE194" i="907"/>
  <c r="AE190" i="907"/>
  <c r="AE186" i="907"/>
  <c r="AE182" i="907"/>
  <c r="AE178" i="907"/>
  <c r="AE174" i="907"/>
  <c r="AE170" i="907"/>
  <c r="AE166" i="907"/>
  <c r="AE162" i="907"/>
  <c r="AE158" i="907"/>
  <c r="AE154" i="907"/>
  <c r="AE150" i="907"/>
  <c r="AE146" i="907"/>
  <c r="AE142" i="907"/>
  <c r="AE138" i="907"/>
  <c r="AE134" i="907"/>
  <c r="AE130" i="907"/>
  <c r="AE126" i="907"/>
  <c r="AE122" i="907"/>
  <c r="AE118" i="907"/>
  <c r="AE114" i="907"/>
  <c r="AE110" i="907"/>
  <c r="AE106" i="907"/>
  <c r="AE102" i="907"/>
  <c r="AE98" i="907"/>
  <c r="AE94" i="907"/>
  <c r="AE90" i="907"/>
  <c r="AE86" i="907"/>
  <c r="AE82" i="907"/>
  <c r="AE78" i="907"/>
  <c r="AE74" i="907"/>
  <c r="AE70" i="907"/>
  <c r="AE66" i="907"/>
  <c r="AE62" i="907"/>
  <c r="AE58" i="907"/>
  <c r="AE54" i="907"/>
  <c r="AE50" i="907"/>
  <c r="AE46" i="907"/>
  <c r="AE42" i="907"/>
  <c r="AE38" i="907"/>
  <c r="AE34" i="907"/>
  <c r="AE30" i="907"/>
  <c r="AE26" i="907"/>
  <c r="AE22" i="907"/>
  <c r="AE18" i="907"/>
  <c r="AE14" i="907"/>
  <c r="AE10" i="907"/>
  <c r="AE6" i="907"/>
  <c r="Y3" i="906"/>
  <c r="Y4" i="906"/>
  <c r="D12" i="128"/>
  <c r="C12" i="135" l="1"/>
  <c r="C2" i="135" s="1"/>
  <c r="C6" i="135"/>
  <c r="D8" i="128"/>
  <c r="C8" i="128"/>
  <c r="D6" i="128"/>
  <c r="C1" i="135" l="1"/>
  <c r="C3" i="135" s="1"/>
  <c r="C9" i="128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658E573C-2524-4643-B74F-67A5E13E41A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2D9B4B3C-67E0-413E-9B48-EC7D306F7E2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61F083FF-3A16-49AD-9886-119D445EE6C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58574948-3499-4E7E-912D-17E3BD4D368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E6A5A685-83D2-46E0-8AA4-A7C0D08AED0E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1FCB752E-ED3C-4EB4-891A-192B98D21B3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C0C25FA7-7366-45D8-ABAF-E66BC42D99BB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2" authorId="0" shapeId="0" xr:uid="{F857E6D5-61F9-4224-96A9-686966350734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2" authorId="0" shapeId="0" xr:uid="{2C4EB463-466A-4799-A269-BEEA8193ACCD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9B0676BA-4930-4653-8C84-2B03E6F3B66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38523F55-7D14-43CB-902E-21EC090F7DF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C3E1B7FA-9F47-4439-8EE0-D266D6DCB33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88C41B51-62D8-4FE6-A8D5-E2FAB203CA3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DED051E7-95EF-42AF-8296-C20F1AD5389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7F3CB19D-06D3-4D17-A34E-09D8A683D01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904CB37C-240F-43F2-AA73-9AF13D82C1D8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DD1F807F-66A1-4836-B563-12999F7EAB7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25545F8A-8FE8-481A-8569-9368723A367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2912F0FB-261A-4BCD-A224-FC425DC8801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CE6E0940-801A-467F-B090-F4040F9E9CF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681ABF5D-31A8-45DC-867F-A5E912CEF33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0DBD8D50-CA97-461D-B134-4E485977F2B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9A77A3EE-9361-48BE-ABA7-C6EDE76100E8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<sst xmlns="http://schemas.openxmlformats.org/spreadsheetml/2006/main" count="7989" uniqueCount="524">
  <si>
    <t>░</t>
  </si>
  <si>
    <t>☻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</si>
  <si>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</si>
  <si>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</si>
  <si>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</si>
  <si>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</si>
  <si>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</si>
  <si>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</si>
  <si>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</si>
  <si>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</si>
  <si>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</si>
  <si>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</si>
  <si>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</si>
  <si>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</si>
  <si>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</si>
  <si>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</si>
  <si>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</si>
  <si>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</si>
  <si>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</si>
  <si>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</si>
  <si>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</si>
  <si>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</si>
  <si>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</si>
  <si>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</si>
  <si>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</si>
  <si>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</si>
  <si>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</si>
  <si>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</si>
  <si>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</si>
  <si>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</si>
  <si>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</si>
  <si>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</si>
  <si>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</si>
  <si>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</si>
  <si>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</si>
  <si>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</si>
  <si>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</si>
  <si>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</si>
  <si>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</si>
  <si>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</si>
  <si>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</si>
  <si>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</si>
  <si>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</si>
  <si>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</si>
  <si>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</si>
  <si>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</si>
  <si>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</si>
  <si>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</si>
  <si>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</si>
  <si>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</si>
  <si>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</si>
  <si>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</si>
  <si>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</si>
  <si>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</si>
  <si>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</si>
  <si>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</si>
  <si>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</si>
  <si>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</si>
  <si>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</si>
  <si>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</si>
  <si>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</si>
  <si>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</si>
  <si>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</si>
  <si>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</si>
  <si>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</si>
  <si>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</si>
  <si>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</si>
  <si>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</si>
  <si>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</si>
  <si>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</si>
  <si>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</si>
  <si>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</si>
  <si>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</si>
  <si>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</si>
  <si>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</si>
  <si>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</si>
  <si>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</si>
  <si>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</si>
  <si>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</si>
  <si>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</si>
  <si>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</si>
  <si>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</si>
  <si>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</si>
  <si>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</si>
  <si>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</si>
  <si>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</si>
  <si>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</si>
  <si>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</si>
  <si>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</si>
  <si>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</si>
  <si>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</si>
  <si>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</si>
  <si>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</si>
  <si>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</si>
  <si>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</si>
  <si>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</si>
  <si>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</si>
  <si>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</si>
  <si>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</si>
  <si>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</si>
  <si>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</si>
  <si>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</si>
  <si>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05052600520520230829002070</t>
  </si>
  <si>
    <t>55159990</t>
  </si>
  <si>
    <t>100% COTTON INTERLOCK,180-190G</t>
  </si>
  <si>
    <t>291361</t>
  </si>
  <si>
    <t>269207</t>
  </si>
  <si>
    <t>POLY65% 35%CTN TC JRSY,180G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</si>
  <si>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</si>
  <si>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</si>
  <si>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</si>
  <si>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</si>
  <si>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</si>
  <si>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</si>
  <si>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</si>
  <si>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</si>
  <si>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</si>
  <si>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</si>
  <si>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</si>
  <si>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</si>
  <si>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</si>
  <si>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</si>
  <si>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</si>
  <si>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</si>
  <si>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</si>
  <si>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</si>
  <si>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</si>
  <si>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</si>
  <si>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</si>
  <si>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</si>
  <si>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</si>
  <si>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</si>
  <si>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</si>
  <si>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</si>
  <si>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</si>
  <si>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</si>
  <si>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</si>
  <si>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</si>
  <si>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</si>
  <si>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</si>
  <si>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</si>
  <si>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</si>
  <si>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</si>
  <si>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</si>
  <si>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</si>
  <si>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</si>
  <si>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</si>
  <si>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</si>
  <si>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</si>
  <si>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</si>
  <si>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</si>
  <si>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</si>
  <si>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</si>
  <si>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</si>
  <si>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</si>
  <si>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</si>
  <si>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</si>
  <si>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</si>
  <si>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</si>
  <si>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</si>
  <si>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</si>
  <si>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</si>
  <si>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</si>
  <si>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</si>
  <si>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</si>
  <si>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</si>
  <si>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</si>
  <si>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</si>
  <si>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KUASA DIREKSI</t>
  </si>
  <si>
    <t>VALIDASI 1</t>
  </si>
  <si>
    <t>T/F</t>
  </si>
  <si>
    <t>DATA YG WAJIB DICARI 2</t>
  </si>
  <si>
    <t>54011090</t>
  </si>
  <si>
    <t>2024-10-17</t>
  </si>
  <si>
    <t>2024-10-23</t>
  </si>
  <si>
    <t>58071000</t>
  </si>
  <si>
    <t>96061090</t>
  </si>
  <si>
    <t>96071900</t>
  </si>
  <si>
    <t>58062090</t>
  </si>
  <si>
    <t>C:\Users\sdewi\Downloads\00026231560820241029001638.xlsx</t>
  </si>
  <si>
    <t>C:\Users\sdewi\Downloads\BC 262 24001078-1201- (7).xlsx</t>
  </si>
  <si>
    <t>RED WING SHOE COMPANY SHIRT</t>
  </si>
  <si>
    <t>RED WING SHOE COMPANY TROUSERS</t>
  </si>
  <si>
    <t>2024-08-30</t>
  </si>
  <si>
    <t>2024-09-02</t>
  </si>
  <si>
    <t>2024-09-03</t>
  </si>
  <si>
    <t>2024-09-04</t>
  </si>
  <si>
    <t>2024-09-05</t>
  </si>
  <si>
    <t>2024-09-09</t>
  </si>
  <si>
    <t>2024-09-10</t>
  </si>
  <si>
    <t>2024-09-11</t>
  </si>
  <si>
    <t>2024-09-13</t>
  </si>
  <si>
    <t>2024-09-17</t>
  </si>
  <si>
    <t>2024-09-18</t>
  </si>
  <si>
    <t>2024-09-19</t>
  </si>
  <si>
    <t>2024-09-20</t>
  </si>
  <si>
    <t>2024-09-23</t>
  </si>
  <si>
    <t>2024-09-24</t>
  </si>
  <si>
    <t>2024-09-25</t>
  </si>
  <si>
    <t>2024-09-26</t>
  </si>
  <si>
    <t>2024-09-27</t>
  </si>
  <si>
    <t>2024-10-01</t>
  </si>
  <si>
    <t>2024-10-02</t>
  </si>
  <si>
    <t>2024-10-03</t>
  </si>
  <si>
    <t>2024-10-04</t>
  </si>
  <si>
    <t>2024-10-07</t>
  </si>
  <si>
    <t>2024-10-08</t>
  </si>
  <si>
    <t>2024-10-09</t>
  </si>
  <si>
    <t>2024-10-10</t>
  </si>
  <si>
    <t>2024-10-14</t>
  </si>
  <si>
    <t>2024-10-15</t>
  </si>
  <si>
    <t>2024-10-16</t>
  </si>
  <si>
    <t>2024-10-18</t>
  </si>
  <si>
    <t>2024-10-28</t>
  </si>
  <si>
    <t>BOOK TAG, 4" X 6"</t>
  </si>
  <si>
    <t>HEAT SEAL LABEL,FG TM-4 SYMBOL</t>
  </si>
  <si>
    <t>POLYBAG SEALTAPE, FLAP 7CM</t>
  </si>
  <si>
    <t>CARTON,ECT AND MULLEN 275#</t>
  </si>
  <si>
    <t>LABEL,HEAT INDICATOR DISK</t>
  </si>
  <si>
    <t>THREAD,100% META ARAMID</t>
  </si>
  <si>
    <t>CARE LABEL, 24 CM X 6 CM 61805</t>
  </si>
  <si>
    <t>RW LOGO PLASTIC BUTTONS</t>
  </si>
  <si>
    <t>REFLECTIVE TAPE,FR SILVER 9801</t>
  </si>
  <si>
    <t>BUTTON, PRESS BUTTON</t>
  </si>
  <si>
    <t>CARE LABEL, 24 CM X 6 CM,61105</t>
  </si>
  <si>
    <t>HANG TAG, RWHTFR1</t>
  </si>
  <si>
    <t>CARE LABEL, 24 CM X 6 CM,66407</t>
  </si>
  <si>
    <t>LABEL UL CLASSIFIED</t>
  </si>
  <si>
    <t>LABEL,5CMX2CM,TEXT HGHT 1.6MM</t>
  </si>
  <si>
    <t>LABEL,2CMX2CM,TEXT HGHT 1.6MM</t>
  </si>
  <si>
    <t>THREAD,100% META ARAMID,NE40/3</t>
  </si>
  <si>
    <t>65%LZING FR 33%ARMID 2%ANTISTC</t>
  </si>
  <si>
    <t>LIGHT SPARK 99/1% Co/AS WEFT</t>
  </si>
  <si>
    <t>59%MCRYLIC 39%CTN 2%ANTSTIC FR</t>
  </si>
  <si>
    <t>100%CTN POPLN CD40XCD40/120X60</t>
  </si>
  <si>
    <t>BLEACH DTCTION DYED FBRC 100%C</t>
  </si>
  <si>
    <t>LOOP, TLRHLZZ020</t>
  </si>
  <si>
    <t>LABEL, 2 CM X 2 CM</t>
  </si>
  <si>
    <t>WOVEN LABEL, 5 CM X 4 CM</t>
  </si>
  <si>
    <t>LABEL, 3 CM X 2,5 CM</t>
  </si>
  <si>
    <t>LABEL, 5 CM X 2 CM</t>
  </si>
  <si>
    <t>ZIPPER,BRNSCSZ006,6MM,1WAY</t>
  </si>
  <si>
    <t>INTERLINING, VG-50</t>
  </si>
  <si>
    <t>THREAD,TEX 40 5000MT</t>
  </si>
  <si>
    <t>LABEL, RW FR LOOP LABEL</t>
  </si>
  <si>
    <t>LABEL CAT2</t>
  </si>
  <si>
    <t>LABEL,FR LOGO RED WING NFPA</t>
  </si>
  <si>
    <t>LABEL RED WING FR WOVEN LOGO</t>
  </si>
  <si>
    <t>ELASTIC, #6800/15-64</t>
  </si>
  <si>
    <t>HOOK, TLRHLZZ021</t>
  </si>
  <si>
    <t>ZIPPER,CORCBLS006,6MM,2WAY</t>
  </si>
  <si>
    <t>ZIPPER,CORSCSZ006,6MM,1WAY</t>
  </si>
  <si>
    <t>CARE LABEL, 24 CM X 6 CM,66307</t>
  </si>
  <si>
    <t>CARE LABEL, 24 CM X 6 CM,66807</t>
  </si>
  <si>
    <t>REFLECTIVE TAPE,FR SILVER</t>
  </si>
  <si>
    <t>ZIPPER,CORSCSZ006,6MM,1WAY,VS</t>
  </si>
  <si>
    <t>ZIPPER,CORSCSZ006,6MM,1WAY,XS</t>
  </si>
  <si>
    <t>ZIPPER,CORSCSZ006,6MM,1WAY,SM</t>
  </si>
  <si>
    <t>ZIPPER,CORCHLL006,6MM COIL</t>
  </si>
  <si>
    <t>TAGPIN</t>
  </si>
  <si>
    <t>EDGE BAND</t>
  </si>
  <si>
    <t>HEAT SEAL LABEL,FG TM-5 SYMBOL</t>
  </si>
  <si>
    <t>THREAD,100% META ARAMID@4400MT</t>
  </si>
  <si>
    <t>NACHI LAKBAN STOP IF SEAL BRKN</t>
  </si>
  <si>
    <t>BUTTON 4139586-JX1710BB JEANS</t>
  </si>
  <si>
    <t>SNAP BUTTON 0798298-TC1080BB</t>
  </si>
  <si>
    <t>52% POLY 48% COTTONFOR</t>
  </si>
  <si>
    <t>POLYBAG STICKER,88 MM x 88 MM</t>
  </si>
  <si>
    <t>CARE LABEL, 24 CM X 6 CM,81905</t>
  </si>
  <si>
    <t>62113390</t>
  </si>
  <si>
    <t>301426</t>
  </si>
  <si>
    <t>62034300</t>
  </si>
  <si>
    <t>301427</t>
  </si>
  <si>
    <t>616282</t>
  </si>
  <si>
    <t>290834</t>
  </si>
  <si>
    <t>290837</t>
  </si>
  <si>
    <t>290838</t>
  </si>
  <si>
    <t>290842</t>
  </si>
  <si>
    <t>290836</t>
  </si>
  <si>
    <t>293942</t>
  </si>
  <si>
    <t>294019</t>
  </si>
  <si>
    <t>290826</t>
  </si>
  <si>
    <t>298433</t>
  </si>
  <si>
    <t>290831</t>
  </si>
  <si>
    <t>300361</t>
  </si>
  <si>
    <t>300362</t>
  </si>
  <si>
    <t>300363</t>
  </si>
  <si>
    <t>293943</t>
  </si>
  <si>
    <t>296204</t>
  </si>
  <si>
    <t>297887</t>
  </si>
  <si>
    <t>297888</t>
  </si>
  <si>
    <t>298827</t>
  </si>
  <si>
    <t>290835</t>
  </si>
  <si>
    <t>616359</t>
  </si>
  <si>
    <t>290824</t>
  </si>
  <si>
    <t>290957</t>
  </si>
  <si>
    <t>290829</t>
  </si>
  <si>
    <t>290833</t>
  </si>
  <si>
    <t>291595</t>
  </si>
  <si>
    <t>616448</t>
  </si>
  <si>
    <t>616483</t>
  </si>
  <si>
    <t>291589</t>
  </si>
  <si>
    <t>616541</t>
  </si>
  <si>
    <t>290819</t>
  </si>
  <si>
    <t>616570</t>
  </si>
  <si>
    <t>616680</t>
  </si>
  <si>
    <t>290828</t>
  </si>
  <si>
    <t>616703</t>
  </si>
  <si>
    <t>616907</t>
  </si>
  <si>
    <t>296443</t>
  </si>
  <si>
    <t>617010</t>
  </si>
  <si>
    <t>290832</t>
  </si>
  <si>
    <t>617027</t>
  </si>
  <si>
    <t>221245</t>
  </si>
  <si>
    <t>617097</t>
  </si>
  <si>
    <t>290945</t>
  </si>
  <si>
    <t>300373</t>
  </si>
  <si>
    <t>300374</t>
  </si>
  <si>
    <t>300777</t>
  </si>
  <si>
    <t>300372</t>
  </si>
  <si>
    <t>617141</t>
  </si>
  <si>
    <t>617266</t>
  </si>
  <si>
    <t>257439</t>
  </si>
  <si>
    <t>290825</t>
  </si>
  <si>
    <t>290817</t>
  </si>
  <si>
    <t>290954</t>
  </si>
  <si>
    <t>617297</t>
  </si>
  <si>
    <t>300682</t>
  </si>
  <si>
    <t>300701</t>
  </si>
  <si>
    <t>300702</t>
  </si>
  <si>
    <t>300703</t>
  </si>
  <si>
    <t>300683</t>
  </si>
  <si>
    <t>300684</t>
  </si>
  <si>
    <t>300685</t>
  </si>
  <si>
    <t>300686</t>
  </si>
  <si>
    <t>300687</t>
  </si>
  <si>
    <t>300688</t>
  </si>
  <si>
    <t>300689</t>
  </si>
  <si>
    <t>300690</t>
  </si>
  <si>
    <t>300867</t>
  </si>
  <si>
    <t>300868</t>
  </si>
  <si>
    <t>300869</t>
  </si>
  <si>
    <t>300870</t>
  </si>
  <si>
    <t>300871</t>
  </si>
  <si>
    <t>300872</t>
  </si>
  <si>
    <t>300873</t>
  </si>
  <si>
    <t>300849</t>
  </si>
  <si>
    <t>300850</t>
  </si>
  <si>
    <t>300851</t>
  </si>
  <si>
    <t>300852</t>
  </si>
  <si>
    <t>300853</t>
  </si>
  <si>
    <t>300854</t>
  </si>
  <si>
    <t>300855</t>
  </si>
  <si>
    <t>300856</t>
  </si>
  <si>
    <t>300857</t>
  </si>
  <si>
    <t>300858</t>
  </si>
  <si>
    <t>300859</t>
  </si>
  <si>
    <t>300860</t>
  </si>
  <si>
    <t>300861</t>
  </si>
  <si>
    <t>300862</t>
  </si>
  <si>
    <t>300863</t>
  </si>
  <si>
    <t>300837</t>
  </si>
  <si>
    <t>300839</t>
  </si>
  <si>
    <t>300840</t>
  </si>
  <si>
    <t>300841</t>
  </si>
  <si>
    <t>300842</t>
  </si>
  <si>
    <t>300843</t>
  </si>
  <si>
    <t>300844</t>
  </si>
  <si>
    <t>300845</t>
  </si>
  <si>
    <t>300846</t>
  </si>
  <si>
    <t>300847</t>
  </si>
  <si>
    <t>300848</t>
  </si>
  <si>
    <t>300972</t>
  </si>
  <si>
    <t>617308</t>
  </si>
  <si>
    <t>617338</t>
  </si>
  <si>
    <t>293990</t>
  </si>
  <si>
    <t>617411</t>
  </si>
  <si>
    <t>617531</t>
  </si>
  <si>
    <t>617549</t>
  </si>
  <si>
    <t>296459</t>
  </si>
  <si>
    <t>296460</t>
  </si>
  <si>
    <t>296461</t>
  </si>
  <si>
    <t>617637</t>
  </si>
  <si>
    <t>290946</t>
  </si>
  <si>
    <t>296483</t>
  </si>
  <si>
    <t>300357</t>
  </si>
  <si>
    <t>617657</t>
  </si>
  <si>
    <t>291817</t>
  </si>
  <si>
    <t>617728</t>
  </si>
  <si>
    <t>617840</t>
  </si>
  <si>
    <t>300975</t>
  </si>
  <si>
    <t>288615</t>
  </si>
  <si>
    <t>617983</t>
  </si>
  <si>
    <t>618099</t>
  </si>
  <si>
    <t>618217</t>
  </si>
  <si>
    <t>618308</t>
  </si>
  <si>
    <t>618320</t>
  </si>
  <si>
    <t>618603</t>
  </si>
  <si>
    <t>618658</t>
  </si>
  <si>
    <t>618704</t>
  </si>
  <si>
    <t>618784</t>
  </si>
  <si>
    <t>290840</t>
  </si>
  <si>
    <t>618895</t>
  </si>
  <si>
    <t>619017</t>
  </si>
  <si>
    <t>619203</t>
  </si>
  <si>
    <t>300970</t>
  </si>
  <si>
    <t>300971</t>
  </si>
  <si>
    <t>619284</t>
  </si>
  <si>
    <t>300356</t>
  </si>
  <si>
    <t>619339</t>
  </si>
  <si>
    <t>619452</t>
  </si>
  <si>
    <t>619702</t>
  </si>
  <si>
    <t>619729</t>
  </si>
  <si>
    <t>299064</t>
  </si>
  <si>
    <t>619784</t>
  </si>
  <si>
    <t>290959</t>
  </si>
  <si>
    <t>619831</t>
  </si>
  <si>
    <t>619969</t>
  </si>
  <si>
    <t>619994</t>
  </si>
  <si>
    <t>620116</t>
  </si>
  <si>
    <t>620124</t>
  </si>
  <si>
    <t>620244</t>
  </si>
  <si>
    <t>620606</t>
  </si>
  <si>
    <t>620629</t>
  </si>
  <si>
    <t>298350</t>
  </si>
  <si>
    <t>621052</t>
  </si>
  <si>
    <t>00026131560820240830002117</t>
  </si>
  <si>
    <t>48211090</t>
  </si>
  <si>
    <t>39206910</t>
  </si>
  <si>
    <t>48192000</t>
  </si>
  <si>
    <t>38249999</t>
  </si>
  <si>
    <t>96062100</t>
  </si>
  <si>
    <t>300681/300361</t>
  </si>
  <si>
    <t>39191099</t>
  </si>
  <si>
    <t>96061010</t>
  </si>
  <si>
    <t>290820/290821/290822/290823</t>
  </si>
  <si>
    <t>300364/300371</t>
  </si>
  <si>
    <t>300365/300366/300367/300368/300369/300370</t>
  </si>
  <si>
    <t>55032090</t>
  </si>
  <si>
    <t>300545/277618</t>
  </si>
  <si>
    <t>55169200</t>
  </si>
  <si>
    <t>292570/292571/297887/297888/299858</t>
  </si>
  <si>
    <t>52095990</t>
  </si>
  <si>
    <t>60063290</t>
  </si>
  <si>
    <t>52084190</t>
  </si>
  <si>
    <t>52093200</t>
  </si>
  <si>
    <t>00026131560820240902002135</t>
  </si>
  <si>
    <t>58063290</t>
  </si>
  <si>
    <t>290956/290957/290962/290964/291594/291595/291596/291597/291599/290830/290955/290960/290961/290968/291598/290963/290966/298345/298346/298347/298348/298349/298351/298352/291591/291592/290965/290967</t>
  </si>
  <si>
    <t>00026131560820240903002160</t>
  </si>
  <si>
    <t>00026131560820240903002165</t>
  </si>
  <si>
    <t>54021100</t>
  </si>
  <si>
    <t>00026131560820240904002170</t>
  </si>
  <si>
    <t>00026131560820240904002183</t>
  </si>
  <si>
    <t>00026131560820240905002198</t>
  </si>
  <si>
    <t>00026131560820240905002204</t>
  </si>
  <si>
    <t>00026131560820240909002225</t>
  </si>
  <si>
    <t>299858/296443</t>
  </si>
  <si>
    <t>00026131560820240910002236</t>
  </si>
  <si>
    <t>290828/290832</t>
  </si>
  <si>
    <t>300358/300359/300360</t>
  </si>
  <si>
    <t>00026131560820240910002246</t>
  </si>
  <si>
    <t>59039090</t>
  </si>
  <si>
    <t>00026131560820240911002252</t>
  </si>
  <si>
    <t>00026131560820240911002266</t>
  </si>
  <si>
    <t>00026131560820240913002277</t>
  </si>
  <si>
    <t>58063210</t>
  </si>
  <si>
    <t>290817/290952/290953</t>
  </si>
  <si>
    <t>290818/290954</t>
  </si>
  <si>
    <t>00026131560820240913002282</t>
  </si>
  <si>
    <t>300973/300864/300366/300367/300368/300369/300974/300865/300370/300866/300699/300700</t>
  </si>
  <si>
    <t>00026131560820240913002286</t>
  </si>
  <si>
    <t>00026131560820240913002291</t>
  </si>
  <si>
    <t>290817/290952</t>
  </si>
  <si>
    <t>00026131560820240917002300</t>
  </si>
  <si>
    <t>00026131560820240918002326</t>
  </si>
  <si>
    <t>00026131560820240918002335</t>
  </si>
  <si>
    <t>290954/290818</t>
  </si>
  <si>
    <t>298332/298333/298334/298335/298336/298337/298338/298339</t>
  </si>
  <si>
    <t>00026131560820240919002344</t>
  </si>
  <si>
    <t>39262090</t>
  </si>
  <si>
    <t>00026131560820240919002347</t>
  </si>
  <si>
    <t>290953/291817/290952/290817</t>
  </si>
  <si>
    <t>290957/290960/290963/290962</t>
  </si>
  <si>
    <t>00026131560820240920002356</t>
  </si>
  <si>
    <t>00026131560820240923002362</t>
  </si>
  <si>
    <t>55081090</t>
  </si>
  <si>
    <t>291817/290953</t>
  </si>
  <si>
    <t>00026131560820240924002379</t>
  </si>
  <si>
    <t>00026131560820240925002395</t>
  </si>
  <si>
    <t>00026131560820240926002403</t>
  </si>
  <si>
    <t>00026131560820240927002406</t>
  </si>
  <si>
    <t>291593/291594/290963/290966</t>
  </si>
  <si>
    <t>00026131560820240927002411</t>
  </si>
  <si>
    <t>00026131560820241001002437</t>
  </si>
  <si>
    <t>00026131560820241002002440</t>
  </si>
  <si>
    <t>00026131560820241002002449</t>
  </si>
  <si>
    <t>00026131560820241003002455</t>
  </si>
  <si>
    <t>58063120</t>
  </si>
  <si>
    <t>00026131560820241004002470</t>
  </si>
  <si>
    <t>00026131560820241007002479</t>
  </si>
  <si>
    <t>300359/300360/300836/300835</t>
  </si>
  <si>
    <t>00026131560820241008002494</t>
  </si>
  <si>
    <t>00026131560820241009002505</t>
  </si>
  <si>
    <t>54078200</t>
  </si>
  <si>
    <t>00026131560820241009002511</t>
  </si>
  <si>
    <t>00026131560820241010002528</t>
  </si>
  <si>
    <t>300691/300692/300693/300694/300695/300696/300697/300698/300704/300705/300706/300707/300708</t>
  </si>
  <si>
    <t>00026131560820241014002553</t>
  </si>
  <si>
    <t>00026131560820241014002560</t>
  </si>
  <si>
    <t>00026131560820241015002562</t>
  </si>
  <si>
    <t>290958/290960/290957/290961/291596/290959/291595/290958</t>
  </si>
  <si>
    <t>00026131560820241015002570</t>
  </si>
  <si>
    <t>00026131560820241016002588</t>
  </si>
  <si>
    <t>00026131560820241016002593</t>
  </si>
  <si>
    <t>00026131560820241017002608</t>
  </si>
  <si>
    <t>00026131560820241017002612</t>
  </si>
  <si>
    <t>298436/298437/298438/298439/298440/298441/298442/298443/298453</t>
  </si>
  <si>
    <t>00026131560820241018002622</t>
  </si>
  <si>
    <t>300375/300376/300377/300378/300379/300380/294082/294083/294075/294076/294077/294078/294154</t>
  </si>
  <si>
    <t>00026131560820241023002651</t>
  </si>
  <si>
    <t>298347/298348</t>
  </si>
  <si>
    <t>00026131560820241023002660</t>
  </si>
  <si>
    <t>00026131560820241028002684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</si>
</sst>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45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rgb="FF000000"/>
      <name val="Helvetica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 applyNumberFormat="0" applyFill="0" applyBorder="0" applyAlignment="0" applyProtection="0"/>
  </cellStyleXfs>
  <cellXfs count="10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43" fillId="0" borderId="1" xfId="49" applyBorder="1"/>
    <xf numFmtId="167" fontId="0" fillId="0" borderId="0" xfId="0" applyNumberFormat="1"/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  <xf numFmtId="0" fontId="44" fillId="0" borderId="0" xfId="0" applyFont="1"/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Hyperlink" xfId="49" builtinId="8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IT/SEPTIAN/New%20folder%20(2)/MACRO%20-%20Item%20Draft%20Barang%20-%20CEISA%204/BAHAN/BC%20262%2024001043-1201-%20(16)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C18" sqref="C18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90"/>
      <c r="B5" s="90"/>
      <c r="C5" s="90"/>
      <c r="D5" s="90"/>
      <c r="E5" s="90"/>
      <c r="F5" s="90"/>
      <c r="G5" s="90"/>
      <c r="H5" s="38" t="s">
        <v>0</v>
      </c>
      <c r="I5" s="89"/>
      <c r="J5" s="89"/>
      <c r="K5" s="89"/>
      <c r="L5" s="89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8" t="s">
        <v>1</v>
      </c>
      <c r="I8" s="88"/>
      <c r="J8" s="88"/>
      <c r="K8" s="88"/>
      <c r="L8" s="88"/>
      <c r="M8" s="88"/>
    </row>
    <row r="9" spans="1:14" s="41" customFormat="1" ht="76.5" customHeight="1" x14ac:dyDescent="0.25">
      <c r="H9" s="88"/>
      <c r="I9" s="88"/>
      <c r="J9" s="88"/>
      <c r="K9" s="88"/>
      <c r="L9" s="88"/>
      <c r="M9" s="88"/>
    </row>
    <row r="10" spans="1:14" s="41" customFormat="1" x14ac:dyDescent="0.25">
      <c r="H10" s="88"/>
      <c r="I10" s="88"/>
      <c r="J10" s="88"/>
      <c r="K10" s="88"/>
      <c r="L10" s="88"/>
      <c r="M10" s="88"/>
    </row>
    <row r="11" spans="1:14" s="41" customFormat="1" x14ac:dyDescent="0.25">
      <c r="H11" s="88"/>
      <c r="I11" s="88"/>
      <c r="J11" s="88"/>
      <c r="K11" s="88"/>
      <c r="L11" s="88"/>
      <c r="M11" s="88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9"/>
      <c r="I14" s="89"/>
      <c r="J14" s="89"/>
      <c r="K14" s="89"/>
      <c r="L14" s="89"/>
      <c r="M14" s="89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tabSelected="1" workbookViewId="0">
      <pane xSplit="4" ySplit="5" topLeftCell="E10" activePane="bottomRight" state="frozen"/>
      <selection activeCell="B18" sqref="B18"/>
      <selection pane="topRight" activeCell="B18" sqref="B18"/>
      <selection pane="bottomLeft" activeCell="B18" sqref="B18"/>
      <selection pane="bottomRight" activeCell="B21" sqref="B20:B21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2" t="s">
        <v>74</v>
      </c>
      <c r="B1" s="92"/>
      <c r="C1" s="26">
        <f>COUNTIF(C6:C16,TRUE)</f>
        <v>2</v>
      </c>
      <c r="D1" s="21"/>
      <c r="E1" s="22"/>
      <c r="F1" s="35"/>
    </row>
    <row r="2" spans="1:7" ht="15" customHeight="1" x14ac:dyDescent="0.25">
      <c r="A2" s="92" t="s">
        <v>75</v>
      </c>
      <c r="B2" s="92"/>
      <c r="C2" s="26">
        <f>COUNTIF(C7:C16,FALSE)</f>
        <v>0</v>
      </c>
      <c r="D2" s="21"/>
      <c r="E2" s="23"/>
      <c r="F2" s="35"/>
      <c r="G2" s="13" t="s">
        <v>60</v>
      </c>
    </row>
    <row r="3" spans="1:7" ht="28.5" customHeight="1" x14ac:dyDescent="0.25">
      <c r="A3" s="93" t="s">
        <v>73</v>
      </c>
      <c r="B3" s="93"/>
      <c r="C3" s="24" t="b">
        <f>IF(C1=2,TRUE,FALSE)</f>
        <v>1</v>
      </c>
      <c r="D3" s="25"/>
      <c r="E3" s="23"/>
      <c r="F3" s="35"/>
      <c r="G3" s="13" t="s">
        <v>61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72</v>
      </c>
      <c r="B5" s="30" t="s">
        <v>76</v>
      </c>
      <c r="C5" s="30" t="s">
        <v>62</v>
      </c>
      <c r="D5" s="31" t="s">
        <v>41</v>
      </c>
      <c r="E5" s="31" t="s">
        <v>135</v>
      </c>
      <c r="F5" s="35"/>
    </row>
    <row r="6" spans="1:7" x14ac:dyDescent="0.25">
      <c r="A6" s="91" t="s">
        <v>128</v>
      </c>
      <c r="B6" s="91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130</v>
      </c>
      <c r="C7" s="77"/>
      <c r="D7" s="67">
        <f>COUNTA(BARANG!$A$3:$A$1048576)</f>
        <v>2</v>
      </c>
      <c r="E7" s="17"/>
      <c r="F7" s="16"/>
    </row>
    <row r="8" spans="1:7" x14ac:dyDescent="0.25">
      <c r="A8" s="14">
        <v>2</v>
      </c>
      <c r="B8" s="5" t="s">
        <v>131</v>
      </c>
      <c r="D8" s="67">
        <f>SUM(BARANG!$J$3:$J$1048576)</f>
        <v>2</v>
      </c>
      <c r="E8" s="17"/>
      <c r="F8" s="16"/>
    </row>
    <row r="9" spans="1:7" x14ac:dyDescent="0.25">
      <c r="A9" s="14">
        <v>3</v>
      </c>
      <c r="B9" s="5" t="s">
        <v>132</v>
      </c>
      <c r="D9" s="67">
        <f>SUM(BARANG!$L$3:$L$1048576)</f>
        <v>1</v>
      </c>
      <c r="E9" s="17"/>
      <c r="F9" s="16"/>
    </row>
    <row r="10" spans="1:7" x14ac:dyDescent="0.25">
      <c r="A10" s="14">
        <v>4</v>
      </c>
      <c r="B10" s="5" t="s">
        <v>134</v>
      </c>
      <c r="D10" s="67">
        <f>SUM(BARANG!$M$3:$M$1048576)</f>
        <v>0.6</v>
      </c>
      <c r="E10" s="17"/>
      <c r="F10" s="16"/>
    </row>
    <row r="11" spans="1:7" x14ac:dyDescent="0.25">
      <c r="A11" s="14">
        <v>5</v>
      </c>
      <c r="B11" s="5" t="s">
        <v>133</v>
      </c>
      <c r="D11" s="67">
        <f>SUM(BARANG!$N$3:$N$1048576)</f>
        <v>65.88</v>
      </c>
      <c r="E11" s="17"/>
      <c r="F11" s="16"/>
    </row>
    <row r="12" spans="1:7" x14ac:dyDescent="0.25">
      <c r="A12" s="91" t="s">
        <v>129</v>
      </c>
      <c r="B12" s="91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130</v>
      </c>
      <c r="C13" s="67"/>
      <c r="D13" s="19">
        <f>COUNTA(BAHANBAKU!$B$3:$B$1048576)</f>
        <v>634</v>
      </c>
      <c r="E13" s="17"/>
      <c r="F13" s="16"/>
    </row>
    <row r="14" spans="1:7" x14ac:dyDescent="0.25">
      <c r="A14" s="14">
        <v>2</v>
      </c>
      <c r="B14" s="5" t="s">
        <v>131</v>
      </c>
      <c r="C14" s="67"/>
      <c r="D14" s="19">
        <f>SUM(BAHANBAKU!$Q$3:$Q$1048576)</f>
        <v>642862.38</v>
      </c>
      <c r="E14" s="17"/>
      <c r="F14" s="16"/>
    </row>
    <row r="15" spans="1:7" x14ac:dyDescent="0.25">
      <c r="A15" s="14">
        <v>3</v>
      </c>
      <c r="B15" s="5" t="s">
        <v>134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133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topLeftCell="L1" workbookViewId="0">
      <selection activeCell="W15" sqref="W15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125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147</v>
      </c>
      <c r="B4" s="73"/>
      <c r="C4" s="72"/>
      <c r="D4" s="73"/>
      <c r="E4" s="10"/>
      <c r="F4" s="74" t="s">
        <v>49</v>
      </c>
      <c r="G4" s="74"/>
      <c r="H4" s="74"/>
      <c r="I4" s="10"/>
      <c r="J4" s="74" t="s">
        <v>145</v>
      </c>
      <c r="K4" s="76"/>
      <c r="L4" s="76"/>
      <c r="M4" s="76"/>
      <c r="N4" s="10"/>
      <c r="O4" s="74" t="s">
        <v>129</v>
      </c>
      <c r="P4" s="74"/>
      <c r="Q4" s="74"/>
      <c r="R4" s="74"/>
      <c r="S4" s="74"/>
      <c r="T4" s="10"/>
      <c r="U4" s="78" t="s">
        <v>166</v>
      </c>
      <c r="V4" s="78"/>
      <c r="W4" s="3"/>
      <c r="X4" s="3"/>
    </row>
    <row r="5" spans="1:24" x14ac:dyDescent="0.25">
      <c r="A5" s="64" t="s">
        <v>94</v>
      </c>
      <c r="B5" s="53" t="s">
        <v>40</v>
      </c>
      <c r="C5" s="54" t="s">
        <v>41</v>
      </c>
      <c r="D5" s="54" t="s">
        <v>42</v>
      </c>
      <c r="E5" s="10"/>
      <c r="F5" s="64" t="s">
        <v>94</v>
      </c>
      <c r="G5" s="63" t="s">
        <v>56</v>
      </c>
      <c r="H5" s="62" t="s">
        <v>51</v>
      </c>
      <c r="I5" s="10"/>
      <c r="J5" s="71" t="s">
        <v>146</v>
      </c>
      <c r="K5" s="71" t="s">
        <v>141</v>
      </c>
      <c r="L5" s="71" t="s">
        <v>140</v>
      </c>
      <c r="M5" s="71" t="s">
        <v>144</v>
      </c>
      <c r="N5" s="10"/>
      <c r="O5" s="71" t="s">
        <v>39</v>
      </c>
      <c r="P5" s="63" t="s">
        <v>37</v>
      </c>
      <c r="Q5" s="62" t="s">
        <v>52</v>
      </c>
      <c r="R5" s="62" t="s">
        <v>55</v>
      </c>
      <c r="S5" s="62" t="s">
        <v>48</v>
      </c>
      <c r="T5" s="10"/>
      <c r="U5" s="79" t="s">
        <v>80</v>
      </c>
      <c r="V5" s="79" t="s">
        <v>2</v>
      </c>
      <c r="W5" s="79" t="s">
        <v>47</v>
      </c>
      <c r="X5" s="79" t="s">
        <v>81</v>
      </c>
    </row>
    <row r="6" spans="1:24" x14ac:dyDescent="0.25">
      <c r="A6" t="b">
        <v>1</v>
      </c>
      <c r="B6" t="s">
        <v>4</v>
      </c>
      <c r="C6" s="55" t="s">
        <v>149</v>
      </c>
      <c r="D6" s="69" t="str">
        <f>IF(C6="050500","1201",IF(C6="050700","1204",FALSE))</f>
        <v>1201</v>
      </c>
      <c r="F6" t="b">
        <v>1</v>
      </c>
      <c r="G6" s="9" t="s">
        <v>50</v>
      </c>
      <c r="H6" t="s">
        <v>111</v>
      </c>
      <c r="I6" t="s">
        <v>39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53</v>
      </c>
      <c r="R6">
        <v>2</v>
      </c>
      <c r="S6">
        <v>1</v>
      </c>
      <c r="U6" s="2" t="b">
        <v>1</v>
      </c>
      <c r="V6" s="2" t="s">
        <v>154</v>
      </c>
      <c r="W6" s="2" t="b">
        <v>1</v>
      </c>
      <c r="X6" s="2" t="s">
        <v>39</v>
      </c>
    </row>
    <row r="7" spans="1:24" x14ac:dyDescent="0.25">
      <c r="A7" t="b">
        <v>1</v>
      </c>
      <c r="B7" t="s">
        <v>5</v>
      </c>
      <c r="C7" s="5">
        <v>262</v>
      </c>
      <c r="D7" t="s">
        <v>39</v>
      </c>
      <c r="F7" t="b">
        <v>1</v>
      </c>
      <c r="G7" s="9" t="s">
        <v>97</v>
      </c>
      <c r="H7" t="s">
        <v>112</v>
      </c>
      <c r="I7" t="s">
        <v>39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54</v>
      </c>
      <c r="R7">
        <v>1</v>
      </c>
      <c r="S7">
        <v>0</v>
      </c>
      <c r="U7" s="2" t="b">
        <v>1</v>
      </c>
      <c r="V7" s="2" t="s">
        <v>155</v>
      </c>
      <c r="W7" s="2" t="b">
        <v>1</v>
      </c>
      <c r="X7" s="2" t="s">
        <v>39</v>
      </c>
    </row>
    <row r="8" spans="1:24" x14ac:dyDescent="0.25">
      <c r="A8" t="b">
        <v>1</v>
      </c>
      <c r="B8" t="s">
        <v>6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98</v>
      </c>
      <c r="H8" t="s">
        <v>113</v>
      </c>
      <c r="I8" t="s">
        <v>39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54</v>
      </c>
      <c r="R8">
        <v>1</v>
      </c>
      <c r="S8">
        <v>0</v>
      </c>
      <c r="U8" s="2" t="b">
        <v>1</v>
      </c>
      <c r="V8" s="2" t="s">
        <v>156</v>
      </c>
      <c r="W8" s="2" t="b">
        <v>1</v>
      </c>
      <c r="X8" s="8" t="s">
        <v>39</v>
      </c>
    </row>
    <row r="9" spans="1:24" x14ac:dyDescent="0.25">
      <c r="A9" t="b">
        <v>0</v>
      </c>
      <c r="B9" t="s">
        <v>150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39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157</v>
      </c>
      <c r="W9" s="2" t="b">
        <v>1</v>
      </c>
      <c r="X9" s="2" t="s">
        <v>39</v>
      </c>
    </row>
    <row r="10" spans="1:24" x14ac:dyDescent="0.25">
      <c r="A10" t="b">
        <v>1</v>
      </c>
      <c r="B10" t="s">
        <v>136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158</v>
      </c>
      <c r="W10" s="2" t="b">
        <v>1</v>
      </c>
      <c r="X10" s="2" t="s">
        <v>39</v>
      </c>
    </row>
    <row r="11" spans="1:24" x14ac:dyDescent="0.25">
      <c r="A11" t="b">
        <v>1</v>
      </c>
      <c r="B11" t="s">
        <v>151</v>
      </c>
      <c r="C11" s="5" t="s">
        <v>137</v>
      </c>
      <c r="D11" t="s">
        <v>168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159</v>
      </c>
      <c r="W11" s="2" t="b">
        <v>1</v>
      </c>
      <c r="X11" s="2" t="s">
        <v>39</v>
      </c>
    </row>
    <row r="12" spans="1:24" x14ac:dyDescent="0.25">
      <c r="A12" t="b">
        <v>1</v>
      </c>
      <c r="B12" t="s">
        <v>152</v>
      </c>
      <c r="C12" s="5" t="s">
        <v>153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160</v>
      </c>
      <c r="W12" s="2" t="b">
        <v>1</v>
      </c>
      <c r="X12" s="2" t="s">
        <v>39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165</v>
      </c>
      <c r="W13" s="2" t="b">
        <v>1</v>
      </c>
      <c r="X13" s="2" t="s">
        <v>39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161</v>
      </c>
      <c r="W14" s="2" t="b">
        <v>1</v>
      </c>
      <c r="X14" s="2" t="s">
        <v>39</v>
      </c>
    </row>
    <row r="15" spans="1:24" x14ac:dyDescent="0.25">
      <c r="U15" s="2" t="b">
        <v>1</v>
      </c>
      <c r="V15" s="2" t="s">
        <v>162</v>
      </c>
      <c r="W15" s="2" t="b">
        <v>1</v>
      </c>
      <c r="X15" s="2" t="s">
        <v>39</v>
      </c>
    </row>
    <row r="16" spans="1:24" x14ac:dyDescent="0.25">
      <c r="U16" s="2" t="b">
        <v>1</v>
      </c>
      <c r="V16" s="2" t="s">
        <v>163</v>
      </c>
      <c r="W16" s="2" t="b">
        <v>1</v>
      </c>
      <c r="X16" s="2" t="s">
        <v>39</v>
      </c>
    </row>
    <row r="17" spans="21:24" x14ac:dyDescent="0.25">
      <c r="U17" s="2" t="b">
        <v>1</v>
      </c>
      <c r="V17" s="2" t="s">
        <v>164</v>
      </c>
      <c r="W17" s="2" t="b">
        <v>1</v>
      </c>
      <c r="X17" s="2" t="s">
        <v>39</v>
      </c>
    </row>
    <row r="18" spans="21:24" x14ac:dyDescent="0.25">
      <c r="U18" s="2" t="b">
        <v>0</v>
      </c>
      <c r="V18" s="2"/>
      <c r="W18" s="2"/>
      <c r="X18" s="2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D16" sqref="D16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102</v>
      </c>
      <c r="DAU2">
        <v>2</v>
      </c>
      <c r="DAV2" t="s">
        <v>103</v>
      </c>
      <c r="DAW2" t="s">
        <v>106</v>
      </c>
      <c r="DAX2" t="s">
        <v>107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103</v>
      </c>
      <c r="J3" t="s">
        <v>105</v>
      </c>
      <c r="K3" t="s">
        <v>104</v>
      </c>
    </row>
    <row r="4" spans="1:14 2750:2782" x14ac:dyDescent="0.25">
      <c r="A4" s="44" t="s">
        <v>78</v>
      </c>
      <c r="B4" s="44"/>
      <c r="C4" s="45"/>
      <c r="D4" s="45"/>
      <c r="F4" s="44" t="s">
        <v>79</v>
      </c>
      <c r="G4" s="45"/>
      <c r="H4" s="45"/>
      <c r="I4" s="45"/>
      <c r="K4" s="44" t="s">
        <v>95</v>
      </c>
      <c r="L4" s="44"/>
      <c r="M4" s="45"/>
      <c r="N4" s="45"/>
    </row>
    <row r="5" spans="1:14 2750:2782" x14ac:dyDescent="0.25">
      <c r="A5" s="1" t="s">
        <v>80</v>
      </c>
      <c r="B5" s="1" t="s">
        <v>2</v>
      </c>
      <c r="C5" s="1" t="s">
        <v>47</v>
      </c>
      <c r="D5" s="1" t="s">
        <v>81</v>
      </c>
      <c r="F5" s="1" t="s">
        <v>80</v>
      </c>
      <c r="G5" s="1" t="s">
        <v>2</v>
      </c>
      <c r="H5" s="1" t="s">
        <v>47</v>
      </c>
      <c r="I5" s="1" t="s">
        <v>81</v>
      </c>
      <c r="K5" s="1" t="s">
        <v>80</v>
      </c>
      <c r="L5" s="1" t="s">
        <v>2</v>
      </c>
      <c r="M5" s="1" t="s">
        <v>47</v>
      </c>
      <c r="N5" s="1" t="s">
        <v>81</v>
      </c>
    </row>
    <row r="6" spans="1:14 2750:2782" x14ac:dyDescent="0.25">
      <c r="A6" s="2" t="b">
        <v>1</v>
      </c>
      <c r="B6" s="2" t="s">
        <v>108</v>
      </c>
      <c r="C6" s="2" t="s">
        <v>179</v>
      </c>
      <c r="D6" s="2" t="s">
        <v>39</v>
      </c>
      <c r="F6" s="2" t="b">
        <v>0</v>
      </c>
      <c r="G6" s="2" t="s">
        <v>109</v>
      </c>
      <c r="H6" s="2">
        <v>1</v>
      </c>
      <c r="I6" s="2" t="s">
        <v>39</v>
      </c>
      <c r="K6" s="2" t="b">
        <v>1</v>
      </c>
      <c r="L6" s="2" t="s">
        <v>96</v>
      </c>
      <c r="M6" s="2" t="b">
        <v>1</v>
      </c>
      <c r="N6" s="2" t="s">
        <v>39</v>
      </c>
    </row>
    <row r="7" spans="1:14 2750:2782" x14ac:dyDescent="0.25">
      <c r="A7" s="2" t="b">
        <v>1</v>
      </c>
      <c r="B7" s="2" t="s">
        <v>167</v>
      </c>
      <c r="C7" s="86" t="s">
        <v>180</v>
      </c>
      <c r="D7" s="2" t="s">
        <v>39</v>
      </c>
      <c r="F7" s="2" t="b">
        <v>0</v>
      </c>
      <c r="G7" s="2" t="s">
        <v>110</v>
      </c>
      <c r="H7" s="2">
        <v>1</v>
      </c>
      <c r="I7" s="2" t="s">
        <v>39</v>
      </c>
      <c r="K7" s="2" t="b">
        <v>1</v>
      </c>
      <c r="L7" s="2" t="s">
        <v>126</v>
      </c>
      <c r="M7" s="2" t="b">
        <v>1</v>
      </c>
      <c r="N7" s="2" t="s">
        <v>39</v>
      </c>
    </row>
    <row r="8" spans="1:14 2750:2782" x14ac:dyDescent="0.25">
      <c r="A8" s="2" t="b">
        <v>0</v>
      </c>
      <c r="B8" s="2"/>
      <c r="C8" s="8"/>
      <c r="D8" s="8" t="s">
        <v>39</v>
      </c>
      <c r="F8" s="2" t="b">
        <v>0</v>
      </c>
      <c r="G8" s="2" t="s">
        <v>99</v>
      </c>
      <c r="H8" s="2">
        <v>1</v>
      </c>
      <c r="I8" s="8" t="s">
        <v>39</v>
      </c>
      <c r="K8" s="2" t="b">
        <v>0</v>
      </c>
      <c r="L8" s="2"/>
      <c r="M8" s="8"/>
      <c r="N8" s="8" t="s">
        <v>39</v>
      </c>
    </row>
    <row r="9" spans="1:14 2750:2782" x14ac:dyDescent="0.25">
      <c r="A9" s="2" t="b">
        <v>0</v>
      </c>
      <c r="B9" s="2"/>
      <c r="C9" s="2"/>
      <c r="D9" s="2" t="s">
        <v>39</v>
      </c>
      <c r="F9" s="2" t="b">
        <v>0</v>
      </c>
      <c r="G9" s="2" t="s">
        <v>77</v>
      </c>
      <c r="H9" s="2"/>
      <c r="I9" s="2" t="s">
        <v>39</v>
      </c>
      <c r="K9" s="2" t="b">
        <v>0</v>
      </c>
      <c r="L9" s="2"/>
      <c r="M9" s="2"/>
      <c r="N9" s="2" t="s">
        <v>39</v>
      </c>
    </row>
    <row r="10" spans="1:14 2750:2782" x14ac:dyDescent="0.25">
      <c r="A10" s="2" t="b">
        <v>0</v>
      </c>
      <c r="B10" s="2"/>
      <c r="C10" s="2"/>
      <c r="D10" s="2" t="s">
        <v>39</v>
      </c>
      <c r="F10" s="2" t="b">
        <v>0</v>
      </c>
      <c r="G10" s="2"/>
      <c r="H10" s="2"/>
      <c r="I10" s="2" t="s">
        <v>39</v>
      </c>
      <c r="K10" s="2" t="b">
        <v>0</v>
      </c>
      <c r="L10" s="2"/>
      <c r="M10" s="2"/>
      <c r="N10" s="2" t="s">
        <v>39</v>
      </c>
    </row>
    <row r="11" spans="1:14 2750:2782" x14ac:dyDescent="0.25">
      <c r="A11" s="2" t="s">
        <v>39</v>
      </c>
      <c r="B11" s="2"/>
      <c r="C11" s="2"/>
      <c r="D11" s="2" t="s">
        <v>39</v>
      </c>
      <c r="F11" s="2" t="b">
        <v>0</v>
      </c>
      <c r="G11" s="2"/>
      <c r="H11" s="2"/>
      <c r="I11" s="2" t="s">
        <v>39</v>
      </c>
      <c r="K11" s="2" t="b">
        <v>0</v>
      </c>
      <c r="L11" s="2"/>
      <c r="M11" s="2"/>
      <c r="N11" s="2" t="s">
        <v>39</v>
      </c>
    </row>
    <row r="12" spans="1:14 2750:2782" x14ac:dyDescent="0.25">
      <c r="A12" s="2" t="s">
        <v>39</v>
      </c>
      <c r="B12" s="2"/>
      <c r="C12" s="2"/>
      <c r="D12" s="2" t="s">
        <v>39</v>
      </c>
      <c r="K12" s="2" t="b">
        <v>0</v>
      </c>
      <c r="L12" s="2"/>
      <c r="M12" s="2"/>
      <c r="N12" s="2" t="s">
        <v>39</v>
      </c>
    </row>
    <row r="13" spans="1:14 2750:2782" x14ac:dyDescent="0.25">
      <c r="A13" s="2" t="s">
        <v>39</v>
      </c>
      <c r="B13" s="12"/>
      <c r="C13" s="2"/>
      <c r="D13" s="2" t="s">
        <v>39</v>
      </c>
      <c r="K13" s="2" t="b">
        <v>0</v>
      </c>
      <c r="L13" s="2"/>
      <c r="M13" s="2"/>
      <c r="N13" s="2" t="s">
        <v>39</v>
      </c>
    </row>
    <row r="14" spans="1:14 2750:2782" x14ac:dyDescent="0.25">
      <c r="A14" s="2" t="s">
        <v>39</v>
      </c>
      <c r="B14" s="2"/>
      <c r="C14" s="2"/>
      <c r="D14" s="2" t="s">
        <v>39</v>
      </c>
      <c r="K14" s="2" t="b">
        <v>0</v>
      </c>
      <c r="L14" s="2"/>
      <c r="M14" s="2"/>
      <c r="N14" s="2" t="s">
        <v>39</v>
      </c>
    </row>
    <row r="15" spans="1:14 2750:2782" x14ac:dyDescent="0.25">
      <c r="C15" s="11"/>
      <c r="D15" s="11"/>
    </row>
  </sheetData>
  <hyperlinks>
    <hyperlink ref="C7" r:id="rId1" display="\\10.8.0.35\Bersama\IT\SEPTIAN\New folder (2)\MACRO - Item Draft Barang - CEISA 4\BAHAN\BC 262 24001043-1201- (16).xlsx" xr:uid="{89D1049B-313A-47E3-9689-E603C38E541E}"/>
  </hyperlinks>
  <pageMargins left="0.7" right="0.7" top="0.75" bottom="0.75" header="0.3" footer="0.3"/>
  <pageSetup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zoomScale="85" zoomScaleNormal="85" workbookViewId="0">
      <selection activeCell="F14" sqref="F14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124</v>
      </c>
      <c r="D4" s="66" t="s">
        <v>138</v>
      </c>
    </row>
    <row r="5" spans="1:5" x14ac:dyDescent="0.25">
      <c r="A5" s="65" t="s">
        <v>33</v>
      </c>
      <c r="B5" s="65" t="s">
        <v>34</v>
      </c>
      <c r="D5" s="65" t="s">
        <v>139</v>
      </c>
      <c r="E5" s="65" t="s">
        <v>65</v>
      </c>
    </row>
    <row r="6" spans="1:5" x14ac:dyDescent="0.25">
      <c r="A6" t="s">
        <v>15</v>
      </c>
      <c r="B6" t="s">
        <v>10</v>
      </c>
      <c r="D6">
        <v>3</v>
      </c>
      <c r="E6" t="s">
        <v>141</v>
      </c>
    </row>
    <row r="7" spans="1:5" x14ac:dyDescent="0.25">
      <c r="A7" t="s">
        <v>43</v>
      </c>
      <c r="B7" t="s">
        <v>38</v>
      </c>
      <c r="D7">
        <v>7</v>
      </c>
      <c r="E7" t="s">
        <v>140</v>
      </c>
    </row>
    <row r="8" spans="1:5" x14ac:dyDescent="0.25">
      <c r="A8" t="s">
        <v>3</v>
      </c>
      <c r="B8" t="s">
        <v>9</v>
      </c>
      <c r="D8">
        <v>8</v>
      </c>
      <c r="E8" t="s">
        <v>142</v>
      </c>
    </row>
    <row r="9" spans="1:5" x14ac:dyDescent="0.25">
      <c r="A9" t="s">
        <v>17</v>
      </c>
      <c r="B9" t="s">
        <v>13</v>
      </c>
      <c r="D9">
        <v>9</v>
      </c>
      <c r="E9" t="s">
        <v>143</v>
      </c>
    </row>
    <row r="10" spans="1:5" x14ac:dyDescent="0.25">
      <c r="A10" t="s">
        <v>18</v>
      </c>
      <c r="B10" t="s">
        <v>7</v>
      </c>
    </row>
    <row r="11" spans="1:5" x14ac:dyDescent="0.25">
      <c r="A11" t="s">
        <v>19</v>
      </c>
      <c r="B11" t="s">
        <v>20</v>
      </c>
    </row>
    <row r="12" spans="1:5" x14ac:dyDescent="0.25">
      <c r="A12" t="s">
        <v>21</v>
      </c>
      <c r="B12" t="s">
        <v>22</v>
      </c>
    </row>
    <row r="13" spans="1:5" x14ac:dyDescent="0.25">
      <c r="A13" t="s">
        <v>23</v>
      </c>
      <c r="B13" t="s">
        <v>23</v>
      </c>
    </row>
    <row r="14" spans="1:5" x14ac:dyDescent="0.25">
      <c r="A14" t="s">
        <v>24</v>
      </c>
      <c r="B14" t="s">
        <v>12</v>
      </c>
    </row>
    <row r="15" spans="1:5" x14ac:dyDescent="0.25">
      <c r="A15" t="s">
        <v>25</v>
      </c>
      <c r="B15" t="s">
        <v>26</v>
      </c>
    </row>
    <row r="16" spans="1:5" x14ac:dyDescent="0.25">
      <c r="A16" t="s">
        <v>27</v>
      </c>
      <c r="B16" t="s">
        <v>28</v>
      </c>
    </row>
    <row r="17" spans="1:2" x14ac:dyDescent="0.25">
      <c r="A17" t="s">
        <v>29</v>
      </c>
      <c r="B17" t="s">
        <v>30</v>
      </c>
    </row>
    <row r="18" spans="1:2" x14ac:dyDescent="0.25">
      <c r="A18" t="s">
        <v>31</v>
      </c>
      <c r="B18" t="s">
        <v>32</v>
      </c>
    </row>
    <row r="19" spans="1:2" x14ac:dyDescent="0.25">
      <c r="A19" t="s">
        <v>35</v>
      </c>
      <c r="B19" t="s">
        <v>11</v>
      </c>
    </row>
    <row r="20" spans="1:2" x14ac:dyDescent="0.25">
      <c r="A20" t="s">
        <v>16</v>
      </c>
      <c r="B20" t="s">
        <v>8</v>
      </c>
    </row>
    <row r="21" spans="1:2" x14ac:dyDescent="0.25">
      <c r="A21" t="s">
        <v>44</v>
      </c>
      <c r="B21" t="s">
        <v>32</v>
      </c>
    </row>
    <row r="22" spans="1:2" x14ac:dyDescent="0.25">
      <c r="A22" t="s">
        <v>45</v>
      </c>
      <c r="B22" t="s">
        <v>17</v>
      </c>
    </row>
    <row r="23" spans="1:2" x14ac:dyDescent="0.25">
      <c r="A23" t="s">
        <v>46</v>
      </c>
      <c r="B23" t="s">
        <v>38</v>
      </c>
    </row>
    <row r="24" spans="1:2" x14ac:dyDescent="0.25">
      <c r="A24" t="s">
        <v>57</v>
      </c>
      <c r="B24" t="s">
        <v>58</v>
      </c>
    </row>
    <row r="25" spans="1:2" x14ac:dyDescent="0.25">
      <c r="A25" t="s">
        <v>114</v>
      </c>
      <c r="B25" t="s">
        <v>115</v>
      </c>
    </row>
    <row r="26" spans="1:2" x14ac:dyDescent="0.25">
      <c r="A26" t="s">
        <v>116</v>
      </c>
      <c r="B26" t="s">
        <v>117</v>
      </c>
    </row>
    <row r="27" spans="1:2" x14ac:dyDescent="0.25">
      <c r="A27" t="s">
        <v>118</v>
      </c>
      <c r="B27" t="s">
        <v>119</v>
      </c>
    </row>
    <row r="28" spans="1:2" x14ac:dyDescent="0.25">
      <c r="A28" t="s">
        <v>120</v>
      </c>
      <c r="B28" t="s">
        <v>31</v>
      </c>
    </row>
    <row r="29" spans="1:2" x14ac:dyDescent="0.25">
      <c r="A29" t="s">
        <v>121</v>
      </c>
      <c r="B29" t="s">
        <v>122</v>
      </c>
    </row>
    <row r="30" spans="1:2" x14ac:dyDescent="0.25">
      <c r="A30" t="s">
        <v>32</v>
      </c>
      <c r="B30" t="s">
        <v>32</v>
      </c>
    </row>
    <row r="31" spans="1:2" x14ac:dyDescent="0.25">
      <c r="A31" t="s">
        <v>123</v>
      </c>
      <c r="B31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I18" sqref="I18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94" t="s">
        <v>36</v>
      </c>
      <c r="B4" s="95"/>
      <c r="C4" s="95"/>
      <c r="D4" s="95"/>
      <c r="E4" s="95"/>
      <c r="F4" s="95"/>
      <c r="G4" s="95"/>
      <c r="H4" s="96"/>
      <c r="I4" s="94" t="s">
        <v>92</v>
      </c>
      <c r="J4" s="95"/>
      <c r="K4" s="95"/>
      <c r="L4" s="95"/>
      <c r="M4" s="96"/>
      <c r="N4" s="58" t="s">
        <v>93</v>
      </c>
    </row>
    <row r="5" spans="1:16" x14ac:dyDescent="0.25">
      <c r="A5" s="56" t="s">
        <v>63</v>
      </c>
      <c r="B5" s="56" t="s">
        <v>64</v>
      </c>
      <c r="C5" s="56" t="s">
        <v>59</v>
      </c>
      <c r="D5" s="56" t="s">
        <v>65</v>
      </c>
      <c r="E5" t="s">
        <v>82</v>
      </c>
      <c r="F5" t="s">
        <v>83</v>
      </c>
      <c r="G5" t="s">
        <v>84</v>
      </c>
      <c r="H5" t="s">
        <v>85</v>
      </c>
      <c r="I5" s="56" t="s">
        <v>66</v>
      </c>
      <c r="J5" s="56" t="s">
        <v>67</v>
      </c>
      <c r="K5" s="56" t="s">
        <v>68</v>
      </c>
      <c r="L5" s="56" t="s">
        <v>69</v>
      </c>
      <c r="M5" s="56" t="s">
        <v>70</v>
      </c>
      <c r="N5" s="56" t="s">
        <v>14</v>
      </c>
    </row>
    <row r="7" spans="1:16" x14ac:dyDescent="0.25">
      <c r="A7" s="51">
        <v>27</v>
      </c>
    </row>
    <row r="8" spans="1:16" x14ac:dyDescent="0.25">
      <c r="A8" s="94" t="s">
        <v>36</v>
      </c>
      <c r="B8" s="95"/>
      <c r="C8" s="95"/>
      <c r="D8" s="95"/>
      <c r="E8" s="95"/>
      <c r="F8" s="95"/>
      <c r="G8" s="95"/>
      <c r="H8" s="96"/>
      <c r="I8" s="94" t="s">
        <v>92</v>
      </c>
      <c r="J8" s="95"/>
      <c r="K8" s="95"/>
      <c r="L8" s="95"/>
      <c r="M8" s="96"/>
      <c r="N8" s="94" t="s">
        <v>93</v>
      </c>
      <c r="O8" s="96"/>
    </row>
    <row r="9" spans="1:16" x14ac:dyDescent="0.25">
      <c r="A9" s="56" t="s">
        <v>63</v>
      </c>
      <c r="B9" s="56" t="s">
        <v>64</v>
      </c>
      <c r="C9" s="56" t="s">
        <v>59</v>
      </c>
      <c r="D9" s="56" t="s">
        <v>65</v>
      </c>
      <c r="E9" t="s">
        <v>82</v>
      </c>
      <c r="F9" t="s">
        <v>83</v>
      </c>
      <c r="G9" t="s">
        <v>84</v>
      </c>
      <c r="H9" t="s">
        <v>85</v>
      </c>
      <c r="I9" s="56" t="s">
        <v>66</v>
      </c>
      <c r="J9" s="56" t="s">
        <v>67</v>
      </c>
      <c r="K9" s="56" t="s">
        <v>68</v>
      </c>
      <c r="L9" s="56" t="s">
        <v>69</v>
      </c>
      <c r="M9" s="56" t="s">
        <v>70</v>
      </c>
      <c r="N9" s="56" t="s">
        <v>14</v>
      </c>
      <c r="O9" t="s">
        <v>71</v>
      </c>
    </row>
    <row r="11" spans="1:16" x14ac:dyDescent="0.25">
      <c r="A11" s="51">
        <v>41</v>
      </c>
    </row>
    <row r="12" spans="1:16" x14ac:dyDescent="0.25">
      <c r="A12" s="94" t="s">
        <v>36</v>
      </c>
      <c r="B12" s="95"/>
      <c r="C12" s="95"/>
      <c r="D12" s="95"/>
      <c r="E12" s="95"/>
      <c r="F12" s="95"/>
      <c r="G12" s="95"/>
      <c r="H12" s="96"/>
      <c r="I12" s="94" t="s">
        <v>92</v>
      </c>
      <c r="J12" s="95"/>
      <c r="K12" s="95"/>
      <c r="L12" s="95"/>
      <c r="M12" s="96"/>
      <c r="N12" s="94" t="s">
        <v>93</v>
      </c>
      <c r="O12" s="95"/>
      <c r="P12" s="96"/>
    </row>
    <row r="13" spans="1:16" x14ac:dyDescent="0.25">
      <c r="A13" s="56" t="s">
        <v>63</v>
      </c>
      <c r="B13" s="56" t="s">
        <v>64</v>
      </c>
      <c r="C13" s="56" t="s">
        <v>59</v>
      </c>
      <c r="D13" s="56" t="s">
        <v>65</v>
      </c>
      <c r="E13" t="s">
        <v>82</v>
      </c>
      <c r="F13" t="s">
        <v>83</v>
      </c>
      <c r="G13" t="s">
        <v>84</v>
      </c>
      <c r="H13" t="s">
        <v>85</v>
      </c>
      <c r="I13" s="56" t="s">
        <v>66</v>
      </c>
      <c r="J13" s="56" t="s">
        <v>67</v>
      </c>
      <c r="K13" s="56" t="s">
        <v>68</v>
      </c>
      <c r="L13" s="56" t="s">
        <v>69</v>
      </c>
      <c r="M13" s="56" t="s">
        <v>70</v>
      </c>
      <c r="N13" s="56" t="s">
        <v>14</v>
      </c>
      <c r="O13" t="s">
        <v>71</v>
      </c>
      <c r="P13" t="s">
        <v>90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94" t="s">
        <v>101</v>
      </c>
      <c r="B4" s="95"/>
      <c r="C4" s="95"/>
      <c r="D4" s="95"/>
      <c r="E4" s="95"/>
      <c r="F4" s="95"/>
      <c r="G4" s="95"/>
      <c r="H4" s="96"/>
      <c r="I4" s="95"/>
      <c r="J4" s="95"/>
      <c r="K4" s="95"/>
      <c r="L4" s="95"/>
      <c r="M4" s="95"/>
      <c r="N4" s="95"/>
      <c r="O4" s="96"/>
      <c r="P4" s="94" t="s">
        <v>92</v>
      </c>
      <c r="Q4" s="95"/>
      <c r="R4" s="95"/>
      <c r="S4" s="96"/>
    </row>
    <row r="5" spans="1:19" ht="15.75" x14ac:dyDescent="0.25">
      <c r="A5" s="56" t="s">
        <v>63</v>
      </c>
      <c r="B5" s="59" t="s">
        <v>91</v>
      </c>
      <c r="C5" s="60" t="s">
        <v>148</v>
      </c>
      <c r="D5" s="60" t="s">
        <v>100</v>
      </c>
      <c r="E5" s="60" t="s">
        <v>86</v>
      </c>
      <c r="F5" s="60" t="s">
        <v>87</v>
      </c>
      <c r="G5" s="57" t="s">
        <v>88</v>
      </c>
      <c r="H5" s="57" t="s">
        <v>89</v>
      </c>
      <c r="I5" s="61" t="s">
        <v>64</v>
      </c>
      <c r="J5" s="60" t="s">
        <v>59</v>
      </c>
      <c r="K5" s="57" t="s">
        <v>65</v>
      </c>
      <c r="L5" s="57" t="s">
        <v>82</v>
      </c>
      <c r="M5" s="57" t="s">
        <v>83</v>
      </c>
      <c r="N5" s="57" t="s">
        <v>84</v>
      </c>
      <c r="O5" s="57" t="s">
        <v>85</v>
      </c>
      <c r="P5" s="60" t="s">
        <v>66</v>
      </c>
      <c r="Q5" s="60" t="s">
        <v>67</v>
      </c>
      <c r="R5" s="47" t="s">
        <v>70</v>
      </c>
      <c r="S5" s="47" t="s">
        <v>14</v>
      </c>
    </row>
    <row r="6" spans="1:19" x14ac:dyDescent="0.25">
      <c r="A6"/>
      <c r="B6"/>
      <c r="C6" t="s">
        <v>127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AF7B1-F9C7-4E3B-9100-0F8FC239432B}">
  <dimension ref="A1:Y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14" style="11" bestFit="1" customWidth="1"/>
    <col min="4" max="4" width="3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6.85546875" bestFit="1" customWidth="1"/>
    <col min="14" max="14" width="6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94" t="s">
        <v>36</v>
      </c>
      <c r="B1" s="95"/>
      <c r="C1" s="95"/>
      <c r="D1" s="95"/>
      <c r="E1" s="95"/>
      <c r="F1" s="95"/>
      <c r="G1" s="95"/>
      <c r="H1" s="96"/>
      <c r="I1" s="94" t="s">
        <v>92</v>
      </c>
      <c r="J1" s="95"/>
      <c r="K1" s="95"/>
      <c r="L1" s="95"/>
      <c r="M1" s="96"/>
      <c r="N1" s="58" t="s">
        <v>93</v>
      </c>
      <c r="O1" s="97" t="s">
        <v>169</v>
      </c>
      <c r="P1" s="98"/>
      <c r="Q1" s="98"/>
      <c r="R1" s="98"/>
      <c r="S1" s="98"/>
      <c r="T1" s="98"/>
      <c r="U1" s="98"/>
      <c r="V1" s="98"/>
      <c r="W1" s="98"/>
      <c r="X1" s="98"/>
      <c r="Y1" s="98"/>
    </row>
    <row r="2" spans="1:25" x14ac:dyDescent="0.25">
      <c r="A2" s="56" t="s">
        <v>63</v>
      </c>
      <c r="B2" s="81" t="s">
        <v>64</v>
      </c>
      <c r="C2" s="81" t="s">
        <v>59</v>
      </c>
      <c r="D2" s="81" t="s">
        <v>65</v>
      </c>
      <c r="E2" s="11" t="s">
        <v>82</v>
      </c>
      <c r="F2" s="11" t="s">
        <v>83</v>
      </c>
      <c r="G2" s="11" t="s">
        <v>84</v>
      </c>
      <c r="H2" s="11" t="s">
        <v>85</v>
      </c>
      <c r="I2" s="81" t="s">
        <v>66</v>
      </c>
      <c r="J2" s="56" t="s">
        <v>67</v>
      </c>
      <c r="K2" s="81" t="s">
        <v>68</v>
      </c>
      <c r="L2" s="56" t="s">
        <v>69</v>
      </c>
      <c r="M2" s="56" t="s">
        <v>70</v>
      </c>
      <c r="N2" s="56" t="s">
        <v>14</v>
      </c>
      <c r="O2" s="85" t="s">
        <v>63</v>
      </c>
      <c r="P2" s="85" t="s">
        <v>64</v>
      </c>
      <c r="Q2" s="85" t="s">
        <v>59</v>
      </c>
      <c r="R2" s="85" t="s">
        <v>65</v>
      </c>
      <c r="S2" s="85" t="s">
        <v>66</v>
      </c>
      <c r="T2" s="85" t="s">
        <v>67</v>
      </c>
      <c r="U2" s="85" t="s">
        <v>68</v>
      </c>
      <c r="V2" s="85" t="s">
        <v>69</v>
      </c>
      <c r="W2" s="85" t="s">
        <v>70</v>
      </c>
      <c r="X2" s="85" t="s">
        <v>14</v>
      </c>
      <c r="Y2" s="85" t="s">
        <v>170</v>
      </c>
    </row>
    <row r="3" spans="1:25" x14ac:dyDescent="0.25">
      <c r="A3">
        <v>1</v>
      </c>
      <c r="B3" s="11" t="s">
        <v>269</v>
      </c>
      <c r="C3" t="s">
        <v>270</v>
      </c>
      <c r="D3" t="s">
        <v>181</v>
      </c>
      <c r="E3" t="s">
        <v>39</v>
      </c>
      <c r="F3" t="s">
        <v>39</v>
      </c>
      <c r="G3" t="s">
        <v>39</v>
      </c>
      <c r="H3" t="s">
        <v>39</v>
      </c>
      <c r="I3" t="s">
        <v>9</v>
      </c>
      <c r="J3">
        <v>1</v>
      </c>
      <c r="K3" t="s">
        <v>13</v>
      </c>
      <c r="L3">
        <v>1</v>
      </c>
      <c r="M3">
        <v>0.3</v>
      </c>
      <c r="N3">
        <v>32.94</v>
      </c>
      <c r="O3" t="str">
        <f t="shared" ref="O3:O4" si="0">IF(OR(A3="",A3&lt;1),FALSE,IF(ISNUMBER(A3), IF(INT(A3) = A3, "-", FALSE), FALSE))</f>
        <v>-</v>
      </c>
      <c r="P3" t="str">
        <f t="shared" ref="P3:P4" si="1">IF(B3="",FALSE,"-")</f>
        <v>-</v>
      </c>
      <c r="Q3" t="str">
        <f t="shared" ref="Q3:Q4" si="2">IF(C3="",FALSE,"-")</f>
        <v>-</v>
      </c>
      <c r="R3" t="str">
        <f t="shared" ref="R3:R4" si="3">IF(D3="",FALSE,"-")</f>
        <v>-</v>
      </c>
      <c r="S3" t="str">
        <f>IF(_xlfn.IFNA(VLOOKUP(I3,Set_Ref!$B$6:$B$1048576,1,FALSE),"")&lt;&gt;"","-",FALSE)</f>
        <v>-</v>
      </c>
      <c r="T3" t="str">
        <f t="shared" ref="T3:T4" si="4">IF(OR(J3="",J3&lt;1),FALSE,IF(ISNUMBER(J3),"-",FALSE))</f>
        <v>-</v>
      </c>
      <c r="U3" t="str">
        <f t="shared" ref="U3:U4" si="5">IF(ISTEXT(K3),  "-",FALSE)</f>
        <v>-</v>
      </c>
      <c r="V3" t="str">
        <f t="shared" ref="V3:V4" si="6">IF(OR(L3="",L3&lt;1),FALSE,IF(ISNUMBER(L3),"-",FALSE))</f>
        <v>-</v>
      </c>
      <c r="W3" t="str">
        <f t="shared" ref="W3:W4" si="7">IF(OR(M3="",M3&lt;0),FALSE,IF(ISNUMBER(M3),"-",FALSE))</f>
        <v>-</v>
      </c>
      <c r="X3" t="str">
        <f t="shared" ref="X3:X4" si="8">IF(OR(N3="",N3&lt;1),FALSE,IF(ISNUMBER(N3),"-",FALSE))</f>
        <v>-</v>
      </c>
      <c r="Y3" t="b">
        <f t="shared" ref="Y3:Y4" si="9">IF(COUNTIF($O$3:$X$3, "FALSE") &gt; 0, FALSE, TRUE)</f>
        <v>1</v>
      </c>
    </row>
    <row r="4" spans="1:25" x14ac:dyDescent="0.25">
      <c r="A4">
        <v>2</v>
      </c>
      <c r="B4" s="101" t="s">
        <v>271</v>
      </c>
      <c r="C4" t="s">
        <v>272</v>
      </c>
      <c r="D4" t="s">
        <v>182</v>
      </c>
      <c r="E4" t="s">
        <v>39</v>
      </c>
      <c r="F4" t="s">
        <v>39</v>
      </c>
      <c r="G4" t="s">
        <v>39</v>
      </c>
      <c r="H4" t="s">
        <v>39</v>
      </c>
      <c r="I4" t="s">
        <v>9</v>
      </c>
      <c r="J4">
        <v>1</v>
      </c>
      <c r="K4" t="s">
        <v>13</v>
      </c>
      <c r="L4">
        <v>0</v>
      </c>
      <c r="M4">
        <v>0.3</v>
      </c>
      <c r="N4">
        <v>32.94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si="4"/>
        <v>-</v>
      </c>
      <c r="U4" t="str">
        <f t="shared" si="5"/>
        <v>-</v>
      </c>
      <c r="V4" t="b">
        <f t="shared" si="6"/>
        <v>0</v>
      </c>
      <c r="W4" t="str">
        <f t="shared" si="7"/>
        <v>-</v>
      </c>
      <c r="X4" t="str">
        <f t="shared" si="8"/>
        <v>-</v>
      </c>
      <c r="Y4" t="b">
        <f t="shared" si="9"/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F4C1-2FAC-4826-93E3-72324F4D334B}">
  <dimension ref="A1:AE636"/>
  <sheetViews>
    <sheetView workbookViewId="0">
      <pane xSplit="2" ySplit="2" topLeftCell="K3" activePane="bottomRight" state="frozen"/>
      <selection pane="topRight" activeCell="C1" sqref="C1"/>
      <selection pane="bottomLeft" activeCell="A3" sqref="A3"/>
      <selection pane="bottomRight" activeCell="P3" sqref="P3:S636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35.710937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94" t="s">
        <v>101</v>
      </c>
      <c r="B1" s="95"/>
      <c r="C1" s="95"/>
      <c r="D1" s="95"/>
      <c r="E1" s="95"/>
      <c r="F1" s="95"/>
      <c r="G1" s="95"/>
      <c r="H1" s="96"/>
      <c r="I1" s="99"/>
      <c r="J1" s="99"/>
      <c r="K1" s="99"/>
      <c r="L1" s="99"/>
      <c r="M1" s="99"/>
      <c r="N1" s="99"/>
      <c r="O1" s="100"/>
      <c r="P1" s="94" t="s">
        <v>92</v>
      </c>
      <c r="Q1" s="95"/>
      <c r="R1" s="95"/>
      <c r="S1" s="96"/>
      <c r="T1" s="97" t="s">
        <v>169</v>
      </c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</row>
    <row r="2" spans="1:31" ht="15.75" x14ac:dyDescent="0.25">
      <c r="A2" s="56" t="s">
        <v>63</v>
      </c>
      <c r="B2" s="59" t="s">
        <v>91</v>
      </c>
      <c r="C2" s="82" t="s">
        <v>148</v>
      </c>
      <c r="D2" s="82" t="s">
        <v>100</v>
      </c>
      <c r="E2" s="82" t="s">
        <v>86</v>
      </c>
      <c r="F2" s="82" t="s">
        <v>87</v>
      </c>
      <c r="G2" s="83" t="s">
        <v>88</v>
      </c>
      <c r="H2" s="83" t="s">
        <v>89</v>
      </c>
      <c r="I2" s="84" t="s">
        <v>64</v>
      </c>
      <c r="J2" s="82" t="s">
        <v>59</v>
      </c>
      <c r="K2" s="83" t="s">
        <v>65</v>
      </c>
      <c r="L2" s="83" t="s">
        <v>82</v>
      </c>
      <c r="M2" s="83" t="s">
        <v>83</v>
      </c>
      <c r="N2" s="83" t="s">
        <v>84</v>
      </c>
      <c r="O2" s="83" t="s">
        <v>85</v>
      </c>
      <c r="P2" s="82" t="s">
        <v>66</v>
      </c>
      <c r="Q2" s="60" t="s">
        <v>67</v>
      </c>
      <c r="R2" s="47" t="s">
        <v>70</v>
      </c>
      <c r="S2" s="47" t="s">
        <v>14</v>
      </c>
      <c r="T2" s="85" t="s">
        <v>63</v>
      </c>
      <c r="U2" s="85" t="s">
        <v>91</v>
      </c>
      <c r="V2" s="85" t="s">
        <v>48</v>
      </c>
      <c r="W2" s="85" t="s">
        <v>100</v>
      </c>
      <c r="X2" s="85" t="s">
        <v>86</v>
      </c>
      <c r="Y2" s="85" t="s">
        <v>87</v>
      </c>
      <c r="Z2" s="85" t="s">
        <v>64</v>
      </c>
      <c r="AA2" s="85" t="s">
        <v>59</v>
      </c>
      <c r="AB2" s="85" t="s">
        <v>66</v>
      </c>
      <c r="AC2" s="85" t="s">
        <v>67</v>
      </c>
      <c r="AD2" s="85" t="s">
        <v>171</v>
      </c>
      <c r="AE2" s="85" t="s">
        <v>170</v>
      </c>
    </row>
    <row r="3" spans="1:31" x14ac:dyDescent="0.25">
      <c r="A3">
        <v>1</v>
      </c>
      <c r="B3">
        <v>1</v>
      </c>
      <c r="C3">
        <v>261</v>
      </c>
      <c r="D3" s="55" t="s">
        <v>149</v>
      </c>
      <c r="E3" t="s">
        <v>273</v>
      </c>
      <c r="F3" s="87" t="s">
        <v>183</v>
      </c>
      <c r="G3" s="11" t="s">
        <v>426</v>
      </c>
      <c r="H3">
        <v>1</v>
      </c>
      <c r="I3" s="11" t="s">
        <v>427</v>
      </c>
      <c r="J3" t="s">
        <v>274</v>
      </c>
      <c r="K3" t="s">
        <v>214</v>
      </c>
      <c r="L3" s="11" t="s">
        <v>39</v>
      </c>
      <c r="M3" s="11" t="s">
        <v>39</v>
      </c>
      <c r="N3" s="11" t="s">
        <v>39</v>
      </c>
      <c r="O3" s="11" t="s">
        <v>39</v>
      </c>
      <c r="P3" t="s">
        <v>9</v>
      </c>
      <c r="Q3">
        <v>3355</v>
      </c>
      <c r="R3">
        <v>0</v>
      </c>
      <c r="S3">
        <v>0</v>
      </c>
      <c r="T3" t="str">
        <f t="shared" ref="T3:T66" si="0">IF(OR(A3="",A3&lt;1),FALSE,IF(ISNUMBER(A3), IF(INT(A3) = A3, "-", FALSE), FALSE))</f>
        <v>-</v>
      </c>
      <c r="U3" t="str">
        <f t="shared" ref="U3:U66" si="1">IF(OR(B3="",A3&lt;1),FALSE,IF(ISNUMBER(A3), IF(INT(A3) = A3, "-", FALSE), FALSE))</f>
        <v>-</v>
      </c>
      <c r="V3" t="str">
        <f t="shared" ref="V3:V66" si="2">IF(OR(C3="",C3="PilihSalasatu"),FALSE,"-")</f>
        <v>-</v>
      </c>
      <c r="W3" t="str">
        <f t="shared" ref="W3:W66" si="3">IF(D3="",FALSE,"-")</f>
        <v>-</v>
      </c>
      <c r="X3" t="str">
        <f t="shared" ref="X3:X66" si="4">IF(E3="",FALSE,"-")</f>
        <v>-</v>
      </c>
      <c r="Y3" t="str">
        <f t="shared" ref="Y3:Y66" si="5">IF(F3="",FALSE,"-")</f>
        <v>-</v>
      </c>
      <c r="Z3" t="str">
        <f t="shared" ref="Z3:Z66" si="6">IF(I3="",FALSE,"-")</f>
        <v>-</v>
      </c>
      <c r="AA3" t="str">
        <f t="shared" ref="AA3:AA66" si="7">IF(J3="",FALSE,"-")</f>
        <v>-</v>
      </c>
      <c r="AB3" t="str">
        <f>IF(_xlfn.IFNA(VLOOKUP(P3,Set_Ref!$B$6:$B$1048576,1,FALSE),"")&lt;&gt;"","-",FALSE)</f>
        <v>-</v>
      </c>
      <c r="AC3" t="str">
        <f t="shared" ref="AC3:AC66" si="8">IF(OR(Q3="",Q3&lt;0),FALSE,IF(ISNUMBER(Q3),"-",FALSE))</f>
        <v>-</v>
      </c>
      <c r="AD3" t="str">
        <f t="shared" ref="AD3:AD66" si="9">IF(OR(G3="",H3="",I3="",K3=""),FALSE,"-")</f>
        <v>-</v>
      </c>
      <c r="AE3" t="b">
        <f t="shared" ref="AE3:AE66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11" t="s">
        <v>149</v>
      </c>
      <c r="E4" t="s">
        <v>273</v>
      </c>
      <c r="F4" t="s">
        <v>183</v>
      </c>
      <c r="G4" s="11" t="s">
        <v>426</v>
      </c>
      <c r="H4">
        <v>2</v>
      </c>
      <c r="I4" s="11" t="s">
        <v>428</v>
      </c>
      <c r="J4" t="s">
        <v>275</v>
      </c>
      <c r="K4" t="s">
        <v>215</v>
      </c>
      <c r="L4" s="11" t="s">
        <v>39</v>
      </c>
      <c r="M4" s="11" t="s">
        <v>39</v>
      </c>
      <c r="N4" s="11" t="s">
        <v>39</v>
      </c>
      <c r="O4" s="11" t="s">
        <v>39</v>
      </c>
      <c r="P4" t="s">
        <v>9</v>
      </c>
      <c r="Q4">
        <v>3750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11" t="s">
        <v>149</v>
      </c>
      <c r="E5" t="s">
        <v>273</v>
      </c>
      <c r="F5" t="s">
        <v>183</v>
      </c>
      <c r="G5" s="11" t="s">
        <v>426</v>
      </c>
      <c r="H5">
        <v>3</v>
      </c>
      <c r="I5" s="11" t="s">
        <v>427</v>
      </c>
      <c r="J5" t="s">
        <v>276</v>
      </c>
      <c r="K5" t="s">
        <v>216</v>
      </c>
      <c r="L5" s="11" t="s">
        <v>39</v>
      </c>
      <c r="M5" s="11" t="s">
        <v>39</v>
      </c>
      <c r="N5" s="11" t="s">
        <v>39</v>
      </c>
      <c r="O5" s="11" t="s">
        <v>39</v>
      </c>
      <c r="P5" t="s">
        <v>9</v>
      </c>
      <c r="Q5">
        <v>7755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1</v>
      </c>
      <c r="B6">
        <v>4</v>
      </c>
      <c r="C6">
        <v>261</v>
      </c>
      <c r="D6" s="11" t="s">
        <v>149</v>
      </c>
      <c r="E6" t="s">
        <v>273</v>
      </c>
      <c r="F6" t="s">
        <v>183</v>
      </c>
      <c r="G6" s="11" t="s">
        <v>426</v>
      </c>
      <c r="H6">
        <v>4</v>
      </c>
      <c r="I6" s="11" t="s">
        <v>429</v>
      </c>
      <c r="J6" t="s">
        <v>277</v>
      </c>
      <c r="K6" t="s">
        <v>217</v>
      </c>
      <c r="L6" s="11" t="s">
        <v>39</v>
      </c>
      <c r="M6" s="11" t="s">
        <v>39</v>
      </c>
      <c r="N6" s="11" t="s">
        <v>39</v>
      </c>
      <c r="O6" s="11" t="s">
        <v>39</v>
      </c>
      <c r="P6" t="s">
        <v>9</v>
      </c>
      <c r="Q6">
        <v>329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1</v>
      </c>
      <c r="B7">
        <v>5</v>
      </c>
      <c r="C7">
        <v>261</v>
      </c>
      <c r="D7" s="11" t="s">
        <v>149</v>
      </c>
      <c r="E7" t="s">
        <v>273</v>
      </c>
      <c r="F7" t="s">
        <v>183</v>
      </c>
      <c r="G7" s="11" t="s">
        <v>426</v>
      </c>
      <c r="H7">
        <v>5</v>
      </c>
      <c r="I7" s="11" t="s">
        <v>430</v>
      </c>
      <c r="J7" t="s">
        <v>278</v>
      </c>
      <c r="K7" t="s">
        <v>218</v>
      </c>
      <c r="L7" s="11" t="s">
        <v>39</v>
      </c>
      <c r="M7" s="11" t="s">
        <v>39</v>
      </c>
      <c r="N7" s="11" t="s">
        <v>39</v>
      </c>
      <c r="O7" s="11" t="s">
        <v>39</v>
      </c>
      <c r="P7" t="s">
        <v>58</v>
      </c>
      <c r="Q7">
        <v>1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1</v>
      </c>
      <c r="B8">
        <v>6</v>
      </c>
      <c r="C8">
        <v>261</v>
      </c>
      <c r="D8" s="11" t="s">
        <v>149</v>
      </c>
      <c r="E8" t="s">
        <v>273</v>
      </c>
      <c r="F8" t="s">
        <v>183</v>
      </c>
      <c r="G8" s="11" t="s">
        <v>426</v>
      </c>
      <c r="H8">
        <v>6</v>
      </c>
      <c r="I8" s="11" t="s">
        <v>172</v>
      </c>
      <c r="J8" t="s">
        <v>279</v>
      </c>
      <c r="K8" t="s">
        <v>219</v>
      </c>
      <c r="L8" s="11" t="s">
        <v>39</v>
      </c>
      <c r="M8" s="11" t="s">
        <v>39</v>
      </c>
      <c r="N8" s="11" t="s">
        <v>39</v>
      </c>
      <c r="O8" s="11" t="s">
        <v>39</v>
      </c>
      <c r="P8" t="s">
        <v>11</v>
      </c>
      <c r="Q8">
        <v>45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1</v>
      </c>
      <c r="B9">
        <v>7</v>
      </c>
      <c r="C9">
        <v>261</v>
      </c>
      <c r="D9" s="11" t="s">
        <v>149</v>
      </c>
      <c r="E9" t="s">
        <v>273</v>
      </c>
      <c r="F9" t="s">
        <v>183</v>
      </c>
      <c r="G9" s="11" t="s">
        <v>426</v>
      </c>
      <c r="H9">
        <v>7</v>
      </c>
      <c r="I9" s="11" t="s">
        <v>427</v>
      </c>
      <c r="J9" t="s">
        <v>280</v>
      </c>
      <c r="K9" t="s">
        <v>220</v>
      </c>
      <c r="L9" s="11" t="s">
        <v>39</v>
      </c>
      <c r="M9" s="11" t="s">
        <v>39</v>
      </c>
      <c r="N9" s="11" t="s">
        <v>39</v>
      </c>
      <c r="O9" s="11" t="s">
        <v>39</v>
      </c>
      <c r="P9" t="s">
        <v>9</v>
      </c>
      <c r="Q9">
        <v>206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1</v>
      </c>
      <c r="B10">
        <v>8</v>
      </c>
      <c r="C10">
        <v>261</v>
      </c>
      <c r="D10" s="11" t="s">
        <v>149</v>
      </c>
      <c r="E10" t="s">
        <v>273</v>
      </c>
      <c r="F10" t="s">
        <v>183</v>
      </c>
      <c r="G10" s="11" t="s">
        <v>426</v>
      </c>
      <c r="H10">
        <v>8</v>
      </c>
      <c r="I10" s="11" t="s">
        <v>431</v>
      </c>
      <c r="J10" t="s">
        <v>432</v>
      </c>
      <c r="K10" t="s">
        <v>221</v>
      </c>
      <c r="L10" s="11" t="s">
        <v>39</v>
      </c>
      <c r="M10" s="11" t="s">
        <v>39</v>
      </c>
      <c r="N10" s="11" t="s">
        <v>39</v>
      </c>
      <c r="O10" s="11" t="s">
        <v>39</v>
      </c>
      <c r="P10" t="s">
        <v>9</v>
      </c>
      <c r="Q10">
        <v>26000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1</v>
      </c>
      <c r="B11">
        <v>9</v>
      </c>
      <c r="C11">
        <v>261</v>
      </c>
      <c r="D11" s="11" t="s">
        <v>149</v>
      </c>
      <c r="E11" t="s">
        <v>273</v>
      </c>
      <c r="F11" t="s">
        <v>183</v>
      </c>
      <c r="G11" s="11" t="s">
        <v>426</v>
      </c>
      <c r="H11">
        <v>9</v>
      </c>
      <c r="I11" s="11" t="s">
        <v>433</v>
      </c>
      <c r="J11" t="s">
        <v>281</v>
      </c>
      <c r="K11" t="s">
        <v>222</v>
      </c>
      <c r="L11" s="11" t="s">
        <v>39</v>
      </c>
      <c r="M11" s="11" t="s">
        <v>39</v>
      </c>
      <c r="N11" s="11" t="s">
        <v>39</v>
      </c>
      <c r="O11" s="11" t="s">
        <v>39</v>
      </c>
      <c r="P11" t="s">
        <v>10</v>
      </c>
      <c r="Q11">
        <v>243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1</v>
      </c>
      <c r="B12">
        <v>10</v>
      </c>
      <c r="C12">
        <v>261</v>
      </c>
      <c r="D12" s="11" t="s">
        <v>149</v>
      </c>
      <c r="E12" t="s">
        <v>273</v>
      </c>
      <c r="F12" t="s">
        <v>183</v>
      </c>
      <c r="G12" s="11" t="s">
        <v>426</v>
      </c>
      <c r="H12">
        <v>10</v>
      </c>
      <c r="I12" s="11" t="s">
        <v>434</v>
      </c>
      <c r="J12" t="s">
        <v>435</v>
      </c>
      <c r="K12" t="s">
        <v>223</v>
      </c>
      <c r="L12" s="11" t="s">
        <v>39</v>
      </c>
      <c r="M12" s="11" t="s">
        <v>39</v>
      </c>
      <c r="N12" s="11" t="s">
        <v>39</v>
      </c>
      <c r="O12" s="11" t="s">
        <v>39</v>
      </c>
      <c r="P12" t="s">
        <v>9</v>
      </c>
      <c r="Q12">
        <v>7650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1</v>
      </c>
      <c r="B13">
        <v>11</v>
      </c>
      <c r="C13">
        <v>261</v>
      </c>
      <c r="D13" s="11" t="s">
        <v>149</v>
      </c>
      <c r="E13" t="s">
        <v>273</v>
      </c>
      <c r="F13" t="s">
        <v>183</v>
      </c>
      <c r="G13" s="11" t="s">
        <v>426</v>
      </c>
      <c r="H13">
        <v>10</v>
      </c>
      <c r="I13" s="11" t="s">
        <v>434</v>
      </c>
      <c r="J13" t="s">
        <v>435</v>
      </c>
      <c r="K13" t="s">
        <v>223</v>
      </c>
      <c r="L13" s="11" t="s">
        <v>39</v>
      </c>
      <c r="M13" s="11" t="s">
        <v>39</v>
      </c>
      <c r="N13" s="11" t="s">
        <v>39</v>
      </c>
      <c r="O13" s="11" t="s">
        <v>39</v>
      </c>
      <c r="P13" t="s">
        <v>9</v>
      </c>
      <c r="Q13">
        <v>7650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1</v>
      </c>
      <c r="B14">
        <v>12</v>
      </c>
      <c r="C14">
        <v>261</v>
      </c>
      <c r="D14" s="11" t="s">
        <v>149</v>
      </c>
      <c r="E14" t="s">
        <v>273</v>
      </c>
      <c r="F14" t="s">
        <v>183</v>
      </c>
      <c r="G14" s="11" t="s">
        <v>426</v>
      </c>
      <c r="H14">
        <v>10</v>
      </c>
      <c r="I14" s="11" t="s">
        <v>434</v>
      </c>
      <c r="J14" t="s">
        <v>435</v>
      </c>
      <c r="K14" t="s">
        <v>223</v>
      </c>
      <c r="L14" s="11" t="s">
        <v>39</v>
      </c>
      <c r="M14" s="11" t="s">
        <v>39</v>
      </c>
      <c r="N14" s="11" t="s">
        <v>39</v>
      </c>
      <c r="O14" s="11" t="s">
        <v>39</v>
      </c>
      <c r="P14" t="s">
        <v>9</v>
      </c>
      <c r="Q14">
        <v>7650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1</v>
      </c>
      <c r="B15">
        <v>13</v>
      </c>
      <c r="C15">
        <v>261</v>
      </c>
      <c r="D15" s="11" t="s">
        <v>149</v>
      </c>
      <c r="E15" t="s">
        <v>273</v>
      </c>
      <c r="F15" t="s">
        <v>183</v>
      </c>
      <c r="G15" s="11" t="s">
        <v>426</v>
      </c>
      <c r="H15">
        <v>10</v>
      </c>
      <c r="I15" s="11" t="s">
        <v>434</v>
      </c>
      <c r="J15" t="s">
        <v>435</v>
      </c>
      <c r="K15" t="s">
        <v>223</v>
      </c>
      <c r="L15" s="11" t="s">
        <v>39</v>
      </c>
      <c r="M15" s="11" t="s">
        <v>39</v>
      </c>
      <c r="N15" s="11" t="s">
        <v>39</v>
      </c>
      <c r="O15" s="11" t="s">
        <v>39</v>
      </c>
      <c r="P15" t="s">
        <v>9</v>
      </c>
      <c r="Q15">
        <v>7650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1</v>
      </c>
      <c r="B16">
        <v>14</v>
      </c>
      <c r="C16">
        <v>261</v>
      </c>
      <c r="D16" s="11" t="s">
        <v>149</v>
      </c>
      <c r="E16" t="s">
        <v>273</v>
      </c>
      <c r="F16" t="s">
        <v>183</v>
      </c>
      <c r="G16" s="11" t="s">
        <v>426</v>
      </c>
      <c r="H16">
        <v>11</v>
      </c>
      <c r="I16" s="11" t="s">
        <v>427</v>
      </c>
      <c r="J16" t="s">
        <v>282</v>
      </c>
      <c r="K16" t="s">
        <v>224</v>
      </c>
      <c r="L16" s="11" t="s">
        <v>39</v>
      </c>
      <c r="M16" s="11" t="s">
        <v>39</v>
      </c>
      <c r="N16" s="11" t="s">
        <v>39</v>
      </c>
      <c r="O16" s="11" t="s">
        <v>39</v>
      </c>
      <c r="P16" t="s">
        <v>9</v>
      </c>
      <c r="Q16">
        <v>500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  <row r="17" spans="1:31" x14ac:dyDescent="0.25">
      <c r="A17">
        <v>1</v>
      </c>
      <c r="B17">
        <v>15</v>
      </c>
      <c r="C17">
        <v>261</v>
      </c>
      <c r="D17" s="11" t="s">
        <v>149</v>
      </c>
      <c r="E17" t="s">
        <v>273</v>
      </c>
      <c r="F17" t="s">
        <v>183</v>
      </c>
      <c r="G17" s="11" t="s">
        <v>426</v>
      </c>
      <c r="H17">
        <v>12</v>
      </c>
      <c r="I17" s="11" t="s">
        <v>427</v>
      </c>
      <c r="J17" t="s">
        <v>283</v>
      </c>
      <c r="K17" t="s">
        <v>225</v>
      </c>
      <c r="L17" s="11" t="s">
        <v>39</v>
      </c>
      <c r="M17" s="11" t="s">
        <v>39</v>
      </c>
      <c r="N17" s="11" t="s">
        <v>39</v>
      </c>
      <c r="O17" s="11" t="s">
        <v>39</v>
      </c>
      <c r="P17" t="s">
        <v>9</v>
      </c>
      <c r="Q17">
        <v>140</v>
      </c>
      <c r="R17">
        <v>0</v>
      </c>
      <c r="S17">
        <v>0</v>
      </c>
      <c r="T17" t="str">
        <f t="shared" si="0"/>
        <v>-</v>
      </c>
      <c r="U17" t="str">
        <f t="shared" si="1"/>
        <v>-</v>
      </c>
      <c r="V17" t="str">
        <f t="shared" si="2"/>
        <v>-</v>
      </c>
      <c r="W17" t="str">
        <f t="shared" si="3"/>
        <v>-</v>
      </c>
      <c r="X17" t="str">
        <f t="shared" si="4"/>
        <v>-</v>
      </c>
      <c r="Y17" t="str">
        <f t="shared" si="5"/>
        <v>-</v>
      </c>
      <c r="Z17" t="str">
        <f t="shared" si="6"/>
        <v>-</v>
      </c>
      <c r="AA17" t="str">
        <f t="shared" si="7"/>
        <v>-</v>
      </c>
      <c r="AB17" t="str">
        <f>IF(_xlfn.IFNA(VLOOKUP(P17,Set_Ref!$B$6:$B$1048576,1,FALSE),"")&lt;&gt;"","-",FALSE)</f>
        <v>-</v>
      </c>
      <c r="AC17" t="str">
        <f t="shared" si="8"/>
        <v>-</v>
      </c>
      <c r="AD17" t="str">
        <f t="shared" si="9"/>
        <v>-</v>
      </c>
      <c r="AE17" t="b">
        <f t="shared" si="10"/>
        <v>1</v>
      </c>
    </row>
    <row r="18" spans="1:31" x14ac:dyDescent="0.25">
      <c r="A18">
        <v>1</v>
      </c>
      <c r="B18">
        <v>16</v>
      </c>
      <c r="C18">
        <v>261</v>
      </c>
      <c r="D18" s="11" t="s">
        <v>149</v>
      </c>
      <c r="E18" t="s">
        <v>273</v>
      </c>
      <c r="F18" t="s">
        <v>183</v>
      </c>
      <c r="G18" s="11" t="s">
        <v>426</v>
      </c>
      <c r="H18">
        <v>8</v>
      </c>
      <c r="I18" s="11" t="s">
        <v>431</v>
      </c>
      <c r="J18" t="s">
        <v>432</v>
      </c>
      <c r="K18" t="s">
        <v>221</v>
      </c>
      <c r="L18" s="11" t="s">
        <v>39</v>
      </c>
      <c r="M18" s="11" t="s">
        <v>39</v>
      </c>
      <c r="N18" s="11" t="s">
        <v>39</v>
      </c>
      <c r="O18" s="11" t="s">
        <v>39</v>
      </c>
      <c r="P18" t="s">
        <v>9</v>
      </c>
      <c r="Q18">
        <v>595</v>
      </c>
      <c r="R18">
        <v>0</v>
      </c>
      <c r="S18">
        <v>0</v>
      </c>
      <c r="T18" t="str">
        <f t="shared" si="0"/>
        <v>-</v>
      </c>
      <c r="U18" t="str">
        <f t="shared" si="1"/>
        <v>-</v>
      </c>
      <c r="V18" t="str">
        <f t="shared" si="2"/>
        <v>-</v>
      </c>
      <c r="W18" t="str">
        <f t="shared" si="3"/>
        <v>-</v>
      </c>
      <c r="X18" t="str">
        <f t="shared" si="4"/>
        <v>-</v>
      </c>
      <c r="Y18" t="str">
        <f t="shared" si="5"/>
        <v>-</v>
      </c>
      <c r="Z18" t="str">
        <f t="shared" si="6"/>
        <v>-</v>
      </c>
      <c r="AA18" t="str">
        <f t="shared" si="7"/>
        <v>-</v>
      </c>
      <c r="AB18" t="str">
        <f>IF(_xlfn.IFNA(VLOOKUP(P18,Set_Ref!$B$6:$B$1048576,1,FALSE),"")&lt;&gt;"","-",FALSE)</f>
        <v>-</v>
      </c>
      <c r="AC18" t="str">
        <f t="shared" si="8"/>
        <v>-</v>
      </c>
      <c r="AD18" t="str">
        <f t="shared" si="9"/>
        <v>-</v>
      </c>
      <c r="AE18" t="b">
        <f t="shared" si="10"/>
        <v>1</v>
      </c>
    </row>
    <row r="19" spans="1:31" x14ac:dyDescent="0.25">
      <c r="A19">
        <v>1</v>
      </c>
      <c r="B19">
        <v>17</v>
      </c>
      <c r="C19">
        <v>261</v>
      </c>
      <c r="D19" s="11" t="s">
        <v>149</v>
      </c>
      <c r="E19" t="s">
        <v>273</v>
      </c>
      <c r="F19" t="s">
        <v>183</v>
      </c>
      <c r="G19" s="11" t="s">
        <v>426</v>
      </c>
      <c r="H19">
        <v>13</v>
      </c>
      <c r="I19" s="11" t="s">
        <v>427</v>
      </c>
      <c r="J19" t="s">
        <v>285</v>
      </c>
      <c r="K19" t="s">
        <v>226</v>
      </c>
      <c r="L19" s="11" t="s">
        <v>39</v>
      </c>
      <c r="M19" s="11" t="s">
        <v>39</v>
      </c>
      <c r="N19" s="11" t="s">
        <v>39</v>
      </c>
      <c r="O19" s="11" t="s">
        <v>39</v>
      </c>
      <c r="P19" t="s">
        <v>9</v>
      </c>
      <c r="Q19">
        <v>200</v>
      </c>
      <c r="R19">
        <v>0</v>
      </c>
      <c r="S19">
        <v>0</v>
      </c>
      <c r="T19" t="str">
        <f t="shared" si="0"/>
        <v>-</v>
      </c>
      <c r="U19" t="str">
        <f t="shared" si="1"/>
        <v>-</v>
      </c>
      <c r="V19" t="str">
        <f t="shared" si="2"/>
        <v>-</v>
      </c>
      <c r="W19" t="str">
        <f t="shared" si="3"/>
        <v>-</v>
      </c>
      <c r="X19" t="str">
        <f t="shared" si="4"/>
        <v>-</v>
      </c>
      <c r="Y19" t="str">
        <f t="shared" si="5"/>
        <v>-</v>
      </c>
      <c r="Z19" t="str">
        <f t="shared" si="6"/>
        <v>-</v>
      </c>
      <c r="AA19" t="str">
        <f t="shared" si="7"/>
        <v>-</v>
      </c>
      <c r="AB19" t="str">
        <f>IF(_xlfn.IFNA(VLOOKUP(P19,Set_Ref!$B$6:$B$1048576,1,FALSE),"")&lt;&gt;"","-",FALSE)</f>
        <v>-</v>
      </c>
      <c r="AC19" t="str">
        <f t="shared" si="8"/>
        <v>-</v>
      </c>
      <c r="AD19" t="str">
        <f t="shared" si="9"/>
        <v>-</v>
      </c>
      <c r="AE19" t="b">
        <f t="shared" si="10"/>
        <v>1</v>
      </c>
    </row>
    <row r="20" spans="1:31" x14ac:dyDescent="0.25">
      <c r="A20">
        <v>1</v>
      </c>
      <c r="B20">
        <v>18</v>
      </c>
      <c r="C20">
        <v>261</v>
      </c>
      <c r="D20" s="11" t="s">
        <v>149</v>
      </c>
      <c r="E20" t="s">
        <v>273</v>
      </c>
      <c r="F20" t="s">
        <v>183</v>
      </c>
      <c r="G20" s="11" t="s">
        <v>426</v>
      </c>
      <c r="H20">
        <v>14</v>
      </c>
      <c r="I20" s="11" t="s">
        <v>175</v>
      </c>
      <c r="J20" t="s">
        <v>286</v>
      </c>
      <c r="K20" t="s">
        <v>227</v>
      </c>
      <c r="L20" s="11" t="s">
        <v>39</v>
      </c>
      <c r="M20" s="11" t="s">
        <v>39</v>
      </c>
      <c r="N20" s="11" t="s">
        <v>39</v>
      </c>
      <c r="O20" s="11" t="s">
        <v>39</v>
      </c>
      <c r="P20" t="s">
        <v>9</v>
      </c>
      <c r="Q20">
        <v>200</v>
      </c>
      <c r="R20">
        <v>0</v>
      </c>
      <c r="S20">
        <v>0</v>
      </c>
      <c r="T20" t="str">
        <f t="shared" si="0"/>
        <v>-</v>
      </c>
      <c r="U20" t="str">
        <f t="shared" si="1"/>
        <v>-</v>
      </c>
      <c r="V20" t="str">
        <f t="shared" si="2"/>
        <v>-</v>
      </c>
      <c r="W20" t="str">
        <f t="shared" si="3"/>
        <v>-</v>
      </c>
      <c r="X20" t="str">
        <f t="shared" si="4"/>
        <v>-</v>
      </c>
      <c r="Y20" t="str">
        <f t="shared" si="5"/>
        <v>-</v>
      </c>
      <c r="Z20" t="str">
        <f t="shared" si="6"/>
        <v>-</v>
      </c>
      <c r="AA20" t="str">
        <f t="shared" si="7"/>
        <v>-</v>
      </c>
      <c r="AB20" t="str">
        <f>IF(_xlfn.IFNA(VLOOKUP(P20,Set_Ref!$B$6:$B$1048576,1,FALSE),"")&lt;&gt;"","-",FALSE)</f>
        <v>-</v>
      </c>
      <c r="AC20" t="str">
        <f t="shared" si="8"/>
        <v>-</v>
      </c>
      <c r="AD20" t="str">
        <f t="shared" si="9"/>
        <v>-</v>
      </c>
      <c r="AE20" t="b">
        <f t="shared" si="10"/>
        <v>1</v>
      </c>
    </row>
    <row r="21" spans="1:31" x14ac:dyDescent="0.25">
      <c r="A21">
        <v>1</v>
      </c>
      <c r="B21">
        <v>19</v>
      </c>
      <c r="C21">
        <v>261</v>
      </c>
      <c r="D21" s="11" t="s">
        <v>149</v>
      </c>
      <c r="E21" t="s">
        <v>273</v>
      </c>
      <c r="F21" t="s">
        <v>183</v>
      </c>
      <c r="G21" s="11" t="s">
        <v>426</v>
      </c>
      <c r="H21">
        <v>15</v>
      </c>
      <c r="I21" s="11" t="s">
        <v>175</v>
      </c>
      <c r="J21" t="s">
        <v>436</v>
      </c>
      <c r="K21" t="s">
        <v>228</v>
      </c>
      <c r="L21" s="11" t="s">
        <v>39</v>
      </c>
      <c r="M21" s="11" t="s">
        <v>39</v>
      </c>
      <c r="N21" s="11" t="s">
        <v>39</v>
      </c>
      <c r="O21" s="11" t="s">
        <v>39</v>
      </c>
      <c r="P21" t="s">
        <v>9</v>
      </c>
      <c r="Q21">
        <v>200</v>
      </c>
      <c r="R21">
        <v>0</v>
      </c>
      <c r="S21">
        <v>0</v>
      </c>
      <c r="T21" t="str">
        <f t="shared" si="0"/>
        <v>-</v>
      </c>
      <c r="U21" t="str">
        <f t="shared" si="1"/>
        <v>-</v>
      </c>
      <c r="V21" t="str">
        <f t="shared" si="2"/>
        <v>-</v>
      </c>
      <c r="W21" t="str">
        <f t="shared" si="3"/>
        <v>-</v>
      </c>
      <c r="X21" t="str">
        <f t="shared" si="4"/>
        <v>-</v>
      </c>
      <c r="Y21" t="str">
        <f t="shared" si="5"/>
        <v>-</v>
      </c>
      <c r="Z21" t="str">
        <f t="shared" si="6"/>
        <v>-</v>
      </c>
      <c r="AA21" t="str">
        <f t="shared" si="7"/>
        <v>-</v>
      </c>
      <c r="AB21" t="str">
        <f>IF(_xlfn.IFNA(VLOOKUP(P21,Set_Ref!$B$6:$B$1048576,1,FALSE),"")&lt;&gt;"","-",FALSE)</f>
        <v>-</v>
      </c>
      <c r="AC21" t="str">
        <f t="shared" si="8"/>
        <v>-</v>
      </c>
      <c r="AD21" t="str">
        <f t="shared" si="9"/>
        <v>-</v>
      </c>
      <c r="AE21" t="b">
        <f t="shared" si="10"/>
        <v>1</v>
      </c>
    </row>
    <row r="22" spans="1:31" x14ac:dyDescent="0.25">
      <c r="A22">
        <v>1</v>
      </c>
      <c r="B22">
        <v>20</v>
      </c>
      <c r="C22">
        <v>261</v>
      </c>
      <c r="D22" s="11" t="s">
        <v>149</v>
      </c>
      <c r="E22" t="s">
        <v>273</v>
      </c>
      <c r="F22" t="s">
        <v>183</v>
      </c>
      <c r="G22" s="11" t="s">
        <v>426</v>
      </c>
      <c r="H22">
        <v>16</v>
      </c>
      <c r="I22" s="11" t="s">
        <v>175</v>
      </c>
      <c r="J22" t="s">
        <v>437</v>
      </c>
      <c r="K22" t="s">
        <v>229</v>
      </c>
      <c r="L22" s="11" t="s">
        <v>39</v>
      </c>
      <c r="M22" s="11" t="s">
        <v>39</v>
      </c>
      <c r="N22" s="11" t="s">
        <v>39</v>
      </c>
      <c r="O22" s="11" t="s">
        <v>39</v>
      </c>
      <c r="P22" t="s">
        <v>9</v>
      </c>
      <c r="Q22">
        <v>20</v>
      </c>
      <c r="R22">
        <v>0</v>
      </c>
      <c r="S22">
        <v>0</v>
      </c>
      <c r="T22" t="str">
        <f t="shared" si="0"/>
        <v>-</v>
      </c>
      <c r="U22" t="str">
        <f t="shared" si="1"/>
        <v>-</v>
      </c>
      <c r="V22" t="str">
        <f t="shared" si="2"/>
        <v>-</v>
      </c>
      <c r="W22" t="str">
        <f t="shared" si="3"/>
        <v>-</v>
      </c>
      <c r="X22" t="str">
        <f t="shared" si="4"/>
        <v>-</v>
      </c>
      <c r="Y22" t="str">
        <f t="shared" si="5"/>
        <v>-</v>
      </c>
      <c r="Z22" t="str">
        <f t="shared" si="6"/>
        <v>-</v>
      </c>
      <c r="AA22" t="str">
        <f t="shared" si="7"/>
        <v>-</v>
      </c>
      <c r="AB22" t="str">
        <f>IF(_xlfn.IFNA(VLOOKUP(P22,Set_Ref!$B$6:$B$1048576,1,FALSE),"")&lt;&gt;"","-",FALSE)</f>
        <v>-</v>
      </c>
      <c r="AC22" t="str">
        <f t="shared" si="8"/>
        <v>-</v>
      </c>
      <c r="AD22" t="str">
        <f t="shared" si="9"/>
        <v>-</v>
      </c>
      <c r="AE22" t="b">
        <f t="shared" si="10"/>
        <v>1</v>
      </c>
    </row>
    <row r="23" spans="1:31" x14ac:dyDescent="0.25">
      <c r="A23">
        <v>1</v>
      </c>
      <c r="B23">
        <v>21</v>
      </c>
      <c r="C23">
        <v>261</v>
      </c>
      <c r="D23" s="11" t="s">
        <v>149</v>
      </c>
      <c r="E23" t="s">
        <v>273</v>
      </c>
      <c r="F23" t="s">
        <v>183</v>
      </c>
      <c r="G23" s="11" t="s">
        <v>426</v>
      </c>
      <c r="H23">
        <v>16</v>
      </c>
      <c r="I23" s="11" t="s">
        <v>175</v>
      </c>
      <c r="J23" t="s">
        <v>437</v>
      </c>
      <c r="K23" t="s">
        <v>229</v>
      </c>
      <c r="L23" s="11" t="s">
        <v>39</v>
      </c>
      <c r="M23" s="11" t="s">
        <v>39</v>
      </c>
      <c r="N23" s="11" t="s">
        <v>39</v>
      </c>
      <c r="O23" s="11" t="s">
        <v>39</v>
      </c>
      <c r="P23" t="s">
        <v>9</v>
      </c>
      <c r="Q23">
        <v>40</v>
      </c>
      <c r="R23">
        <v>0</v>
      </c>
      <c r="S23">
        <v>0</v>
      </c>
      <c r="T23" t="str">
        <f t="shared" si="0"/>
        <v>-</v>
      </c>
      <c r="U23" t="str">
        <f t="shared" si="1"/>
        <v>-</v>
      </c>
      <c r="V23" t="str">
        <f t="shared" si="2"/>
        <v>-</v>
      </c>
      <c r="W23" t="str">
        <f t="shared" si="3"/>
        <v>-</v>
      </c>
      <c r="X23" t="str">
        <f t="shared" si="4"/>
        <v>-</v>
      </c>
      <c r="Y23" t="str">
        <f t="shared" si="5"/>
        <v>-</v>
      </c>
      <c r="Z23" t="str">
        <f t="shared" si="6"/>
        <v>-</v>
      </c>
      <c r="AA23" t="str">
        <f t="shared" si="7"/>
        <v>-</v>
      </c>
      <c r="AB23" t="str">
        <f>IF(_xlfn.IFNA(VLOOKUP(P23,Set_Ref!$B$6:$B$1048576,1,FALSE),"")&lt;&gt;"","-",FALSE)</f>
        <v>-</v>
      </c>
      <c r="AC23" t="str">
        <f t="shared" si="8"/>
        <v>-</v>
      </c>
      <c r="AD23" t="str">
        <f t="shared" si="9"/>
        <v>-</v>
      </c>
      <c r="AE23" t="b">
        <f t="shared" si="10"/>
        <v>1</v>
      </c>
    </row>
    <row r="24" spans="1:31" x14ac:dyDescent="0.25">
      <c r="A24">
        <v>1</v>
      </c>
      <c r="B24">
        <v>22</v>
      </c>
      <c r="C24">
        <v>261</v>
      </c>
      <c r="D24" s="11" t="s">
        <v>149</v>
      </c>
      <c r="E24" t="s">
        <v>273</v>
      </c>
      <c r="F24" t="s">
        <v>183</v>
      </c>
      <c r="G24" s="11" t="s">
        <v>426</v>
      </c>
      <c r="H24">
        <v>16</v>
      </c>
      <c r="I24" s="11" t="s">
        <v>175</v>
      </c>
      <c r="J24" t="s">
        <v>437</v>
      </c>
      <c r="K24" t="s">
        <v>229</v>
      </c>
      <c r="L24" s="11" t="s">
        <v>39</v>
      </c>
      <c r="M24" s="11" t="s">
        <v>39</v>
      </c>
      <c r="N24" s="11" t="s">
        <v>39</v>
      </c>
      <c r="O24" s="11" t="s">
        <v>39</v>
      </c>
      <c r="P24" t="s">
        <v>9</v>
      </c>
      <c r="Q24">
        <v>70</v>
      </c>
      <c r="R24">
        <v>0</v>
      </c>
      <c r="S24">
        <v>0</v>
      </c>
      <c r="T24" t="str">
        <f t="shared" si="0"/>
        <v>-</v>
      </c>
      <c r="U24" t="str">
        <f t="shared" si="1"/>
        <v>-</v>
      </c>
      <c r="V24" t="str">
        <f t="shared" si="2"/>
        <v>-</v>
      </c>
      <c r="W24" t="str">
        <f t="shared" si="3"/>
        <v>-</v>
      </c>
      <c r="X24" t="str">
        <f t="shared" si="4"/>
        <v>-</v>
      </c>
      <c r="Y24" t="str">
        <f t="shared" si="5"/>
        <v>-</v>
      </c>
      <c r="Z24" t="str">
        <f t="shared" si="6"/>
        <v>-</v>
      </c>
      <c r="AA24" t="str">
        <f t="shared" si="7"/>
        <v>-</v>
      </c>
      <c r="AB24" t="str">
        <f>IF(_xlfn.IFNA(VLOOKUP(P24,Set_Ref!$B$6:$B$1048576,1,FALSE),"")&lt;&gt;"","-",FALSE)</f>
        <v>-</v>
      </c>
      <c r="AC24" t="str">
        <f t="shared" si="8"/>
        <v>-</v>
      </c>
      <c r="AD24" t="str">
        <f t="shared" si="9"/>
        <v>-</v>
      </c>
      <c r="AE24" t="b">
        <f t="shared" si="10"/>
        <v>1</v>
      </c>
    </row>
    <row r="25" spans="1:31" x14ac:dyDescent="0.25">
      <c r="A25">
        <v>1</v>
      </c>
      <c r="B25">
        <v>23</v>
      </c>
      <c r="C25">
        <v>261</v>
      </c>
      <c r="D25" s="11" t="s">
        <v>149</v>
      </c>
      <c r="E25" t="s">
        <v>273</v>
      </c>
      <c r="F25" t="s">
        <v>183</v>
      </c>
      <c r="G25" s="11" t="s">
        <v>426</v>
      </c>
      <c r="H25">
        <v>16</v>
      </c>
      <c r="I25" s="11" t="s">
        <v>175</v>
      </c>
      <c r="J25" t="s">
        <v>437</v>
      </c>
      <c r="K25" t="s">
        <v>229</v>
      </c>
      <c r="L25" s="11" t="s">
        <v>39</v>
      </c>
      <c r="M25" s="11" t="s">
        <v>39</v>
      </c>
      <c r="N25" s="11" t="s">
        <v>39</v>
      </c>
      <c r="O25" s="11" t="s">
        <v>39</v>
      </c>
      <c r="P25" t="s">
        <v>9</v>
      </c>
      <c r="Q25">
        <v>50</v>
      </c>
      <c r="R25">
        <v>0</v>
      </c>
      <c r="S25">
        <v>0</v>
      </c>
      <c r="T25" t="str">
        <f t="shared" si="0"/>
        <v>-</v>
      </c>
      <c r="U25" t="str">
        <f t="shared" si="1"/>
        <v>-</v>
      </c>
      <c r="V25" t="str">
        <f t="shared" si="2"/>
        <v>-</v>
      </c>
      <c r="W25" t="str">
        <f t="shared" si="3"/>
        <v>-</v>
      </c>
      <c r="X25" t="str">
        <f t="shared" si="4"/>
        <v>-</v>
      </c>
      <c r="Y25" t="str">
        <f t="shared" si="5"/>
        <v>-</v>
      </c>
      <c r="Z25" t="str">
        <f t="shared" si="6"/>
        <v>-</v>
      </c>
      <c r="AA25" t="str">
        <f t="shared" si="7"/>
        <v>-</v>
      </c>
      <c r="AB25" t="str">
        <f>IF(_xlfn.IFNA(VLOOKUP(P25,Set_Ref!$B$6:$B$1048576,1,FALSE),"")&lt;&gt;"","-",FALSE)</f>
        <v>-</v>
      </c>
      <c r="AC25" t="str">
        <f t="shared" si="8"/>
        <v>-</v>
      </c>
      <c r="AD25" t="str">
        <f t="shared" si="9"/>
        <v>-</v>
      </c>
      <c r="AE25" t="b">
        <f t="shared" si="10"/>
        <v>1</v>
      </c>
    </row>
    <row r="26" spans="1:31" x14ac:dyDescent="0.25">
      <c r="A26">
        <v>1</v>
      </c>
      <c r="B26">
        <v>24</v>
      </c>
      <c r="C26">
        <v>261</v>
      </c>
      <c r="D26" s="11" t="s">
        <v>149</v>
      </c>
      <c r="E26" t="s">
        <v>273</v>
      </c>
      <c r="F26" t="s">
        <v>183</v>
      </c>
      <c r="G26" s="11" t="s">
        <v>426</v>
      </c>
      <c r="H26">
        <v>16</v>
      </c>
      <c r="I26" s="11" t="s">
        <v>175</v>
      </c>
      <c r="J26" t="s">
        <v>437</v>
      </c>
      <c r="K26" t="s">
        <v>229</v>
      </c>
      <c r="L26" s="11" t="s">
        <v>39</v>
      </c>
      <c r="M26" s="11" t="s">
        <v>39</v>
      </c>
      <c r="N26" s="11" t="s">
        <v>39</v>
      </c>
      <c r="O26" s="11" t="s">
        <v>39</v>
      </c>
      <c r="P26" t="s">
        <v>9</v>
      </c>
      <c r="Q26">
        <v>10</v>
      </c>
      <c r="R26">
        <v>0</v>
      </c>
      <c r="S26">
        <v>0</v>
      </c>
      <c r="T26" t="str">
        <f t="shared" si="0"/>
        <v>-</v>
      </c>
      <c r="U26" t="str">
        <f t="shared" si="1"/>
        <v>-</v>
      </c>
      <c r="V26" t="str">
        <f t="shared" si="2"/>
        <v>-</v>
      </c>
      <c r="W26" t="str">
        <f t="shared" si="3"/>
        <v>-</v>
      </c>
      <c r="X26" t="str">
        <f t="shared" si="4"/>
        <v>-</v>
      </c>
      <c r="Y26" t="str">
        <f t="shared" si="5"/>
        <v>-</v>
      </c>
      <c r="Z26" t="str">
        <f t="shared" si="6"/>
        <v>-</v>
      </c>
      <c r="AA26" t="str">
        <f t="shared" si="7"/>
        <v>-</v>
      </c>
      <c r="AB26" t="str">
        <f>IF(_xlfn.IFNA(VLOOKUP(P26,Set_Ref!$B$6:$B$1048576,1,FALSE),"")&lt;&gt;"","-",FALSE)</f>
        <v>-</v>
      </c>
      <c r="AC26" t="str">
        <f t="shared" si="8"/>
        <v>-</v>
      </c>
      <c r="AD26" t="str">
        <f t="shared" si="9"/>
        <v>-</v>
      </c>
      <c r="AE26" t="b">
        <f t="shared" si="10"/>
        <v>1</v>
      </c>
    </row>
    <row r="27" spans="1:31" x14ac:dyDescent="0.25">
      <c r="A27">
        <v>1</v>
      </c>
      <c r="B27">
        <v>25</v>
      </c>
      <c r="C27">
        <v>261</v>
      </c>
      <c r="D27" s="11" t="s">
        <v>149</v>
      </c>
      <c r="E27" t="s">
        <v>273</v>
      </c>
      <c r="F27" t="s">
        <v>183</v>
      </c>
      <c r="G27" s="11" t="s">
        <v>426</v>
      </c>
      <c r="H27">
        <v>16</v>
      </c>
      <c r="I27" s="11" t="s">
        <v>175</v>
      </c>
      <c r="J27" t="s">
        <v>437</v>
      </c>
      <c r="K27" t="s">
        <v>229</v>
      </c>
      <c r="L27" s="11" t="s">
        <v>39</v>
      </c>
      <c r="M27" s="11" t="s">
        <v>39</v>
      </c>
      <c r="N27" s="11" t="s">
        <v>39</v>
      </c>
      <c r="O27" s="11" t="s">
        <v>39</v>
      </c>
      <c r="P27" t="s">
        <v>9</v>
      </c>
      <c r="Q27">
        <v>10</v>
      </c>
      <c r="R27">
        <v>0</v>
      </c>
      <c r="S27">
        <v>0</v>
      </c>
      <c r="T27" t="str">
        <f t="shared" si="0"/>
        <v>-</v>
      </c>
      <c r="U27" t="str">
        <f t="shared" si="1"/>
        <v>-</v>
      </c>
      <c r="V27" t="str">
        <f t="shared" si="2"/>
        <v>-</v>
      </c>
      <c r="W27" t="str">
        <f t="shared" si="3"/>
        <v>-</v>
      </c>
      <c r="X27" t="str">
        <f t="shared" si="4"/>
        <v>-</v>
      </c>
      <c r="Y27" t="str">
        <f t="shared" si="5"/>
        <v>-</v>
      </c>
      <c r="Z27" t="str">
        <f t="shared" si="6"/>
        <v>-</v>
      </c>
      <c r="AA27" t="str">
        <f t="shared" si="7"/>
        <v>-</v>
      </c>
      <c r="AB27" t="str">
        <f>IF(_xlfn.IFNA(VLOOKUP(P27,Set_Ref!$B$6:$B$1048576,1,FALSE),"")&lt;&gt;"","-",FALSE)</f>
        <v>-</v>
      </c>
      <c r="AC27" t="str">
        <f t="shared" si="8"/>
        <v>-</v>
      </c>
      <c r="AD27" t="str">
        <f t="shared" si="9"/>
        <v>-</v>
      </c>
      <c r="AE27" t="b">
        <f t="shared" si="10"/>
        <v>1</v>
      </c>
    </row>
    <row r="28" spans="1:31" x14ac:dyDescent="0.25">
      <c r="A28">
        <v>1</v>
      </c>
      <c r="B28">
        <v>26</v>
      </c>
      <c r="C28">
        <v>261</v>
      </c>
      <c r="D28" s="11" t="s">
        <v>149</v>
      </c>
      <c r="E28" t="s">
        <v>273</v>
      </c>
      <c r="F28" t="s">
        <v>183</v>
      </c>
      <c r="G28" s="11" t="s">
        <v>426</v>
      </c>
      <c r="H28">
        <v>15</v>
      </c>
      <c r="I28" s="11" t="s">
        <v>175</v>
      </c>
      <c r="J28" t="s">
        <v>436</v>
      </c>
      <c r="K28" t="s">
        <v>228</v>
      </c>
      <c r="L28" s="11" t="s">
        <v>39</v>
      </c>
      <c r="M28" s="11" t="s">
        <v>39</v>
      </c>
      <c r="N28" s="11" t="s">
        <v>39</v>
      </c>
      <c r="O28" s="11" t="s">
        <v>39</v>
      </c>
      <c r="P28" t="s">
        <v>9</v>
      </c>
      <c r="Q28">
        <v>200</v>
      </c>
      <c r="R28">
        <v>0</v>
      </c>
      <c r="S28">
        <v>0</v>
      </c>
      <c r="T28" t="str">
        <f t="shared" si="0"/>
        <v>-</v>
      </c>
      <c r="U28" t="str">
        <f t="shared" si="1"/>
        <v>-</v>
      </c>
      <c r="V28" t="str">
        <f t="shared" si="2"/>
        <v>-</v>
      </c>
      <c r="W28" t="str">
        <f t="shared" si="3"/>
        <v>-</v>
      </c>
      <c r="X28" t="str">
        <f t="shared" si="4"/>
        <v>-</v>
      </c>
      <c r="Y28" t="str">
        <f t="shared" si="5"/>
        <v>-</v>
      </c>
      <c r="Z28" t="str">
        <f t="shared" si="6"/>
        <v>-</v>
      </c>
      <c r="AA28" t="str">
        <f t="shared" si="7"/>
        <v>-</v>
      </c>
      <c r="AB28" t="str">
        <f>IF(_xlfn.IFNA(VLOOKUP(P28,Set_Ref!$B$6:$B$1048576,1,FALSE),"")&lt;&gt;"","-",FALSE)</f>
        <v>-</v>
      </c>
      <c r="AC28" t="str">
        <f t="shared" si="8"/>
        <v>-</v>
      </c>
      <c r="AD28" t="str">
        <f t="shared" si="9"/>
        <v>-</v>
      </c>
      <c r="AE28" t="b">
        <f t="shared" si="10"/>
        <v>1</v>
      </c>
    </row>
    <row r="29" spans="1:31" x14ac:dyDescent="0.25">
      <c r="A29">
        <v>1</v>
      </c>
      <c r="B29">
        <v>27</v>
      </c>
      <c r="C29">
        <v>261</v>
      </c>
      <c r="D29" s="11" t="s">
        <v>149</v>
      </c>
      <c r="E29" t="s">
        <v>273</v>
      </c>
      <c r="F29" t="s">
        <v>183</v>
      </c>
      <c r="G29" s="11" t="s">
        <v>426</v>
      </c>
      <c r="H29">
        <v>17</v>
      </c>
      <c r="I29" s="11" t="s">
        <v>438</v>
      </c>
      <c r="J29" t="s">
        <v>439</v>
      </c>
      <c r="K29" t="s">
        <v>230</v>
      </c>
      <c r="L29" s="11" t="s">
        <v>39</v>
      </c>
      <c r="M29" s="11" t="s">
        <v>39</v>
      </c>
      <c r="N29" s="11" t="s">
        <v>39</v>
      </c>
      <c r="O29" s="11" t="s">
        <v>39</v>
      </c>
      <c r="P29" t="s">
        <v>11</v>
      </c>
      <c r="Q29">
        <v>222</v>
      </c>
      <c r="R29">
        <v>0</v>
      </c>
      <c r="S29">
        <v>0</v>
      </c>
      <c r="T29" t="str">
        <f t="shared" si="0"/>
        <v>-</v>
      </c>
      <c r="U29" t="str">
        <f t="shared" si="1"/>
        <v>-</v>
      </c>
      <c r="V29" t="str">
        <f t="shared" si="2"/>
        <v>-</v>
      </c>
      <c r="W29" t="str">
        <f t="shared" si="3"/>
        <v>-</v>
      </c>
      <c r="X29" t="str">
        <f t="shared" si="4"/>
        <v>-</v>
      </c>
      <c r="Y29" t="str">
        <f t="shared" si="5"/>
        <v>-</v>
      </c>
      <c r="Z29" t="str">
        <f t="shared" si="6"/>
        <v>-</v>
      </c>
      <c r="AA29" t="str">
        <f t="shared" si="7"/>
        <v>-</v>
      </c>
      <c r="AB29" t="str">
        <f>IF(_xlfn.IFNA(VLOOKUP(P29,Set_Ref!$B$6:$B$1048576,1,FALSE),"")&lt;&gt;"","-",FALSE)</f>
        <v>-</v>
      </c>
      <c r="AC29" t="str">
        <f t="shared" si="8"/>
        <v>-</v>
      </c>
      <c r="AD29" t="str">
        <f t="shared" si="9"/>
        <v>-</v>
      </c>
      <c r="AE29" t="b">
        <f t="shared" si="10"/>
        <v>1</v>
      </c>
    </row>
    <row r="30" spans="1:31" x14ac:dyDescent="0.25">
      <c r="A30">
        <v>1</v>
      </c>
      <c r="B30">
        <v>28</v>
      </c>
      <c r="C30">
        <v>261</v>
      </c>
      <c r="D30" s="11" t="s">
        <v>149</v>
      </c>
      <c r="E30" t="s">
        <v>273</v>
      </c>
      <c r="F30" t="s">
        <v>183</v>
      </c>
      <c r="G30" s="11" t="s">
        <v>426</v>
      </c>
      <c r="H30">
        <v>17</v>
      </c>
      <c r="I30" s="11" t="s">
        <v>438</v>
      </c>
      <c r="J30" t="s">
        <v>439</v>
      </c>
      <c r="K30" t="s">
        <v>230</v>
      </c>
      <c r="L30" s="11" t="s">
        <v>39</v>
      </c>
      <c r="M30" s="11" t="s">
        <v>39</v>
      </c>
      <c r="N30" s="11" t="s">
        <v>39</v>
      </c>
      <c r="O30" s="11" t="s">
        <v>39</v>
      </c>
      <c r="P30" t="s">
        <v>11</v>
      </c>
      <c r="Q30">
        <v>10</v>
      </c>
      <c r="R30">
        <v>0</v>
      </c>
      <c r="S30">
        <v>0</v>
      </c>
      <c r="T30" t="str">
        <f t="shared" si="0"/>
        <v>-</v>
      </c>
      <c r="U30" t="str">
        <f t="shared" si="1"/>
        <v>-</v>
      </c>
      <c r="V30" t="str">
        <f t="shared" si="2"/>
        <v>-</v>
      </c>
      <c r="W30" t="str">
        <f t="shared" si="3"/>
        <v>-</v>
      </c>
      <c r="X30" t="str">
        <f t="shared" si="4"/>
        <v>-</v>
      </c>
      <c r="Y30" t="str">
        <f t="shared" si="5"/>
        <v>-</v>
      </c>
      <c r="Z30" t="str">
        <f t="shared" si="6"/>
        <v>-</v>
      </c>
      <c r="AA30" t="str">
        <f t="shared" si="7"/>
        <v>-</v>
      </c>
      <c r="AB30" t="str">
        <f>IF(_xlfn.IFNA(VLOOKUP(P30,Set_Ref!$B$6:$B$1048576,1,FALSE),"")&lt;&gt;"","-",FALSE)</f>
        <v>-</v>
      </c>
      <c r="AC30" t="str">
        <f t="shared" si="8"/>
        <v>-</v>
      </c>
      <c r="AD30" t="str">
        <f t="shared" si="9"/>
        <v>-</v>
      </c>
      <c r="AE30" t="b">
        <f t="shared" si="10"/>
        <v>1</v>
      </c>
    </row>
    <row r="31" spans="1:31" x14ac:dyDescent="0.25">
      <c r="A31">
        <v>1</v>
      </c>
      <c r="B31">
        <v>29</v>
      </c>
      <c r="C31">
        <v>261</v>
      </c>
      <c r="D31" s="11" t="s">
        <v>149</v>
      </c>
      <c r="E31" t="s">
        <v>273</v>
      </c>
      <c r="F31" t="s">
        <v>183</v>
      </c>
      <c r="G31" s="11" t="s">
        <v>426</v>
      </c>
      <c r="H31">
        <v>18</v>
      </c>
      <c r="I31" s="11" t="s">
        <v>440</v>
      </c>
      <c r="J31" t="s">
        <v>441</v>
      </c>
      <c r="K31" t="s">
        <v>231</v>
      </c>
      <c r="L31" s="11" t="s">
        <v>39</v>
      </c>
      <c r="M31" s="11" t="s">
        <v>39</v>
      </c>
      <c r="N31" s="11" t="s">
        <v>39</v>
      </c>
      <c r="O31" s="11" t="s">
        <v>39</v>
      </c>
      <c r="P31" t="s">
        <v>10</v>
      </c>
      <c r="Q31">
        <v>329.9</v>
      </c>
      <c r="R31">
        <v>0</v>
      </c>
      <c r="S31">
        <v>0</v>
      </c>
      <c r="T31" t="str">
        <f t="shared" si="0"/>
        <v>-</v>
      </c>
      <c r="U31" t="str">
        <f t="shared" si="1"/>
        <v>-</v>
      </c>
      <c r="V31" t="str">
        <f t="shared" si="2"/>
        <v>-</v>
      </c>
      <c r="W31" t="str">
        <f t="shared" si="3"/>
        <v>-</v>
      </c>
      <c r="X31" t="str">
        <f t="shared" si="4"/>
        <v>-</v>
      </c>
      <c r="Y31" t="str">
        <f t="shared" si="5"/>
        <v>-</v>
      </c>
      <c r="Z31" t="str">
        <f t="shared" si="6"/>
        <v>-</v>
      </c>
      <c r="AA31" t="str">
        <f t="shared" si="7"/>
        <v>-</v>
      </c>
      <c r="AB31" t="str">
        <f>IF(_xlfn.IFNA(VLOOKUP(P31,Set_Ref!$B$6:$B$1048576,1,FALSE),"")&lt;&gt;"","-",FALSE)</f>
        <v>-</v>
      </c>
      <c r="AC31" t="str">
        <f t="shared" si="8"/>
        <v>-</v>
      </c>
      <c r="AD31" t="str">
        <f t="shared" si="9"/>
        <v>-</v>
      </c>
      <c r="AE31" t="b">
        <f t="shared" si="10"/>
        <v>1</v>
      </c>
    </row>
    <row r="32" spans="1:31" x14ac:dyDescent="0.25">
      <c r="A32">
        <v>1</v>
      </c>
      <c r="B32">
        <v>30</v>
      </c>
      <c r="C32">
        <v>261</v>
      </c>
      <c r="D32" s="11" t="s">
        <v>149</v>
      </c>
      <c r="E32" t="s">
        <v>273</v>
      </c>
      <c r="F32" t="s">
        <v>183</v>
      </c>
      <c r="G32" s="11" t="s">
        <v>426</v>
      </c>
      <c r="H32">
        <v>18</v>
      </c>
      <c r="I32" s="11" t="s">
        <v>440</v>
      </c>
      <c r="J32" t="s">
        <v>441</v>
      </c>
      <c r="K32" t="s">
        <v>231</v>
      </c>
      <c r="L32" s="11" t="s">
        <v>39</v>
      </c>
      <c r="M32" s="11" t="s">
        <v>39</v>
      </c>
      <c r="N32" s="11" t="s">
        <v>39</v>
      </c>
      <c r="O32" s="11" t="s">
        <v>39</v>
      </c>
      <c r="P32" t="s">
        <v>10</v>
      </c>
      <c r="Q32">
        <v>307</v>
      </c>
      <c r="R32">
        <v>0</v>
      </c>
      <c r="S32">
        <v>0</v>
      </c>
      <c r="T32" t="str">
        <f t="shared" si="0"/>
        <v>-</v>
      </c>
      <c r="U32" t="str">
        <f t="shared" si="1"/>
        <v>-</v>
      </c>
      <c r="V32" t="str">
        <f t="shared" si="2"/>
        <v>-</v>
      </c>
      <c r="W32" t="str">
        <f t="shared" si="3"/>
        <v>-</v>
      </c>
      <c r="X32" t="str">
        <f t="shared" si="4"/>
        <v>-</v>
      </c>
      <c r="Y32" t="str">
        <f t="shared" si="5"/>
        <v>-</v>
      </c>
      <c r="Z32" t="str">
        <f t="shared" si="6"/>
        <v>-</v>
      </c>
      <c r="AA32" t="str">
        <f t="shared" si="7"/>
        <v>-</v>
      </c>
      <c r="AB32" t="str">
        <f>IF(_xlfn.IFNA(VLOOKUP(P32,Set_Ref!$B$6:$B$1048576,1,FALSE),"")&lt;&gt;"","-",FALSE)</f>
        <v>-</v>
      </c>
      <c r="AC32" t="str">
        <f t="shared" si="8"/>
        <v>-</v>
      </c>
      <c r="AD32" t="str">
        <f t="shared" si="9"/>
        <v>-</v>
      </c>
      <c r="AE32" t="b">
        <f t="shared" si="10"/>
        <v>1</v>
      </c>
    </row>
    <row r="33" spans="1:31" x14ac:dyDescent="0.25">
      <c r="A33">
        <v>1</v>
      </c>
      <c r="B33">
        <v>31</v>
      </c>
      <c r="C33">
        <v>261</v>
      </c>
      <c r="D33" s="11" t="s">
        <v>149</v>
      </c>
      <c r="E33" t="s">
        <v>273</v>
      </c>
      <c r="F33" t="s">
        <v>183</v>
      </c>
      <c r="G33" s="11" t="s">
        <v>426</v>
      </c>
      <c r="H33">
        <v>19</v>
      </c>
      <c r="I33" s="11" t="s">
        <v>442</v>
      </c>
      <c r="J33" t="s">
        <v>287</v>
      </c>
      <c r="K33" t="s">
        <v>232</v>
      </c>
      <c r="L33" s="11" t="s">
        <v>39</v>
      </c>
      <c r="M33" s="11" t="s">
        <v>39</v>
      </c>
      <c r="N33" s="11" t="s">
        <v>39</v>
      </c>
      <c r="O33" s="11" t="s">
        <v>39</v>
      </c>
      <c r="P33" t="s">
        <v>10</v>
      </c>
      <c r="Q33">
        <v>47</v>
      </c>
      <c r="R33">
        <v>0</v>
      </c>
      <c r="S33">
        <v>0</v>
      </c>
      <c r="T33" t="str">
        <f t="shared" si="0"/>
        <v>-</v>
      </c>
      <c r="U33" t="str">
        <f t="shared" si="1"/>
        <v>-</v>
      </c>
      <c r="V33" t="str">
        <f t="shared" si="2"/>
        <v>-</v>
      </c>
      <c r="W33" t="str">
        <f t="shared" si="3"/>
        <v>-</v>
      </c>
      <c r="X33" t="str">
        <f t="shared" si="4"/>
        <v>-</v>
      </c>
      <c r="Y33" t="str">
        <f t="shared" si="5"/>
        <v>-</v>
      </c>
      <c r="Z33" t="str">
        <f t="shared" si="6"/>
        <v>-</v>
      </c>
      <c r="AA33" t="str">
        <f t="shared" si="7"/>
        <v>-</v>
      </c>
      <c r="AB33" t="str">
        <f>IF(_xlfn.IFNA(VLOOKUP(P33,Set_Ref!$B$6:$B$1048576,1,FALSE),"")&lt;&gt;"","-",FALSE)</f>
        <v>-</v>
      </c>
      <c r="AC33" t="str">
        <f t="shared" si="8"/>
        <v>-</v>
      </c>
      <c r="AD33" t="str">
        <f t="shared" si="9"/>
        <v>-</v>
      </c>
      <c r="AE33" t="b">
        <f t="shared" si="10"/>
        <v>1</v>
      </c>
    </row>
    <row r="34" spans="1:31" x14ac:dyDescent="0.25">
      <c r="A34">
        <v>1</v>
      </c>
      <c r="B34">
        <v>32</v>
      </c>
      <c r="C34">
        <v>261</v>
      </c>
      <c r="D34" s="11" t="s">
        <v>149</v>
      </c>
      <c r="E34" t="s">
        <v>273</v>
      </c>
      <c r="F34" t="s">
        <v>183</v>
      </c>
      <c r="G34" s="11" t="s">
        <v>426</v>
      </c>
      <c r="H34">
        <v>20</v>
      </c>
      <c r="I34" s="11" t="s">
        <v>443</v>
      </c>
      <c r="J34" t="s">
        <v>288</v>
      </c>
      <c r="K34" t="s">
        <v>233</v>
      </c>
      <c r="L34" s="11" t="s">
        <v>39</v>
      </c>
      <c r="M34" s="11" t="s">
        <v>39</v>
      </c>
      <c r="N34" s="11" t="s">
        <v>39</v>
      </c>
      <c r="O34" s="11" t="s">
        <v>39</v>
      </c>
      <c r="P34" t="s">
        <v>10</v>
      </c>
      <c r="Q34">
        <v>88</v>
      </c>
      <c r="R34">
        <v>0</v>
      </c>
      <c r="S34">
        <v>0</v>
      </c>
      <c r="T34" t="str">
        <f t="shared" si="0"/>
        <v>-</v>
      </c>
      <c r="U34" t="str">
        <f t="shared" si="1"/>
        <v>-</v>
      </c>
      <c r="V34" t="str">
        <f t="shared" si="2"/>
        <v>-</v>
      </c>
      <c r="W34" t="str">
        <f t="shared" si="3"/>
        <v>-</v>
      </c>
      <c r="X34" t="str">
        <f t="shared" si="4"/>
        <v>-</v>
      </c>
      <c r="Y34" t="str">
        <f t="shared" si="5"/>
        <v>-</v>
      </c>
      <c r="Z34" t="str">
        <f t="shared" si="6"/>
        <v>-</v>
      </c>
      <c r="AA34" t="str">
        <f t="shared" si="7"/>
        <v>-</v>
      </c>
      <c r="AB34" t="str">
        <f>IF(_xlfn.IFNA(VLOOKUP(P34,Set_Ref!$B$6:$B$1048576,1,FALSE),"")&lt;&gt;"","-",FALSE)</f>
        <v>-</v>
      </c>
      <c r="AC34" t="str">
        <f t="shared" si="8"/>
        <v>-</v>
      </c>
      <c r="AD34" t="str">
        <f t="shared" si="9"/>
        <v>-</v>
      </c>
      <c r="AE34" t="b">
        <f t="shared" si="10"/>
        <v>1</v>
      </c>
    </row>
    <row r="35" spans="1:31" x14ac:dyDescent="0.25">
      <c r="A35">
        <v>1</v>
      </c>
      <c r="B35">
        <v>33</v>
      </c>
      <c r="C35">
        <v>261</v>
      </c>
      <c r="D35" s="11" t="s">
        <v>149</v>
      </c>
      <c r="E35" t="s">
        <v>273</v>
      </c>
      <c r="F35" t="s">
        <v>183</v>
      </c>
      <c r="G35" s="11" t="s">
        <v>426</v>
      </c>
      <c r="H35">
        <v>18</v>
      </c>
      <c r="I35" s="11" t="s">
        <v>440</v>
      </c>
      <c r="J35" t="s">
        <v>441</v>
      </c>
      <c r="K35" t="s">
        <v>231</v>
      </c>
      <c r="L35" s="11" t="s">
        <v>39</v>
      </c>
      <c r="M35" s="11" t="s">
        <v>39</v>
      </c>
      <c r="N35" s="11" t="s">
        <v>39</v>
      </c>
      <c r="O35" s="11" t="s">
        <v>39</v>
      </c>
      <c r="P35" t="s">
        <v>10</v>
      </c>
      <c r="Q35">
        <v>3949.1</v>
      </c>
      <c r="R35">
        <v>0</v>
      </c>
      <c r="S35">
        <v>0</v>
      </c>
      <c r="T35" t="str">
        <f t="shared" si="0"/>
        <v>-</v>
      </c>
      <c r="U35" t="str">
        <f t="shared" si="1"/>
        <v>-</v>
      </c>
      <c r="V35" t="str">
        <f t="shared" si="2"/>
        <v>-</v>
      </c>
      <c r="W35" t="str">
        <f t="shared" si="3"/>
        <v>-</v>
      </c>
      <c r="X35" t="str">
        <f t="shared" si="4"/>
        <v>-</v>
      </c>
      <c r="Y35" t="str">
        <f t="shared" si="5"/>
        <v>-</v>
      </c>
      <c r="Z35" t="str">
        <f t="shared" si="6"/>
        <v>-</v>
      </c>
      <c r="AA35" t="str">
        <f t="shared" si="7"/>
        <v>-</v>
      </c>
      <c r="AB35" t="str">
        <f>IF(_xlfn.IFNA(VLOOKUP(P35,Set_Ref!$B$6:$B$1048576,1,FALSE),"")&lt;&gt;"","-",FALSE)</f>
        <v>-</v>
      </c>
      <c r="AC35" t="str">
        <f t="shared" si="8"/>
        <v>-</v>
      </c>
      <c r="AD35" t="str">
        <f t="shared" si="9"/>
        <v>-</v>
      </c>
      <c r="AE35" t="b">
        <f t="shared" si="10"/>
        <v>1</v>
      </c>
    </row>
    <row r="36" spans="1:31" x14ac:dyDescent="0.25">
      <c r="A36">
        <v>1</v>
      </c>
      <c r="B36">
        <v>34</v>
      </c>
      <c r="C36">
        <v>261</v>
      </c>
      <c r="D36" s="11" t="s">
        <v>149</v>
      </c>
      <c r="E36" t="s">
        <v>273</v>
      </c>
      <c r="F36" t="s">
        <v>183</v>
      </c>
      <c r="G36" s="11" t="s">
        <v>426</v>
      </c>
      <c r="H36">
        <v>18</v>
      </c>
      <c r="I36" s="11" t="s">
        <v>440</v>
      </c>
      <c r="J36" t="s">
        <v>441</v>
      </c>
      <c r="K36" t="s">
        <v>231</v>
      </c>
      <c r="L36" s="11" t="s">
        <v>39</v>
      </c>
      <c r="M36" s="11" t="s">
        <v>39</v>
      </c>
      <c r="N36" s="11" t="s">
        <v>39</v>
      </c>
      <c r="O36" s="11" t="s">
        <v>39</v>
      </c>
      <c r="P36" t="s">
        <v>10</v>
      </c>
      <c r="Q36">
        <v>684.9</v>
      </c>
      <c r="R36">
        <v>0</v>
      </c>
      <c r="S36">
        <v>0</v>
      </c>
      <c r="T36" t="str">
        <f t="shared" si="0"/>
        <v>-</v>
      </c>
      <c r="U36" t="str">
        <f t="shared" si="1"/>
        <v>-</v>
      </c>
      <c r="V36" t="str">
        <f t="shared" si="2"/>
        <v>-</v>
      </c>
      <c r="W36" t="str">
        <f t="shared" si="3"/>
        <v>-</v>
      </c>
      <c r="X36" t="str">
        <f t="shared" si="4"/>
        <v>-</v>
      </c>
      <c r="Y36" t="str">
        <f t="shared" si="5"/>
        <v>-</v>
      </c>
      <c r="Z36" t="str">
        <f t="shared" si="6"/>
        <v>-</v>
      </c>
      <c r="AA36" t="str">
        <f t="shared" si="7"/>
        <v>-</v>
      </c>
      <c r="AB36" t="str">
        <f>IF(_xlfn.IFNA(VLOOKUP(P36,Set_Ref!$B$6:$B$1048576,1,FALSE),"")&lt;&gt;"","-",FALSE)</f>
        <v>-</v>
      </c>
      <c r="AC36" t="str">
        <f t="shared" si="8"/>
        <v>-</v>
      </c>
      <c r="AD36" t="str">
        <f t="shared" si="9"/>
        <v>-</v>
      </c>
      <c r="AE36" t="b">
        <f t="shared" si="10"/>
        <v>1</v>
      </c>
    </row>
    <row r="37" spans="1:31" x14ac:dyDescent="0.25">
      <c r="A37">
        <v>1</v>
      </c>
      <c r="B37">
        <v>35</v>
      </c>
      <c r="C37">
        <v>261</v>
      </c>
      <c r="D37" s="11" t="s">
        <v>149</v>
      </c>
      <c r="E37" t="s">
        <v>273</v>
      </c>
      <c r="F37" t="s">
        <v>183</v>
      </c>
      <c r="G37" s="11" t="s">
        <v>426</v>
      </c>
      <c r="H37">
        <v>21</v>
      </c>
      <c r="I37" s="11" t="s">
        <v>444</v>
      </c>
      <c r="J37" t="s">
        <v>291</v>
      </c>
      <c r="K37" t="s">
        <v>234</v>
      </c>
      <c r="L37" s="11" t="s">
        <v>39</v>
      </c>
      <c r="M37" s="11" t="s">
        <v>39</v>
      </c>
      <c r="N37" s="11" t="s">
        <v>39</v>
      </c>
      <c r="O37" s="11" t="s">
        <v>39</v>
      </c>
      <c r="P37" t="s">
        <v>8</v>
      </c>
      <c r="Q37">
        <v>1262</v>
      </c>
      <c r="R37">
        <v>0</v>
      </c>
      <c r="S37">
        <v>0</v>
      </c>
      <c r="T37" t="str">
        <f t="shared" si="0"/>
        <v>-</v>
      </c>
      <c r="U37" t="str">
        <f t="shared" si="1"/>
        <v>-</v>
      </c>
      <c r="V37" t="str">
        <f t="shared" si="2"/>
        <v>-</v>
      </c>
      <c r="W37" t="str">
        <f t="shared" si="3"/>
        <v>-</v>
      </c>
      <c r="X37" t="str">
        <f t="shared" si="4"/>
        <v>-</v>
      </c>
      <c r="Y37" t="str">
        <f t="shared" si="5"/>
        <v>-</v>
      </c>
      <c r="Z37" t="str">
        <f t="shared" si="6"/>
        <v>-</v>
      </c>
      <c r="AA37" t="str">
        <f t="shared" si="7"/>
        <v>-</v>
      </c>
      <c r="AB37" t="str">
        <f>IF(_xlfn.IFNA(VLOOKUP(P37,Set_Ref!$B$6:$B$1048576,1,FALSE),"")&lt;&gt;"","-",FALSE)</f>
        <v>-</v>
      </c>
      <c r="AC37" t="str">
        <f t="shared" si="8"/>
        <v>-</v>
      </c>
      <c r="AD37" t="str">
        <f t="shared" si="9"/>
        <v>-</v>
      </c>
      <c r="AE37" t="b">
        <f t="shared" si="10"/>
        <v>1</v>
      </c>
    </row>
    <row r="38" spans="1:31" x14ac:dyDescent="0.25">
      <c r="A38">
        <v>1</v>
      </c>
      <c r="B38">
        <v>36</v>
      </c>
      <c r="C38">
        <v>261</v>
      </c>
      <c r="D38" s="11" t="s">
        <v>149</v>
      </c>
      <c r="E38" t="s">
        <v>273</v>
      </c>
      <c r="F38" t="s">
        <v>183</v>
      </c>
      <c r="G38" s="11" t="s">
        <v>426</v>
      </c>
      <c r="H38">
        <v>18</v>
      </c>
      <c r="I38" s="11" t="s">
        <v>440</v>
      </c>
      <c r="J38" t="s">
        <v>441</v>
      </c>
      <c r="K38" t="s">
        <v>231</v>
      </c>
      <c r="L38" s="11" t="s">
        <v>39</v>
      </c>
      <c r="M38" s="11" t="s">
        <v>39</v>
      </c>
      <c r="N38" s="11" t="s">
        <v>39</v>
      </c>
      <c r="O38" s="11" t="s">
        <v>39</v>
      </c>
      <c r="P38" t="s">
        <v>10</v>
      </c>
      <c r="Q38">
        <v>2627.8</v>
      </c>
      <c r="R38">
        <v>0</v>
      </c>
      <c r="S38">
        <v>0</v>
      </c>
      <c r="T38" t="str">
        <f t="shared" si="0"/>
        <v>-</v>
      </c>
      <c r="U38" t="str">
        <f t="shared" si="1"/>
        <v>-</v>
      </c>
      <c r="V38" t="str">
        <f t="shared" si="2"/>
        <v>-</v>
      </c>
      <c r="W38" t="str">
        <f t="shared" si="3"/>
        <v>-</v>
      </c>
      <c r="X38" t="str">
        <f t="shared" si="4"/>
        <v>-</v>
      </c>
      <c r="Y38" t="str">
        <f t="shared" si="5"/>
        <v>-</v>
      </c>
      <c r="Z38" t="str">
        <f t="shared" si="6"/>
        <v>-</v>
      </c>
      <c r="AA38" t="str">
        <f t="shared" si="7"/>
        <v>-</v>
      </c>
      <c r="AB38" t="str">
        <f>IF(_xlfn.IFNA(VLOOKUP(P38,Set_Ref!$B$6:$B$1048576,1,FALSE),"")&lt;&gt;"","-",FALSE)</f>
        <v>-</v>
      </c>
      <c r="AC38" t="str">
        <f t="shared" si="8"/>
        <v>-</v>
      </c>
      <c r="AD38" t="str">
        <f t="shared" si="9"/>
        <v>-</v>
      </c>
      <c r="AE38" t="b">
        <f t="shared" si="10"/>
        <v>1</v>
      </c>
    </row>
    <row r="39" spans="1:31" x14ac:dyDescent="0.25">
      <c r="A39">
        <v>1</v>
      </c>
      <c r="B39">
        <v>37</v>
      </c>
      <c r="C39">
        <v>261</v>
      </c>
      <c r="D39" s="11" t="s">
        <v>149</v>
      </c>
      <c r="E39" t="s">
        <v>273</v>
      </c>
      <c r="F39" t="s">
        <v>183</v>
      </c>
      <c r="G39" s="11" t="s">
        <v>426</v>
      </c>
      <c r="H39">
        <v>22</v>
      </c>
      <c r="I39" s="11" t="s">
        <v>445</v>
      </c>
      <c r="J39" t="s">
        <v>292</v>
      </c>
      <c r="K39" t="s">
        <v>235</v>
      </c>
      <c r="L39" s="11" t="s">
        <v>39</v>
      </c>
      <c r="M39" s="11" t="s">
        <v>39</v>
      </c>
      <c r="N39" s="11" t="s">
        <v>39</v>
      </c>
      <c r="O39" s="11" t="s">
        <v>39</v>
      </c>
      <c r="P39" t="s">
        <v>10</v>
      </c>
      <c r="Q39">
        <v>48.8</v>
      </c>
      <c r="R39">
        <v>0</v>
      </c>
      <c r="S39">
        <v>0</v>
      </c>
      <c r="T39" t="str">
        <f t="shared" si="0"/>
        <v>-</v>
      </c>
      <c r="U39" t="str">
        <f t="shared" si="1"/>
        <v>-</v>
      </c>
      <c r="V39" t="str">
        <f t="shared" si="2"/>
        <v>-</v>
      </c>
      <c r="W39" t="str">
        <f t="shared" si="3"/>
        <v>-</v>
      </c>
      <c r="X39" t="str">
        <f t="shared" si="4"/>
        <v>-</v>
      </c>
      <c r="Y39" t="str">
        <f t="shared" si="5"/>
        <v>-</v>
      </c>
      <c r="Z39" t="str">
        <f t="shared" si="6"/>
        <v>-</v>
      </c>
      <c r="AA39" t="str">
        <f t="shared" si="7"/>
        <v>-</v>
      </c>
      <c r="AB39" t="str">
        <f>IF(_xlfn.IFNA(VLOOKUP(P39,Set_Ref!$B$6:$B$1048576,1,FALSE),"")&lt;&gt;"","-",FALSE)</f>
        <v>-</v>
      </c>
      <c r="AC39" t="str">
        <f t="shared" si="8"/>
        <v>-</v>
      </c>
      <c r="AD39" t="str">
        <f t="shared" si="9"/>
        <v>-</v>
      </c>
      <c r="AE39" t="b">
        <f t="shared" si="10"/>
        <v>1</v>
      </c>
    </row>
    <row r="40" spans="1:31" x14ac:dyDescent="0.25">
      <c r="A40">
        <v>1</v>
      </c>
      <c r="B40">
        <v>38</v>
      </c>
      <c r="C40">
        <v>261</v>
      </c>
      <c r="D40" s="11" t="s">
        <v>149</v>
      </c>
      <c r="E40" t="s">
        <v>293</v>
      </c>
      <c r="F40" t="s">
        <v>184</v>
      </c>
      <c r="G40" s="11" t="s">
        <v>446</v>
      </c>
      <c r="H40">
        <v>1</v>
      </c>
      <c r="I40" s="11" t="s">
        <v>431</v>
      </c>
      <c r="J40" t="s">
        <v>284</v>
      </c>
      <c r="K40" t="s">
        <v>221</v>
      </c>
      <c r="L40" s="11" t="s">
        <v>39</v>
      </c>
      <c r="M40" s="11" t="s">
        <v>39</v>
      </c>
      <c r="N40" s="11" t="s">
        <v>39</v>
      </c>
      <c r="O40" s="11" t="s">
        <v>39</v>
      </c>
      <c r="P40" t="s">
        <v>9</v>
      </c>
      <c r="Q40">
        <v>5</v>
      </c>
      <c r="R40">
        <v>0</v>
      </c>
      <c r="S40">
        <v>0</v>
      </c>
      <c r="T40" t="str">
        <f t="shared" si="0"/>
        <v>-</v>
      </c>
      <c r="U40" t="str">
        <f t="shared" si="1"/>
        <v>-</v>
      </c>
      <c r="V40" t="str">
        <f t="shared" si="2"/>
        <v>-</v>
      </c>
      <c r="W40" t="str">
        <f t="shared" si="3"/>
        <v>-</v>
      </c>
      <c r="X40" t="str">
        <f t="shared" si="4"/>
        <v>-</v>
      </c>
      <c r="Y40" t="str">
        <f t="shared" si="5"/>
        <v>-</v>
      </c>
      <c r="Z40" t="str">
        <f t="shared" si="6"/>
        <v>-</v>
      </c>
      <c r="AA40" t="str">
        <f t="shared" si="7"/>
        <v>-</v>
      </c>
      <c r="AB40" t="str">
        <f>IF(_xlfn.IFNA(VLOOKUP(P40,Set_Ref!$B$6:$B$1048576,1,FALSE),"")&lt;&gt;"","-",FALSE)</f>
        <v>-</v>
      </c>
      <c r="AC40" t="str">
        <f t="shared" si="8"/>
        <v>-</v>
      </c>
      <c r="AD40" t="str">
        <f t="shared" si="9"/>
        <v>-</v>
      </c>
      <c r="AE40" t="b">
        <f t="shared" si="10"/>
        <v>1</v>
      </c>
    </row>
    <row r="41" spans="1:31" x14ac:dyDescent="0.25">
      <c r="A41">
        <v>1</v>
      </c>
      <c r="B41">
        <v>39</v>
      </c>
      <c r="C41">
        <v>261</v>
      </c>
      <c r="D41" s="11" t="s">
        <v>149</v>
      </c>
      <c r="E41" t="s">
        <v>293</v>
      </c>
      <c r="F41" t="s">
        <v>184</v>
      </c>
      <c r="G41" s="11" t="s">
        <v>446</v>
      </c>
      <c r="H41">
        <v>2</v>
      </c>
      <c r="I41" s="11" t="s">
        <v>447</v>
      </c>
      <c r="J41" t="s">
        <v>294</v>
      </c>
      <c r="K41" t="s">
        <v>236</v>
      </c>
      <c r="L41" s="11" t="s">
        <v>39</v>
      </c>
      <c r="M41" s="11" t="s">
        <v>39</v>
      </c>
      <c r="N41" s="11" t="s">
        <v>39</v>
      </c>
      <c r="O41" s="11" t="s">
        <v>39</v>
      </c>
      <c r="P41" t="s">
        <v>10</v>
      </c>
      <c r="Q41">
        <v>1603</v>
      </c>
      <c r="R41">
        <v>0</v>
      </c>
      <c r="S41">
        <v>0</v>
      </c>
      <c r="T41" t="str">
        <f t="shared" si="0"/>
        <v>-</v>
      </c>
      <c r="U41" t="str">
        <f t="shared" si="1"/>
        <v>-</v>
      </c>
      <c r="V41" t="str">
        <f t="shared" si="2"/>
        <v>-</v>
      </c>
      <c r="W41" t="str">
        <f t="shared" si="3"/>
        <v>-</v>
      </c>
      <c r="X41" t="str">
        <f t="shared" si="4"/>
        <v>-</v>
      </c>
      <c r="Y41" t="str">
        <f t="shared" si="5"/>
        <v>-</v>
      </c>
      <c r="Z41" t="str">
        <f t="shared" si="6"/>
        <v>-</v>
      </c>
      <c r="AA41" t="str">
        <f t="shared" si="7"/>
        <v>-</v>
      </c>
      <c r="AB41" t="str">
        <f>IF(_xlfn.IFNA(VLOOKUP(P41,Set_Ref!$B$6:$B$1048576,1,FALSE),"")&lt;&gt;"","-",FALSE)</f>
        <v>-</v>
      </c>
      <c r="AC41" t="str">
        <f t="shared" si="8"/>
        <v>-</v>
      </c>
      <c r="AD41" t="str">
        <f t="shared" si="9"/>
        <v>-</v>
      </c>
      <c r="AE41" t="b">
        <f t="shared" si="10"/>
        <v>1</v>
      </c>
    </row>
    <row r="42" spans="1:31" x14ac:dyDescent="0.25">
      <c r="A42">
        <v>1</v>
      </c>
      <c r="B42">
        <v>40</v>
      </c>
      <c r="C42">
        <v>261</v>
      </c>
      <c r="D42" s="11" t="s">
        <v>149</v>
      </c>
      <c r="E42" t="s">
        <v>293</v>
      </c>
      <c r="F42" t="s">
        <v>184</v>
      </c>
      <c r="G42" s="11" t="s">
        <v>446</v>
      </c>
      <c r="H42">
        <v>3</v>
      </c>
      <c r="I42" s="11" t="s">
        <v>433</v>
      </c>
      <c r="J42" t="s">
        <v>281</v>
      </c>
      <c r="K42" t="s">
        <v>222</v>
      </c>
      <c r="L42" s="11" t="s">
        <v>39</v>
      </c>
      <c r="M42" s="11" t="s">
        <v>39</v>
      </c>
      <c r="N42" s="11" t="s">
        <v>39</v>
      </c>
      <c r="O42" s="11" t="s">
        <v>39</v>
      </c>
      <c r="P42" t="s">
        <v>10</v>
      </c>
      <c r="Q42">
        <v>2940</v>
      </c>
      <c r="R42">
        <v>0</v>
      </c>
      <c r="S42">
        <v>0</v>
      </c>
      <c r="T42" t="str">
        <f t="shared" si="0"/>
        <v>-</v>
      </c>
      <c r="U42" t="str">
        <f t="shared" si="1"/>
        <v>-</v>
      </c>
      <c r="V42" t="str">
        <f t="shared" si="2"/>
        <v>-</v>
      </c>
      <c r="W42" t="str">
        <f t="shared" si="3"/>
        <v>-</v>
      </c>
      <c r="X42" t="str">
        <f t="shared" si="4"/>
        <v>-</v>
      </c>
      <c r="Y42" t="str">
        <f t="shared" si="5"/>
        <v>-</v>
      </c>
      <c r="Z42" t="str">
        <f t="shared" si="6"/>
        <v>-</v>
      </c>
      <c r="AA42" t="str">
        <f t="shared" si="7"/>
        <v>-</v>
      </c>
      <c r="AB42" t="str">
        <f>IF(_xlfn.IFNA(VLOOKUP(P42,Set_Ref!$B$6:$B$1048576,1,FALSE),"")&lt;&gt;"","-",FALSE)</f>
        <v>-</v>
      </c>
      <c r="AC42" t="str">
        <f t="shared" si="8"/>
        <v>-</v>
      </c>
      <c r="AD42" t="str">
        <f t="shared" si="9"/>
        <v>-</v>
      </c>
      <c r="AE42" t="b">
        <f t="shared" si="10"/>
        <v>1</v>
      </c>
    </row>
    <row r="43" spans="1:31" x14ac:dyDescent="0.25">
      <c r="A43">
        <v>1</v>
      </c>
      <c r="B43">
        <v>41</v>
      </c>
      <c r="C43">
        <v>261</v>
      </c>
      <c r="D43" s="11" t="s">
        <v>149</v>
      </c>
      <c r="E43" t="s">
        <v>293</v>
      </c>
      <c r="F43" t="s">
        <v>184</v>
      </c>
      <c r="G43" s="11" t="s">
        <v>446</v>
      </c>
      <c r="H43">
        <v>4</v>
      </c>
      <c r="I43" s="11" t="s">
        <v>427</v>
      </c>
      <c r="J43" t="s">
        <v>448</v>
      </c>
      <c r="K43" t="s">
        <v>237</v>
      </c>
      <c r="L43" s="11" t="s">
        <v>39</v>
      </c>
      <c r="M43" s="11" t="s">
        <v>39</v>
      </c>
      <c r="N43" s="11" t="s">
        <v>39</v>
      </c>
      <c r="O43" s="11" t="s">
        <v>39</v>
      </c>
      <c r="P43" t="s">
        <v>9</v>
      </c>
      <c r="Q43">
        <v>190</v>
      </c>
      <c r="R43">
        <v>0</v>
      </c>
      <c r="S43">
        <v>0</v>
      </c>
      <c r="T43" t="str">
        <f t="shared" si="0"/>
        <v>-</v>
      </c>
      <c r="U43" t="str">
        <f t="shared" si="1"/>
        <v>-</v>
      </c>
      <c r="V43" t="str">
        <f t="shared" si="2"/>
        <v>-</v>
      </c>
      <c r="W43" t="str">
        <f t="shared" si="3"/>
        <v>-</v>
      </c>
      <c r="X43" t="str">
        <f t="shared" si="4"/>
        <v>-</v>
      </c>
      <c r="Y43" t="str">
        <f t="shared" si="5"/>
        <v>-</v>
      </c>
      <c r="Z43" t="str">
        <f t="shared" si="6"/>
        <v>-</v>
      </c>
      <c r="AA43" t="str">
        <f t="shared" si="7"/>
        <v>-</v>
      </c>
      <c r="AB43" t="str">
        <f>IF(_xlfn.IFNA(VLOOKUP(P43,Set_Ref!$B$6:$B$1048576,1,FALSE),"")&lt;&gt;"","-",FALSE)</f>
        <v>-</v>
      </c>
      <c r="AC43" t="str">
        <f t="shared" si="8"/>
        <v>-</v>
      </c>
      <c r="AD43" t="str">
        <f t="shared" si="9"/>
        <v>-</v>
      </c>
      <c r="AE43" t="b">
        <f t="shared" si="10"/>
        <v>1</v>
      </c>
    </row>
    <row r="44" spans="1:31" x14ac:dyDescent="0.25">
      <c r="A44">
        <v>1</v>
      </c>
      <c r="B44">
        <v>42</v>
      </c>
      <c r="C44">
        <v>261</v>
      </c>
      <c r="D44" s="11" t="s">
        <v>149</v>
      </c>
      <c r="E44" t="s">
        <v>293</v>
      </c>
      <c r="F44" t="s">
        <v>184</v>
      </c>
      <c r="G44" s="11" t="s">
        <v>446</v>
      </c>
      <c r="H44">
        <v>4</v>
      </c>
      <c r="I44" s="11" t="s">
        <v>427</v>
      </c>
      <c r="J44" t="s">
        <v>448</v>
      </c>
      <c r="K44" t="s">
        <v>237</v>
      </c>
      <c r="L44" s="11" t="s">
        <v>39</v>
      </c>
      <c r="M44" s="11" t="s">
        <v>39</v>
      </c>
      <c r="N44" s="11" t="s">
        <v>39</v>
      </c>
      <c r="O44" s="11" t="s">
        <v>39</v>
      </c>
      <c r="P44" t="s">
        <v>9</v>
      </c>
      <c r="Q44">
        <v>41</v>
      </c>
      <c r="R44">
        <v>0</v>
      </c>
      <c r="S44">
        <v>0</v>
      </c>
      <c r="T44" t="str">
        <f t="shared" si="0"/>
        <v>-</v>
      </c>
      <c r="U44" t="str">
        <f t="shared" si="1"/>
        <v>-</v>
      </c>
      <c r="V44" t="str">
        <f t="shared" si="2"/>
        <v>-</v>
      </c>
      <c r="W44" t="str">
        <f t="shared" si="3"/>
        <v>-</v>
      </c>
      <c r="X44" t="str">
        <f t="shared" si="4"/>
        <v>-</v>
      </c>
      <c r="Y44" t="str">
        <f t="shared" si="5"/>
        <v>-</v>
      </c>
      <c r="Z44" t="str">
        <f t="shared" si="6"/>
        <v>-</v>
      </c>
      <c r="AA44" t="str">
        <f t="shared" si="7"/>
        <v>-</v>
      </c>
      <c r="AB44" t="str">
        <f>IF(_xlfn.IFNA(VLOOKUP(P44,Set_Ref!$B$6:$B$1048576,1,FALSE),"")&lt;&gt;"","-",FALSE)</f>
        <v>-</v>
      </c>
      <c r="AC44" t="str">
        <f t="shared" si="8"/>
        <v>-</v>
      </c>
      <c r="AD44" t="str">
        <f t="shared" si="9"/>
        <v>-</v>
      </c>
      <c r="AE44" t="b">
        <f t="shared" si="10"/>
        <v>1</v>
      </c>
    </row>
    <row r="45" spans="1:31" x14ac:dyDescent="0.25">
      <c r="A45">
        <v>1</v>
      </c>
      <c r="B45">
        <v>43</v>
      </c>
      <c r="C45">
        <v>261</v>
      </c>
      <c r="D45" s="11" t="s">
        <v>149</v>
      </c>
      <c r="E45" t="s">
        <v>293</v>
      </c>
      <c r="F45" t="s">
        <v>184</v>
      </c>
      <c r="G45" s="11" t="s">
        <v>446</v>
      </c>
      <c r="H45">
        <v>4</v>
      </c>
      <c r="I45" s="11" t="s">
        <v>427</v>
      </c>
      <c r="J45" t="s">
        <v>448</v>
      </c>
      <c r="K45" t="s">
        <v>237</v>
      </c>
      <c r="L45" s="11" t="s">
        <v>39</v>
      </c>
      <c r="M45" s="11" t="s">
        <v>39</v>
      </c>
      <c r="N45" s="11" t="s">
        <v>39</v>
      </c>
      <c r="O45" s="11" t="s">
        <v>39</v>
      </c>
      <c r="P45" t="s">
        <v>9</v>
      </c>
      <c r="Q45">
        <v>248</v>
      </c>
      <c r="R45">
        <v>0</v>
      </c>
      <c r="S45">
        <v>0</v>
      </c>
      <c r="T45" t="str">
        <f t="shared" si="0"/>
        <v>-</v>
      </c>
      <c r="U45" t="str">
        <f t="shared" si="1"/>
        <v>-</v>
      </c>
      <c r="V45" t="str">
        <f t="shared" si="2"/>
        <v>-</v>
      </c>
      <c r="W45" t="str">
        <f t="shared" si="3"/>
        <v>-</v>
      </c>
      <c r="X45" t="str">
        <f t="shared" si="4"/>
        <v>-</v>
      </c>
      <c r="Y45" t="str">
        <f t="shared" si="5"/>
        <v>-</v>
      </c>
      <c r="Z45" t="str">
        <f t="shared" si="6"/>
        <v>-</v>
      </c>
      <c r="AA45" t="str">
        <f t="shared" si="7"/>
        <v>-</v>
      </c>
      <c r="AB45" t="str">
        <f>IF(_xlfn.IFNA(VLOOKUP(P45,Set_Ref!$B$6:$B$1048576,1,FALSE),"")&lt;&gt;"","-",FALSE)</f>
        <v>-</v>
      </c>
      <c r="AC45" t="str">
        <f t="shared" si="8"/>
        <v>-</v>
      </c>
      <c r="AD45" t="str">
        <f t="shared" si="9"/>
        <v>-</v>
      </c>
      <c r="AE45" t="b">
        <f t="shared" si="10"/>
        <v>1</v>
      </c>
    </row>
    <row r="46" spans="1:31" x14ac:dyDescent="0.25">
      <c r="A46">
        <v>1</v>
      </c>
      <c r="B46">
        <v>44</v>
      </c>
      <c r="C46">
        <v>261</v>
      </c>
      <c r="D46" s="11" t="s">
        <v>149</v>
      </c>
      <c r="E46" t="s">
        <v>293</v>
      </c>
      <c r="F46" t="s">
        <v>184</v>
      </c>
      <c r="G46" s="11" t="s">
        <v>446</v>
      </c>
      <c r="H46">
        <v>4</v>
      </c>
      <c r="I46" s="11" t="s">
        <v>427</v>
      </c>
      <c r="J46" t="s">
        <v>448</v>
      </c>
      <c r="K46" t="s">
        <v>237</v>
      </c>
      <c r="L46" s="11" t="s">
        <v>39</v>
      </c>
      <c r="M46" s="11" t="s">
        <v>39</v>
      </c>
      <c r="N46" s="11" t="s">
        <v>39</v>
      </c>
      <c r="O46" s="11" t="s">
        <v>39</v>
      </c>
      <c r="P46" t="s">
        <v>9</v>
      </c>
      <c r="Q46">
        <v>109</v>
      </c>
      <c r="R46">
        <v>0</v>
      </c>
      <c r="S46">
        <v>0</v>
      </c>
      <c r="T46" t="str">
        <f t="shared" si="0"/>
        <v>-</v>
      </c>
      <c r="U46" t="str">
        <f t="shared" si="1"/>
        <v>-</v>
      </c>
      <c r="V46" t="str">
        <f t="shared" si="2"/>
        <v>-</v>
      </c>
      <c r="W46" t="str">
        <f t="shared" si="3"/>
        <v>-</v>
      </c>
      <c r="X46" t="str">
        <f t="shared" si="4"/>
        <v>-</v>
      </c>
      <c r="Y46" t="str">
        <f t="shared" si="5"/>
        <v>-</v>
      </c>
      <c r="Z46" t="str">
        <f t="shared" si="6"/>
        <v>-</v>
      </c>
      <c r="AA46" t="str">
        <f t="shared" si="7"/>
        <v>-</v>
      </c>
      <c r="AB46" t="str">
        <f>IF(_xlfn.IFNA(VLOOKUP(P46,Set_Ref!$B$6:$B$1048576,1,FALSE),"")&lt;&gt;"","-",FALSE)</f>
        <v>-</v>
      </c>
      <c r="AC46" t="str">
        <f t="shared" si="8"/>
        <v>-</v>
      </c>
      <c r="AD46" t="str">
        <f t="shared" si="9"/>
        <v>-</v>
      </c>
      <c r="AE46" t="b">
        <f t="shared" si="10"/>
        <v>1</v>
      </c>
    </row>
    <row r="47" spans="1:31" x14ac:dyDescent="0.25">
      <c r="A47">
        <v>1</v>
      </c>
      <c r="B47">
        <v>45</v>
      </c>
      <c r="C47">
        <v>261</v>
      </c>
      <c r="D47" s="11" t="s">
        <v>149</v>
      </c>
      <c r="E47" t="s">
        <v>293</v>
      </c>
      <c r="F47" t="s">
        <v>184</v>
      </c>
      <c r="G47" s="11" t="s">
        <v>446</v>
      </c>
      <c r="H47">
        <v>5</v>
      </c>
      <c r="I47" s="11" t="s">
        <v>434</v>
      </c>
      <c r="J47" t="s">
        <v>435</v>
      </c>
      <c r="K47" t="s">
        <v>223</v>
      </c>
      <c r="L47" s="11" t="s">
        <v>39</v>
      </c>
      <c r="M47" s="11" t="s">
        <v>39</v>
      </c>
      <c r="N47" s="11" t="s">
        <v>39</v>
      </c>
      <c r="O47" s="11" t="s">
        <v>39</v>
      </c>
      <c r="P47" t="s">
        <v>9</v>
      </c>
      <c r="Q47">
        <v>26100</v>
      </c>
      <c r="R47">
        <v>0</v>
      </c>
      <c r="S47">
        <v>0</v>
      </c>
      <c r="T47" t="str">
        <f t="shared" si="0"/>
        <v>-</v>
      </c>
      <c r="U47" t="str">
        <f t="shared" si="1"/>
        <v>-</v>
      </c>
      <c r="V47" t="str">
        <f t="shared" si="2"/>
        <v>-</v>
      </c>
      <c r="W47" t="str">
        <f t="shared" si="3"/>
        <v>-</v>
      </c>
      <c r="X47" t="str">
        <f t="shared" si="4"/>
        <v>-</v>
      </c>
      <c r="Y47" t="str">
        <f t="shared" si="5"/>
        <v>-</v>
      </c>
      <c r="Z47" t="str">
        <f t="shared" si="6"/>
        <v>-</v>
      </c>
      <c r="AA47" t="str">
        <f t="shared" si="7"/>
        <v>-</v>
      </c>
      <c r="AB47" t="str">
        <f>IF(_xlfn.IFNA(VLOOKUP(P47,Set_Ref!$B$6:$B$1048576,1,FALSE),"")&lt;&gt;"","-",FALSE)</f>
        <v>-</v>
      </c>
      <c r="AC47" t="str">
        <f t="shared" si="8"/>
        <v>-</v>
      </c>
      <c r="AD47" t="str">
        <f t="shared" si="9"/>
        <v>-</v>
      </c>
      <c r="AE47" t="b">
        <f t="shared" si="10"/>
        <v>1</v>
      </c>
    </row>
    <row r="48" spans="1:31" x14ac:dyDescent="0.25">
      <c r="A48">
        <v>1</v>
      </c>
      <c r="B48">
        <v>46</v>
      </c>
      <c r="C48">
        <v>261</v>
      </c>
      <c r="D48" s="11" t="s">
        <v>149</v>
      </c>
      <c r="E48" t="s">
        <v>293</v>
      </c>
      <c r="F48" t="s">
        <v>184</v>
      </c>
      <c r="G48" s="11" t="s">
        <v>446</v>
      </c>
      <c r="H48">
        <v>5</v>
      </c>
      <c r="I48" s="11" t="s">
        <v>434</v>
      </c>
      <c r="J48" t="s">
        <v>435</v>
      </c>
      <c r="K48" t="s">
        <v>223</v>
      </c>
      <c r="L48" s="11" t="s">
        <v>39</v>
      </c>
      <c r="M48" s="11" t="s">
        <v>39</v>
      </c>
      <c r="N48" s="11" t="s">
        <v>39</v>
      </c>
      <c r="O48" s="11" t="s">
        <v>39</v>
      </c>
      <c r="P48" t="s">
        <v>9</v>
      </c>
      <c r="Q48">
        <v>26100</v>
      </c>
      <c r="R48">
        <v>0</v>
      </c>
      <c r="S48">
        <v>0</v>
      </c>
      <c r="T48" t="str">
        <f t="shared" si="0"/>
        <v>-</v>
      </c>
      <c r="U48" t="str">
        <f t="shared" si="1"/>
        <v>-</v>
      </c>
      <c r="V48" t="str">
        <f t="shared" si="2"/>
        <v>-</v>
      </c>
      <c r="W48" t="str">
        <f t="shared" si="3"/>
        <v>-</v>
      </c>
      <c r="X48" t="str">
        <f t="shared" si="4"/>
        <v>-</v>
      </c>
      <c r="Y48" t="str">
        <f t="shared" si="5"/>
        <v>-</v>
      </c>
      <c r="Z48" t="str">
        <f t="shared" si="6"/>
        <v>-</v>
      </c>
      <c r="AA48" t="str">
        <f t="shared" si="7"/>
        <v>-</v>
      </c>
      <c r="AB48" t="str">
        <f>IF(_xlfn.IFNA(VLOOKUP(P48,Set_Ref!$B$6:$B$1048576,1,FALSE),"")&lt;&gt;"","-",FALSE)</f>
        <v>-</v>
      </c>
      <c r="AC48" t="str">
        <f t="shared" si="8"/>
        <v>-</v>
      </c>
      <c r="AD48" t="str">
        <f t="shared" si="9"/>
        <v>-</v>
      </c>
      <c r="AE48" t="b">
        <f t="shared" si="10"/>
        <v>1</v>
      </c>
    </row>
    <row r="49" spans="1:31" x14ac:dyDescent="0.25">
      <c r="A49">
        <v>1</v>
      </c>
      <c r="B49">
        <v>47</v>
      </c>
      <c r="C49">
        <v>261</v>
      </c>
      <c r="D49" s="11" t="s">
        <v>149</v>
      </c>
      <c r="E49" t="s">
        <v>293</v>
      </c>
      <c r="F49" t="s">
        <v>184</v>
      </c>
      <c r="G49" s="11" t="s">
        <v>446</v>
      </c>
      <c r="H49">
        <v>5</v>
      </c>
      <c r="I49" s="11" t="s">
        <v>434</v>
      </c>
      <c r="J49" t="s">
        <v>435</v>
      </c>
      <c r="K49" t="s">
        <v>223</v>
      </c>
      <c r="L49" s="11" t="s">
        <v>39</v>
      </c>
      <c r="M49" s="11" t="s">
        <v>39</v>
      </c>
      <c r="N49" s="11" t="s">
        <v>39</v>
      </c>
      <c r="O49" s="11" t="s">
        <v>39</v>
      </c>
      <c r="P49" t="s">
        <v>9</v>
      </c>
      <c r="Q49">
        <v>26100</v>
      </c>
      <c r="R49">
        <v>0</v>
      </c>
      <c r="S49">
        <v>0</v>
      </c>
      <c r="T49" t="str">
        <f t="shared" si="0"/>
        <v>-</v>
      </c>
      <c r="U49" t="str">
        <f t="shared" si="1"/>
        <v>-</v>
      </c>
      <c r="V49" t="str">
        <f t="shared" si="2"/>
        <v>-</v>
      </c>
      <c r="W49" t="str">
        <f t="shared" si="3"/>
        <v>-</v>
      </c>
      <c r="X49" t="str">
        <f t="shared" si="4"/>
        <v>-</v>
      </c>
      <c r="Y49" t="str">
        <f t="shared" si="5"/>
        <v>-</v>
      </c>
      <c r="Z49" t="str">
        <f t="shared" si="6"/>
        <v>-</v>
      </c>
      <c r="AA49" t="str">
        <f t="shared" si="7"/>
        <v>-</v>
      </c>
      <c r="AB49" t="str">
        <f>IF(_xlfn.IFNA(VLOOKUP(P49,Set_Ref!$B$6:$B$1048576,1,FALSE),"")&lt;&gt;"","-",FALSE)</f>
        <v>-</v>
      </c>
      <c r="AC49" t="str">
        <f t="shared" si="8"/>
        <v>-</v>
      </c>
      <c r="AD49" t="str">
        <f t="shared" si="9"/>
        <v>-</v>
      </c>
      <c r="AE49" t="b">
        <f t="shared" si="10"/>
        <v>1</v>
      </c>
    </row>
    <row r="50" spans="1:31" x14ac:dyDescent="0.25">
      <c r="A50">
        <v>1</v>
      </c>
      <c r="B50">
        <v>48</v>
      </c>
      <c r="C50">
        <v>261</v>
      </c>
      <c r="D50" s="11" t="s">
        <v>149</v>
      </c>
      <c r="E50" t="s">
        <v>293</v>
      </c>
      <c r="F50" t="s">
        <v>184</v>
      </c>
      <c r="G50" s="11" t="s">
        <v>446</v>
      </c>
      <c r="H50">
        <v>5</v>
      </c>
      <c r="I50" s="11" t="s">
        <v>434</v>
      </c>
      <c r="J50" t="s">
        <v>435</v>
      </c>
      <c r="K50" t="s">
        <v>223</v>
      </c>
      <c r="L50" s="11" t="s">
        <v>39</v>
      </c>
      <c r="M50" s="11" t="s">
        <v>39</v>
      </c>
      <c r="N50" s="11" t="s">
        <v>39</v>
      </c>
      <c r="O50" s="11" t="s">
        <v>39</v>
      </c>
      <c r="P50" t="s">
        <v>9</v>
      </c>
      <c r="Q50">
        <v>26100</v>
      </c>
      <c r="R50">
        <v>0</v>
      </c>
      <c r="S50">
        <v>0</v>
      </c>
      <c r="T50" t="str">
        <f t="shared" si="0"/>
        <v>-</v>
      </c>
      <c r="U50" t="str">
        <f t="shared" si="1"/>
        <v>-</v>
      </c>
      <c r="V50" t="str">
        <f t="shared" si="2"/>
        <v>-</v>
      </c>
      <c r="W50" t="str">
        <f t="shared" si="3"/>
        <v>-</v>
      </c>
      <c r="X50" t="str">
        <f t="shared" si="4"/>
        <v>-</v>
      </c>
      <c r="Y50" t="str">
        <f t="shared" si="5"/>
        <v>-</v>
      </c>
      <c r="Z50" t="str">
        <f t="shared" si="6"/>
        <v>-</v>
      </c>
      <c r="AA50" t="str">
        <f t="shared" si="7"/>
        <v>-</v>
      </c>
      <c r="AB50" t="str">
        <f>IF(_xlfn.IFNA(VLOOKUP(P50,Set_Ref!$B$6:$B$1048576,1,FALSE),"")&lt;&gt;"","-",FALSE)</f>
        <v>-</v>
      </c>
      <c r="AC50" t="str">
        <f t="shared" si="8"/>
        <v>-</v>
      </c>
      <c r="AD50" t="str">
        <f t="shared" si="9"/>
        <v>-</v>
      </c>
      <c r="AE50" t="b">
        <f t="shared" si="10"/>
        <v>1</v>
      </c>
    </row>
    <row r="51" spans="1:31" x14ac:dyDescent="0.25">
      <c r="A51">
        <v>1</v>
      </c>
      <c r="B51">
        <v>49</v>
      </c>
      <c r="C51">
        <v>261</v>
      </c>
      <c r="D51" s="11" t="s">
        <v>149</v>
      </c>
      <c r="E51" t="s">
        <v>293</v>
      </c>
      <c r="F51" t="s">
        <v>184</v>
      </c>
      <c r="G51" s="11" t="s">
        <v>446</v>
      </c>
      <c r="H51">
        <v>6</v>
      </c>
      <c r="I51" s="11" t="s">
        <v>427</v>
      </c>
      <c r="J51" t="s">
        <v>296</v>
      </c>
      <c r="K51" t="s">
        <v>238</v>
      </c>
      <c r="L51" s="11" t="s">
        <v>39</v>
      </c>
      <c r="M51" s="11" t="s">
        <v>39</v>
      </c>
      <c r="N51" s="11" t="s">
        <v>39</v>
      </c>
      <c r="O51" s="11" t="s">
        <v>39</v>
      </c>
      <c r="P51" t="s">
        <v>9</v>
      </c>
      <c r="Q51">
        <v>1390</v>
      </c>
      <c r="R51">
        <v>0</v>
      </c>
      <c r="S51">
        <v>0</v>
      </c>
      <c r="T51" t="str">
        <f t="shared" si="0"/>
        <v>-</v>
      </c>
      <c r="U51" t="str">
        <f t="shared" si="1"/>
        <v>-</v>
      </c>
      <c r="V51" t="str">
        <f t="shared" si="2"/>
        <v>-</v>
      </c>
      <c r="W51" t="str">
        <f t="shared" si="3"/>
        <v>-</v>
      </c>
      <c r="X51" t="str">
        <f t="shared" si="4"/>
        <v>-</v>
      </c>
      <c r="Y51" t="str">
        <f t="shared" si="5"/>
        <v>-</v>
      </c>
      <c r="Z51" t="str">
        <f t="shared" si="6"/>
        <v>-</v>
      </c>
      <c r="AA51" t="str">
        <f t="shared" si="7"/>
        <v>-</v>
      </c>
      <c r="AB51" t="str">
        <f>IF(_xlfn.IFNA(VLOOKUP(P51,Set_Ref!$B$6:$B$1048576,1,FALSE),"")&lt;&gt;"","-",FALSE)</f>
        <v>-</v>
      </c>
      <c r="AC51" t="str">
        <f t="shared" si="8"/>
        <v>-</v>
      </c>
      <c r="AD51" t="str">
        <f t="shared" si="9"/>
        <v>-</v>
      </c>
      <c r="AE51" t="b">
        <f t="shared" si="10"/>
        <v>1</v>
      </c>
    </row>
    <row r="52" spans="1:31" x14ac:dyDescent="0.25">
      <c r="A52">
        <v>1</v>
      </c>
      <c r="B52">
        <v>50</v>
      </c>
      <c r="C52">
        <v>261</v>
      </c>
      <c r="D52" s="11" t="s">
        <v>149</v>
      </c>
      <c r="E52" t="s">
        <v>293</v>
      </c>
      <c r="F52" t="s">
        <v>184</v>
      </c>
      <c r="G52" s="11" t="s">
        <v>446</v>
      </c>
      <c r="H52">
        <v>7</v>
      </c>
      <c r="I52" s="11" t="s">
        <v>427</v>
      </c>
      <c r="J52" t="s">
        <v>297</v>
      </c>
      <c r="K52" t="s">
        <v>239</v>
      </c>
      <c r="L52" s="11" t="s">
        <v>39</v>
      </c>
      <c r="M52" s="11" t="s">
        <v>39</v>
      </c>
      <c r="N52" s="11" t="s">
        <v>39</v>
      </c>
      <c r="O52" s="11" t="s">
        <v>39</v>
      </c>
      <c r="P52" t="s">
        <v>9</v>
      </c>
      <c r="Q52">
        <v>340</v>
      </c>
      <c r="R52">
        <v>0</v>
      </c>
      <c r="S52">
        <v>0</v>
      </c>
      <c r="T52" t="str">
        <f t="shared" si="0"/>
        <v>-</v>
      </c>
      <c r="U52" t="str">
        <f t="shared" si="1"/>
        <v>-</v>
      </c>
      <c r="V52" t="str">
        <f t="shared" si="2"/>
        <v>-</v>
      </c>
      <c r="W52" t="str">
        <f t="shared" si="3"/>
        <v>-</v>
      </c>
      <c r="X52" t="str">
        <f t="shared" si="4"/>
        <v>-</v>
      </c>
      <c r="Y52" t="str">
        <f t="shared" si="5"/>
        <v>-</v>
      </c>
      <c r="Z52" t="str">
        <f t="shared" si="6"/>
        <v>-</v>
      </c>
      <c r="AA52" t="str">
        <f t="shared" si="7"/>
        <v>-</v>
      </c>
      <c r="AB52" t="str">
        <f>IF(_xlfn.IFNA(VLOOKUP(P52,Set_Ref!$B$6:$B$1048576,1,FALSE),"")&lt;&gt;"","-",FALSE)</f>
        <v>-</v>
      </c>
      <c r="AC52" t="str">
        <f t="shared" si="8"/>
        <v>-</v>
      </c>
      <c r="AD52" t="str">
        <f t="shared" si="9"/>
        <v>-</v>
      </c>
      <c r="AE52" t="b">
        <f t="shared" si="10"/>
        <v>1</v>
      </c>
    </row>
    <row r="53" spans="1:31" x14ac:dyDescent="0.25">
      <c r="A53">
        <v>1</v>
      </c>
      <c r="B53">
        <v>51</v>
      </c>
      <c r="C53">
        <v>261</v>
      </c>
      <c r="D53" s="11" t="s">
        <v>149</v>
      </c>
      <c r="E53" t="s">
        <v>293</v>
      </c>
      <c r="F53" t="s">
        <v>184</v>
      </c>
      <c r="G53" s="11" t="s">
        <v>446</v>
      </c>
      <c r="H53">
        <v>4</v>
      </c>
      <c r="I53" s="11" t="s">
        <v>427</v>
      </c>
      <c r="J53" t="s">
        <v>448</v>
      </c>
      <c r="K53" t="s">
        <v>237</v>
      </c>
      <c r="L53" s="11" t="s">
        <v>39</v>
      </c>
      <c r="M53" s="11" t="s">
        <v>39</v>
      </c>
      <c r="N53" s="11" t="s">
        <v>39</v>
      </c>
      <c r="O53" s="11" t="s">
        <v>39</v>
      </c>
      <c r="P53" t="s">
        <v>9</v>
      </c>
      <c r="Q53">
        <v>20</v>
      </c>
      <c r="R53">
        <v>0</v>
      </c>
      <c r="S53">
        <v>0</v>
      </c>
      <c r="T53" t="str">
        <f t="shared" si="0"/>
        <v>-</v>
      </c>
      <c r="U53" t="str">
        <f t="shared" si="1"/>
        <v>-</v>
      </c>
      <c r="V53" t="str">
        <f t="shared" si="2"/>
        <v>-</v>
      </c>
      <c r="W53" t="str">
        <f t="shared" si="3"/>
        <v>-</v>
      </c>
      <c r="X53" t="str">
        <f t="shared" si="4"/>
        <v>-</v>
      </c>
      <c r="Y53" t="str">
        <f t="shared" si="5"/>
        <v>-</v>
      </c>
      <c r="Z53" t="str">
        <f t="shared" si="6"/>
        <v>-</v>
      </c>
      <c r="AA53" t="str">
        <f t="shared" si="7"/>
        <v>-</v>
      </c>
      <c r="AB53" t="str">
        <f>IF(_xlfn.IFNA(VLOOKUP(P53,Set_Ref!$B$6:$B$1048576,1,FALSE),"")&lt;&gt;"","-",FALSE)</f>
        <v>-</v>
      </c>
      <c r="AC53" t="str">
        <f t="shared" si="8"/>
        <v>-</v>
      </c>
      <c r="AD53" t="str">
        <f t="shared" si="9"/>
        <v>-</v>
      </c>
      <c r="AE53" t="b">
        <f t="shared" si="10"/>
        <v>1</v>
      </c>
    </row>
    <row r="54" spans="1:31" x14ac:dyDescent="0.25">
      <c r="A54">
        <v>1</v>
      </c>
      <c r="B54">
        <v>52</v>
      </c>
      <c r="C54">
        <v>261</v>
      </c>
      <c r="D54" s="11" t="s">
        <v>149</v>
      </c>
      <c r="E54" t="s">
        <v>293</v>
      </c>
      <c r="F54" t="s">
        <v>184</v>
      </c>
      <c r="G54" s="11" t="s">
        <v>446</v>
      </c>
      <c r="H54">
        <v>4</v>
      </c>
      <c r="I54" s="11" t="s">
        <v>427</v>
      </c>
      <c r="J54" t="s">
        <v>448</v>
      </c>
      <c r="K54" t="s">
        <v>237</v>
      </c>
      <c r="L54" s="11" t="s">
        <v>39</v>
      </c>
      <c r="M54" s="11" t="s">
        <v>39</v>
      </c>
      <c r="N54" s="11" t="s">
        <v>39</v>
      </c>
      <c r="O54" s="11" t="s">
        <v>39</v>
      </c>
      <c r="P54" t="s">
        <v>9</v>
      </c>
      <c r="Q54">
        <v>10</v>
      </c>
      <c r="R54">
        <v>0</v>
      </c>
      <c r="S54">
        <v>0</v>
      </c>
      <c r="T54" t="str">
        <f t="shared" si="0"/>
        <v>-</v>
      </c>
      <c r="U54" t="str">
        <f t="shared" si="1"/>
        <v>-</v>
      </c>
      <c r="V54" t="str">
        <f t="shared" si="2"/>
        <v>-</v>
      </c>
      <c r="W54" t="str">
        <f t="shared" si="3"/>
        <v>-</v>
      </c>
      <c r="X54" t="str">
        <f t="shared" si="4"/>
        <v>-</v>
      </c>
      <c r="Y54" t="str">
        <f t="shared" si="5"/>
        <v>-</v>
      </c>
      <c r="Z54" t="str">
        <f t="shared" si="6"/>
        <v>-</v>
      </c>
      <c r="AA54" t="str">
        <f t="shared" si="7"/>
        <v>-</v>
      </c>
      <c r="AB54" t="str">
        <f>IF(_xlfn.IFNA(VLOOKUP(P54,Set_Ref!$B$6:$B$1048576,1,FALSE),"")&lt;&gt;"","-",FALSE)</f>
        <v>-</v>
      </c>
      <c r="AC54" t="str">
        <f t="shared" si="8"/>
        <v>-</v>
      </c>
      <c r="AD54" t="str">
        <f t="shared" si="9"/>
        <v>-</v>
      </c>
      <c r="AE54" t="b">
        <f t="shared" si="10"/>
        <v>1</v>
      </c>
    </row>
    <row r="55" spans="1:31" x14ac:dyDescent="0.25">
      <c r="A55">
        <v>1</v>
      </c>
      <c r="B55">
        <v>53</v>
      </c>
      <c r="C55">
        <v>261</v>
      </c>
      <c r="D55" s="11" t="s">
        <v>149</v>
      </c>
      <c r="E55" t="s">
        <v>293</v>
      </c>
      <c r="F55" t="s">
        <v>184</v>
      </c>
      <c r="G55" s="11" t="s">
        <v>446</v>
      </c>
      <c r="H55">
        <v>4</v>
      </c>
      <c r="I55" s="11" t="s">
        <v>427</v>
      </c>
      <c r="J55" t="s">
        <v>448</v>
      </c>
      <c r="K55" t="s">
        <v>237</v>
      </c>
      <c r="L55" s="11" t="s">
        <v>39</v>
      </c>
      <c r="M55" s="11" t="s">
        <v>39</v>
      </c>
      <c r="N55" s="11" t="s">
        <v>39</v>
      </c>
      <c r="O55" s="11" t="s">
        <v>39</v>
      </c>
      <c r="P55" t="s">
        <v>9</v>
      </c>
      <c r="Q55">
        <v>20</v>
      </c>
      <c r="R55">
        <v>0</v>
      </c>
      <c r="S55">
        <v>0</v>
      </c>
      <c r="T55" t="str">
        <f t="shared" si="0"/>
        <v>-</v>
      </c>
      <c r="U55" t="str">
        <f t="shared" si="1"/>
        <v>-</v>
      </c>
      <c r="V55" t="str">
        <f t="shared" si="2"/>
        <v>-</v>
      </c>
      <c r="W55" t="str">
        <f t="shared" si="3"/>
        <v>-</v>
      </c>
      <c r="X55" t="str">
        <f t="shared" si="4"/>
        <v>-</v>
      </c>
      <c r="Y55" t="str">
        <f t="shared" si="5"/>
        <v>-</v>
      </c>
      <c r="Z55" t="str">
        <f t="shared" si="6"/>
        <v>-</v>
      </c>
      <c r="AA55" t="str">
        <f t="shared" si="7"/>
        <v>-</v>
      </c>
      <c r="AB55" t="str">
        <f>IF(_xlfn.IFNA(VLOOKUP(P55,Set_Ref!$B$6:$B$1048576,1,FALSE),"")&lt;&gt;"","-",FALSE)</f>
        <v>-</v>
      </c>
      <c r="AC55" t="str">
        <f t="shared" si="8"/>
        <v>-</v>
      </c>
      <c r="AD55" t="str">
        <f t="shared" si="9"/>
        <v>-</v>
      </c>
      <c r="AE55" t="b">
        <f t="shared" si="10"/>
        <v>1</v>
      </c>
    </row>
    <row r="56" spans="1:31" x14ac:dyDescent="0.25">
      <c r="A56">
        <v>1</v>
      </c>
      <c r="B56">
        <v>54</v>
      </c>
      <c r="C56">
        <v>261</v>
      </c>
      <c r="D56" s="11" t="s">
        <v>149</v>
      </c>
      <c r="E56" t="s">
        <v>293</v>
      </c>
      <c r="F56" t="s">
        <v>184</v>
      </c>
      <c r="G56" s="11" t="s">
        <v>446</v>
      </c>
      <c r="H56">
        <v>4</v>
      </c>
      <c r="I56" s="11" t="s">
        <v>427</v>
      </c>
      <c r="J56" t="s">
        <v>448</v>
      </c>
      <c r="K56" t="s">
        <v>237</v>
      </c>
      <c r="L56" s="11" t="s">
        <v>39</v>
      </c>
      <c r="M56" s="11" t="s">
        <v>39</v>
      </c>
      <c r="N56" s="11" t="s">
        <v>39</v>
      </c>
      <c r="O56" s="11" t="s">
        <v>39</v>
      </c>
      <c r="P56" t="s">
        <v>9</v>
      </c>
      <c r="Q56">
        <v>40</v>
      </c>
      <c r="R56">
        <v>0</v>
      </c>
      <c r="S56">
        <v>0</v>
      </c>
      <c r="T56" t="str">
        <f t="shared" si="0"/>
        <v>-</v>
      </c>
      <c r="U56" t="str">
        <f t="shared" si="1"/>
        <v>-</v>
      </c>
      <c r="V56" t="str">
        <f t="shared" si="2"/>
        <v>-</v>
      </c>
      <c r="W56" t="str">
        <f t="shared" si="3"/>
        <v>-</v>
      </c>
      <c r="X56" t="str">
        <f t="shared" si="4"/>
        <v>-</v>
      </c>
      <c r="Y56" t="str">
        <f t="shared" si="5"/>
        <v>-</v>
      </c>
      <c r="Z56" t="str">
        <f t="shared" si="6"/>
        <v>-</v>
      </c>
      <c r="AA56" t="str">
        <f t="shared" si="7"/>
        <v>-</v>
      </c>
      <c r="AB56" t="str">
        <f>IF(_xlfn.IFNA(VLOOKUP(P56,Set_Ref!$B$6:$B$1048576,1,FALSE),"")&lt;&gt;"","-",FALSE)</f>
        <v>-</v>
      </c>
      <c r="AC56" t="str">
        <f t="shared" si="8"/>
        <v>-</v>
      </c>
      <c r="AD56" t="str">
        <f t="shared" si="9"/>
        <v>-</v>
      </c>
      <c r="AE56" t="b">
        <f t="shared" si="10"/>
        <v>1</v>
      </c>
    </row>
    <row r="57" spans="1:31" x14ac:dyDescent="0.25">
      <c r="A57">
        <v>1</v>
      </c>
      <c r="B57">
        <v>55</v>
      </c>
      <c r="C57">
        <v>261</v>
      </c>
      <c r="D57" s="11" t="s">
        <v>149</v>
      </c>
      <c r="E57" t="s">
        <v>293</v>
      </c>
      <c r="F57" t="s">
        <v>184</v>
      </c>
      <c r="G57" s="11" t="s">
        <v>446</v>
      </c>
      <c r="H57">
        <v>4</v>
      </c>
      <c r="I57" s="11" t="s">
        <v>427</v>
      </c>
      <c r="J57" t="s">
        <v>448</v>
      </c>
      <c r="K57" t="s">
        <v>237</v>
      </c>
      <c r="L57" s="11" t="s">
        <v>39</v>
      </c>
      <c r="M57" s="11" t="s">
        <v>39</v>
      </c>
      <c r="N57" s="11" t="s">
        <v>39</v>
      </c>
      <c r="O57" s="11" t="s">
        <v>39</v>
      </c>
      <c r="P57" t="s">
        <v>9</v>
      </c>
      <c r="Q57">
        <v>30</v>
      </c>
      <c r="R57">
        <v>0</v>
      </c>
      <c r="S57">
        <v>0</v>
      </c>
      <c r="T57" t="str">
        <f t="shared" si="0"/>
        <v>-</v>
      </c>
      <c r="U57" t="str">
        <f t="shared" si="1"/>
        <v>-</v>
      </c>
      <c r="V57" t="str">
        <f t="shared" si="2"/>
        <v>-</v>
      </c>
      <c r="W57" t="str">
        <f t="shared" si="3"/>
        <v>-</v>
      </c>
      <c r="X57" t="str">
        <f t="shared" si="4"/>
        <v>-</v>
      </c>
      <c r="Y57" t="str">
        <f t="shared" si="5"/>
        <v>-</v>
      </c>
      <c r="Z57" t="str">
        <f t="shared" si="6"/>
        <v>-</v>
      </c>
      <c r="AA57" t="str">
        <f t="shared" si="7"/>
        <v>-</v>
      </c>
      <c r="AB57" t="str">
        <f>IF(_xlfn.IFNA(VLOOKUP(P57,Set_Ref!$B$6:$B$1048576,1,FALSE),"")&lt;&gt;"","-",FALSE)</f>
        <v>-</v>
      </c>
      <c r="AC57" t="str">
        <f t="shared" si="8"/>
        <v>-</v>
      </c>
      <c r="AD57" t="str">
        <f t="shared" si="9"/>
        <v>-</v>
      </c>
      <c r="AE57" t="b">
        <f t="shared" si="10"/>
        <v>1</v>
      </c>
    </row>
    <row r="58" spans="1:31" x14ac:dyDescent="0.25">
      <c r="A58">
        <v>1</v>
      </c>
      <c r="B58">
        <v>56</v>
      </c>
      <c r="C58">
        <v>261</v>
      </c>
      <c r="D58" s="11" t="s">
        <v>149</v>
      </c>
      <c r="E58" t="s">
        <v>293</v>
      </c>
      <c r="F58" t="s">
        <v>184</v>
      </c>
      <c r="G58" s="11" t="s">
        <v>446</v>
      </c>
      <c r="H58">
        <v>4</v>
      </c>
      <c r="I58" s="11" t="s">
        <v>427</v>
      </c>
      <c r="J58" t="s">
        <v>448</v>
      </c>
      <c r="K58" t="s">
        <v>237</v>
      </c>
      <c r="L58" s="11" t="s">
        <v>39</v>
      </c>
      <c r="M58" s="11" t="s">
        <v>39</v>
      </c>
      <c r="N58" s="11" t="s">
        <v>39</v>
      </c>
      <c r="O58" s="11" t="s">
        <v>39</v>
      </c>
      <c r="P58" t="s">
        <v>9</v>
      </c>
      <c r="Q58">
        <v>75</v>
      </c>
      <c r="R58">
        <v>0</v>
      </c>
      <c r="S58">
        <v>0</v>
      </c>
      <c r="T58" t="str">
        <f t="shared" si="0"/>
        <v>-</v>
      </c>
      <c r="U58" t="str">
        <f t="shared" si="1"/>
        <v>-</v>
      </c>
      <c r="V58" t="str">
        <f t="shared" si="2"/>
        <v>-</v>
      </c>
      <c r="W58" t="str">
        <f t="shared" si="3"/>
        <v>-</v>
      </c>
      <c r="X58" t="str">
        <f t="shared" si="4"/>
        <v>-</v>
      </c>
      <c r="Y58" t="str">
        <f t="shared" si="5"/>
        <v>-</v>
      </c>
      <c r="Z58" t="str">
        <f t="shared" si="6"/>
        <v>-</v>
      </c>
      <c r="AA58" t="str">
        <f t="shared" si="7"/>
        <v>-</v>
      </c>
      <c r="AB58" t="str">
        <f>IF(_xlfn.IFNA(VLOOKUP(P58,Set_Ref!$B$6:$B$1048576,1,FALSE),"")&lt;&gt;"","-",FALSE)</f>
        <v>-</v>
      </c>
      <c r="AC58" t="str">
        <f t="shared" si="8"/>
        <v>-</v>
      </c>
      <c r="AD58" t="str">
        <f t="shared" si="9"/>
        <v>-</v>
      </c>
      <c r="AE58" t="b">
        <f t="shared" si="10"/>
        <v>1</v>
      </c>
    </row>
    <row r="59" spans="1:31" x14ac:dyDescent="0.25">
      <c r="A59">
        <v>1</v>
      </c>
      <c r="B59">
        <v>57</v>
      </c>
      <c r="C59">
        <v>261</v>
      </c>
      <c r="D59" s="11" t="s">
        <v>149</v>
      </c>
      <c r="E59" t="s">
        <v>293</v>
      </c>
      <c r="F59" t="s">
        <v>184</v>
      </c>
      <c r="G59" s="11" t="s">
        <v>446</v>
      </c>
      <c r="H59">
        <v>4</v>
      </c>
      <c r="I59" s="11" t="s">
        <v>427</v>
      </c>
      <c r="J59" t="s">
        <v>448</v>
      </c>
      <c r="K59" t="s">
        <v>237</v>
      </c>
      <c r="L59" s="11" t="s">
        <v>39</v>
      </c>
      <c r="M59" s="11" t="s">
        <v>39</v>
      </c>
      <c r="N59" s="11" t="s">
        <v>39</v>
      </c>
      <c r="O59" s="11" t="s">
        <v>39</v>
      </c>
      <c r="P59" t="s">
        <v>9</v>
      </c>
      <c r="Q59">
        <v>105</v>
      </c>
      <c r="R59">
        <v>0</v>
      </c>
      <c r="S59">
        <v>0</v>
      </c>
      <c r="T59" t="str">
        <f t="shared" si="0"/>
        <v>-</v>
      </c>
      <c r="U59" t="str">
        <f t="shared" si="1"/>
        <v>-</v>
      </c>
      <c r="V59" t="str">
        <f t="shared" si="2"/>
        <v>-</v>
      </c>
      <c r="W59" t="str">
        <f t="shared" si="3"/>
        <v>-</v>
      </c>
      <c r="X59" t="str">
        <f t="shared" si="4"/>
        <v>-</v>
      </c>
      <c r="Y59" t="str">
        <f t="shared" si="5"/>
        <v>-</v>
      </c>
      <c r="Z59" t="str">
        <f t="shared" si="6"/>
        <v>-</v>
      </c>
      <c r="AA59" t="str">
        <f t="shared" si="7"/>
        <v>-</v>
      </c>
      <c r="AB59" t="str">
        <f>IF(_xlfn.IFNA(VLOOKUP(P59,Set_Ref!$B$6:$B$1048576,1,FALSE),"")&lt;&gt;"","-",FALSE)</f>
        <v>-</v>
      </c>
      <c r="AC59" t="str">
        <f t="shared" si="8"/>
        <v>-</v>
      </c>
      <c r="AD59" t="str">
        <f t="shared" si="9"/>
        <v>-</v>
      </c>
      <c r="AE59" t="b">
        <f t="shared" si="10"/>
        <v>1</v>
      </c>
    </row>
    <row r="60" spans="1:31" x14ac:dyDescent="0.25">
      <c r="A60">
        <v>1</v>
      </c>
      <c r="B60">
        <v>58</v>
      </c>
      <c r="C60">
        <v>261</v>
      </c>
      <c r="D60" s="11" t="s">
        <v>149</v>
      </c>
      <c r="E60" t="s">
        <v>293</v>
      </c>
      <c r="F60" t="s">
        <v>184</v>
      </c>
      <c r="G60" s="11" t="s">
        <v>446</v>
      </c>
      <c r="H60">
        <v>4</v>
      </c>
      <c r="I60" s="11" t="s">
        <v>427</v>
      </c>
      <c r="J60" t="s">
        <v>448</v>
      </c>
      <c r="K60" t="s">
        <v>237</v>
      </c>
      <c r="L60" s="11" t="s">
        <v>39</v>
      </c>
      <c r="M60" s="11" t="s">
        <v>39</v>
      </c>
      <c r="N60" s="11" t="s">
        <v>39</v>
      </c>
      <c r="O60" s="11" t="s">
        <v>39</v>
      </c>
      <c r="P60" t="s">
        <v>9</v>
      </c>
      <c r="Q60">
        <v>70</v>
      </c>
      <c r="R60">
        <v>0</v>
      </c>
      <c r="S60">
        <v>0</v>
      </c>
      <c r="T60" t="str">
        <f t="shared" si="0"/>
        <v>-</v>
      </c>
      <c r="U60" t="str">
        <f t="shared" si="1"/>
        <v>-</v>
      </c>
      <c r="V60" t="str">
        <f t="shared" si="2"/>
        <v>-</v>
      </c>
      <c r="W60" t="str">
        <f t="shared" si="3"/>
        <v>-</v>
      </c>
      <c r="X60" t="str">
        <f t="shared" si="4"/>
        <v>-</v>
      </c>
      <c r="Y60" t="str">
        <f t="shared" si="5"/>
        <v>-</v>
      </c>
      <c r="Z60" t="str">
        <f t="shared" si="6"/>
        <v>-</v>
      </c>
      <c r="AA60" t="str">
        <f t="shared" si="7"/>
        <v>-</v>
      </c>
      <c r="AB60" t="str">
        <f>IF(_xlfn.IFNA(VLOOKUP(P60,Set_Ref!$B$6:$B$1048576,1,FALSE),"")&lt;&gt;"","-",FALSE)</f>
        <v>-</v>
      </c>
      <c r="AC60" t="str">
        <f t="shared" si="8"/>
        <v>-</v>
      </c>
      <c r="AD60" t="str">
        <f t="shared" si="9"/>
        <v>-</v>
      </c>
      <c r="AE60" t="b">
        <f t="shared" si="10"/>
        <v>1</v>
      </c>
    </row>
    <row r="61" spans="1:31" x14ac:dyDescent="0.25">
      <c r="A61">
        <v>1</v>
      </c>
      <c r="B61">
        <v>59</v>
      </c>
      <c r="C61">
        <v>261</v>
      </c>
      <c r="D61" s="11" t="s">
        <v>149</v>
      </c>
      <c r="E61" t="s">
        <v>293</v>
      </c>
      <c r="F61" t="s">
        <v>184</v>
      </c>
      <c r="G61" s="11" t="s">
        <v>446</v>
      </c>
      <c r="H61">
        <v>4</v>
      </c>
      <c r="I61" s="11" t="s">
        <v>427</v>
      </c>
      <c r="J61" t="s">
        <v>448</v>
      </c>
      <c r="K61" t="s">
        <v>237</v>
      </c>
      <c r="L61" s="11" t="s">
        <v>39</v>
      </c>
      <c r="M61" s="11" t="s">
        <v>39</v>
      </c>
      <c r="N61" s="11" t="s">
        <v>39</v>
      </c>
      <c r="O61" s="11" t="s">
        <v>39</v>
      </c>
      <c r="P61" t="s">
        <v>9</v>
      </c>
      <c r="Q61">
        <v>20</v>
      </c>
      <c r="R61">
        <v>0</v>
      </c>
      <c r="S61">
        <v>0</v>
      </c>
      <c r="T61" t="str">
        <f t="shared" si="0"/>
        <v>-</v>
      </c>
      <c r="U61" t="str">
        <f t="shared" si="1"/>
        <v>-</v>
      </c>
      <c r="V61" t="str">
        <f t="shared" si="2"/>
        <v>-</v>
      </c>
      <c r="W61" t="str">
        <f t="shared" si="3"/>
        <v>-</v>
      </c>
      <c r="X61" t="str">
        <f t="shared" si="4"/>
        <v>-</v>
      </c>
      <c r="Y61" t="str">
        <f t="shared" si="5"/>
        <v>-</v>
      </c>
      <c r="Z61" t="str">
        <f t="shared" si="6"/>
        <v>-</v>
      </c>
      <c r="AA61" t="str">
        <f t="shared" si="7"/>
        <v>-</v>
      </c>
      <c r="AB61" t="str">
        <f>IF(_xlfn.IFNA(VLOOKUP(P61,Set_Ref!$B$6:$B$1048576,1,FALSE),"")&lt;&gt;"","-",FALSE)</f>
        <v>-</v>
      </c>
      <c r="AC61" t="str">
        <f t="shared" si="8"/>
        <v>-</v>
      </c>
      <c r="AD61" t="str">
        <f t="shared" si="9"/>
        <v>-</v>
      </c>
      <c r="AE61" t="b">
        <f t="shared" si="10"/>
        <v>1</v>
      </c>
    </row>
    <row r="62" spans="1:31" x14ac:dyDescent="0.25">
      <c r="A62">
        <v>1</v>
      </c>
      <c r="B62">
        <v>60</v>
      </c>
      <c r="C62">
        <v>261</v>
      </c>
      <c r="D62" s="11" t="s">
        <v>149</v>
      </c>
      <c r="E62" t="s">
        <v>293</v>
      </c>
      <c r="F62" t="s">
        <v>184</v>
      </c>
      <c r="G62" s="11" t="s">
        <v>446</v>
      </c>
      <c r="H62">
        <v>4</v>
      </c>
      <c r="I62" s="11" t="s">
        <v>427</v>
      </c>
      <c r="J62" t="s">
        <v>448</v>
      </c>
      <c r="K62" t="s">
        <v>237</v>
      </c>
      <c r="L62" s="11" t="s">
        <v>39</v>
      </c>
      <c r="M62" s="11" t="s">
        <v>39</v>
      </c>
      <c r="N62" s="11" t="s">
        <v>39</v>
      </c>
      <c r="O62" s="11" t="s">
        <v>39</v>
      </c>
      <c r="P62" t="s">
        <v>9</v>
      </c>
      <c r="Q62">
        <v>36</v>
      </c>
      <c r="R62">
        <v>0</v>
      </c>
      <c r="S62">
        <v>0</v>
      </c>
      <c r="T62" t="str">
        <f t="shared" si="0"/>
        <v>-</v>
      </c>
      <c r="U62" t="str">
        <f t="shared" si="1"/>
        <v>-</v>
      </c>
      <c r="V62" t="str">
        <f t="shared" si="2"/>
        <v>-</v>
      </c>
      <c r="W62" t="str">
        <f t="shared" si="3"/>
        <v>-</v>
      </c>
      <c r="X62" t="str">
        <f t="shared" si="4"/>
        <v>-</v>
      </c>
      <c r="Y62" t="str">
        <f t="shared" si="5"/>
        <v>-</v>
      </c>
      <c r="Z62" t="str">
        <f t="shared" si="6"/>
        <v>-</v>
      </c>
      <c r="AA62" t="str">
        <f t="shared" si="7"/>
        <v>-</v>
      </c>
      <c r="AB62" t="str">
        <f>IF(_xlfn.IFNA(VLOOKUP(P62,Set_Ref!$B$6:$B$1048576,1,FALSE),"")&lt;&gt;"","-",FALSE)</f>
        <v>-</v>
      </c>
      <c r="AC62" t="str">
        <f t="shared" si="8"/>
        <v>-</v>
      </c>
      <c r="AD62" t="str">
        <f t="shared" si="9"/>
        <v>-</v>
      </c>
      <c r="AE62" t="b">
        <f t="shared" si="10"/>
        <v>1</v>
      </c>
    </row>
    <row r="63" spans="1:31" x14ac:dyDescent="0.25">
      <c r="A63">
        <v>1</v>
      </c>
      <c r="B63">
        <v>61</v>
      </c>
      <c r="C63">
        <v>261</v>
      </c>
      <c r="D63" s="11" t="s">
        <v>149</v>
      </c>
      <c r="E63" t="s">
        <v>293</v>
      </c>
      <c r="F63" t="s">
        <v>184</v>
      </c>
      <c r="G63" s="11" t="s">
        <v>446</v>
      </c>
      <c r="H63">
        <v>4</v>
      </c>
      <c r="I63" s="11" t="s">
        <v>427</v>
      </c>
      <c r="J63" t="s">
        <v>448</v>
      </c>
      <c r="K63" t="s">
        <v>237</v>
      </c>
      <c r="L63" s="11" t="s">
        <v>39</v>
      </c>
      <c r="M63" s="11" t="s">
        <v>39</v>
      </c>
      <c r="N63" s="11" t="s">
        <v>39</v>
      </c>
      <c r="O63" s="11" t="s">
        <v>39</v>
      </c>
      <c r="P63" t="s">
        <v>9</v>
      </c>
      <c r="Q63">
        <v>30</v>
      </c>
      <c r="R63">
        <v>0</v>
      </c>
      <c r="S63">
        <v>0</v>
      </c>
      <c r="T63" t="str">
        <f t="shared" si="0"/>
        <v>-</v>
      </c>
      <c r="U63" t="str">
        <f t="shared" si="1"/>
        <v>-</v>
      </c>
      <c r="V63" t="str">
        <f t="shared" si="2"/>
        <v>-</v>
      </c>
      <c r="W63" t="str">
        <f t="shared" si="3"/>
        <v>-</v>
      </c>
      <c r="X63" t="str">
        <f t="shared" si="4"/>
        <v>-</v>
      </c>
      <c r="Y63" t="str">
        <f t="shared" si="5"/>
        <v>-</v>
      </c>
      <c r="Z63" t="str">
        <f t="shared" si="6"/>
        <v>-</v>
      </c>
      <c r="AA63" t="str">
        <f t="shared" si="7"/>
        <v>-</v>
      </c>
      <c r="AB63" t="str">
        <f>IF(_xlfn.IFNA(VLOOKUP(P63,Set_Ref!$B$6:$B$1048576,1,FALSE),"")&lt;&gt;"","-",FALSE)</f>
        <v>-</v>
      </c>
      <c r="AC63" t="str">
        <f t="shared" si="8"/>
        <v>-</v>
      </c>
      <c r="AD63" t="str">
        <f t="shared" si="9"/>
        <v>-</v>
      </c>
      <c r="AE63" t="b">
        <f t="shared" si="10"/>
        <v>1</v>
      </c>
    </row>
    <row r="64" spans="1:31" x14ac:dyDescent="0.25">
      <c r="A64">
        <v>1</v>
      </c>
      <c r="B64">
        <v>62</v>
      </c>
      <c r="C64">
        <v>261</v>
      </c>
      <c r="D64" s="11" t="s">
        <v>149</v>
      </c>
      <c r="E64" t="s">
        <v>293</v>
      </c>
      <c r="F64" t="s">
        <v>184</v>
      </c>
      <c r="G64" s="11" t="s">
        <v>446</v>
      </c>
      <c r="H64">
        <v>4</v>
      </c>
      <c r="I64" s="11" t="s">
        <v>427</v>
      </c>
      <c r="J64" t="s">
        <v>448</v>
      </c>
      <c r="K64" t="s">
        <v>237</v>
      </c>
      <c r="L64" s="11" t="s">
        <v>39</v>
      </c>
      <c r="M64" s="11" t="s">
        <v>39</v>
      </c>
      <c r="N64" s="11" t="s">
        <v>39</v>
      </c>
      <c r="O64" s="11" t="s">
        <v>39</v>
      </c>
      <c r="P64" t="s">
        <v>9</v>
      </c>
      <c r="Q64">
        <v>76</v>
      </c>
      <c r="R64">
        <v>0</v>
      </c>
      <c r="S64">
        <v>0</v>
      </c>
      <c r="T64" t="str">
        <f t="shared" si="0"/>
        <v>-</v>
      </c>
      <c r="U64" t="str">
        <f t="shared" si="1"/>
        <v>-</v>
      </c>
      <c r="V64" t="str">
        <f t="shared" si="2"/>
        <v>-</v>
      </c>
      <c r="W64" t="str">
        <f t="shared" si="3"/>
        <v>-</v>
      </c>
      <c r="X64" t="str">
        <f t="shared" si="4"/>
        <v>-</v>
      </c>
      <c r="Y64" t="str">
        <f t="shared" si="5"/>
        <v>-</v>
      </c>
      <c r="Z64" t="str">
        <f t="shared" si="6"/>
        <v>-</v>
      </c>
      <c r="AA64" t="str">
        <f t="shared" si="7"/>
        <v>-</v>
      </c>
      <c r="AB64" t="str">
        <f>IF(_xlfn.IFNA(VLOOKUP(P64,Set_Ref!$B$6:$B$1048576,1,FALSE),"")&lt;&gt;"","-",FALSE)</f>
        <v>-</v>
      </c>
      <c r="AC64" t="str">
        <f t="shared" si="8"/>
        <v>-</v>
      </c>
      <c r="AD64" t="str">
        <f t="shared" si="9"/>
        <v>-</v>
      </c>
      <c r="AE64" t="b">
        <f t="shared" si="10"/>
        <v>1</v>
      </c>
    </row>
    <row r="65" spans="1:31" x14ac:dyDescent="0.25">
      <c r="A65">
        <v>1</v>
      </c>
      <c r="B65">
        <v>63</v>
      </c>
      <c r="C65">
        <v>261</v>
      </c>
      <c r="D65" s="11" t="s">
        <v>149</v>
      </c>
      <c r="E65" t="s">
        <v>293</v>
      </c>
      <c r="F65" t="s">
        <v>184</v>
      </c>
      <c r="G65" s="11" t="s">
        <v>446</v>
      </c>
      <c r="H65">
        <v>4</v>
      </c>
      <c r="I65" s="11" t="s">
        <v>427</v>
      </c>
      <c r="J65" t="s">
        <v>448</v>
      </c>
      <c r="K65" t="s">
        <v>237</v>
      </c>
      <c r="L65" s="11" t="s">
        <v>39</v>
      </c>
      <c r="M65" s="11" t="s">
        <v>39</v>
      </c>
      <c r="N65" s="11" t="s">
        <v>39</v>
      </c>
      <c r="O65" s="11" t="s">
        <v>39</v>
      </c>
      <c r="P65" t="s">
        <v>9</v>
      </c>
      <c r="Q65">
        <v>37</v>
      </c>
      <c r="R65">
        <v>0</v>
      </c>
      <c r="S65">
        <v>0</v>
      </c>
      <c r="T65" t="str">
        <f t="shared" si="0"/>
        <v>-</v>
      </c>
      <c r="U65" t="str">
        <f t="shared" si="1"/>
        <v>-</v>
      </c>
      <c r="V65" t="str">
        <f t="shared" si="2"/>
        <v>-</v>
      </c>
      <c r="W65" t="str">
        <f t="shared" si="3"/>
        <v>-</v>
      </c>
      <c r="X65" t="str">
        <f t="shared" si="4"/>
        <v>-</v>
      </c>
      <c r="Y65" t="str">
        <f t="shared" si="5"/>
        <v>-</v>
      </c>
      <c r="Z65" t="str">
        <f t="shared" si="6"/>
        <v>-</v>
      </c>
      <c r="AA65" t="str">
        <f t="shared" si="7"/>
        <v>-</v>
      </c>
      <c r="AB65" t="str">
        <f>IF(_xlfn.IFNA(VLOOKUP(P65,Set_Ref!$B$6:$B$1048576,1,FALSE),"")&lt;&gt;"","-",FALSE)</f>
        <v>-</v>
      </c>
      <c r="AC65" t="str">
        <f t="shared" si="8"/>
        <v>-</v>
      </c>
      <c r="AD65" t="str">
        <f t="shared" si="9"/>
        <v>-</v>
      </c>
      <c r="AE65" t="b">
        <f t="shared" si="10"/>
        <v>1</v>
      </c>
    </row>
    <row r="66" spans="1:31" x14ac:dyDescent="0.25">
      <c r="A66">
        <v>1</v>
      </c>
      <c r="B66">
        <v>64</v>
      </c>
      <c r="C66">
        <v>261</v>
      </c>
      <c r="D66" s="11" t="s">
        <v>149</v>
      </c>
      <c r="E66" t="s">
        <v>293</v>
      </c>
      <c r="F66" t="s">
        <v>184</v>
      </c>
      <c r="G66" s="11" t="s">
        <v>446</v>
      </c>
      <c r="H66">
        <v>4</v>
      </c>
      <c r="I66" s="11" t="s">
        <v>427</v>
      </c>
      <c r="J66" t="s">
        <v>448</v>
      </c>
      <c r="K66" t="s">
        <v>237</v>
      </c>
      <c r="L66" s="11" t="s">
        <v>39</v>
      </c>
      <c r="M66" s="11" t="s">
        <v>39</v>
      </c>
      <c r="N66" s="11" t="s">
        <v>39</v>
      </c>
      <c r="O66" s="11" t="s">
        <v>39</v>
      </c>
      <c r="P66" t="s">
        <v>9</v>
      </c>
      <c r="Q66">
        <v>20</v>
      </c>
      <c r="R66">
        <v>0</v>
      </c>
      <c r="S66">
        <v>0</v>
      </c>
      <c r="T66" t="str">
        <f t="shared" si="0"/>
        <v>-</v>
      </c>
      <c r="U66" t="str">
        <f t="shared" si="1"/>
        <v>-</v>
      </c>
      <c r="V66" t="str">
        <f t="shared" si="2"/>
        <v>-</v>
      </c>
      <c r="W66" t="str">
        <f t="shared" si="3"/>
        <v>-</v>
      </c>
      <c r="X66" t="str">
        <f t="shared" si="4"/>
        <v>-</v>
      </c>
      <c r="Y66" t="str">
        <f t="shared" si="5"/>
        <v>-</v>
      </c>
      <c r="Z66" t="str">
        <f t="shared" si="6"/>
        <v>-</v>
      </c>
      <c r="AA66" t="str">
        <f t="shared" si="7"/>
        <v>-</v>
      </c>
      <c r="AB66" t="str">
        <f>IF(_xlfn.IFNA(VLOOKUP(P66,Set_Ref!$B$6:$B$1048576,1,FALSE),"")&lt;&gt;"","-",FALSE)</f>
        <v>-</v>
      </c>
      <c r="AC66" t="str">
        <f t="shared" si="8"/>
        <v>-</v>
      </c>
      <c r="AD66" t="str">
        <f t="shared" si="9"/>
        <v>-</v>
      </c>
      <c r="AE66" t="b">
        <f t="shared" si="10"/>
        <v>1</v>
      </c>
    </row>
    <row r="67" spans="1:31" x14ac:dyDescent="0.25">
      <c r="A67">
        <v>1</v>
      </c>
      <c r="B67">
        <v>65</v>
      </c>
      <c r="C67">
        <v>261</v>
      </c>
      <c r="D67" s="11" t="s">
        <v>149</v>
      </c>
      <c r="E67" t="s">
        <v>293</v>
      </c>
      <c r="F67" t="s">
        <v>184</v>
      </c>
      <c r="G67" s="11" t="s">
        <v>446</v>
      </c>
      <c r="H67">
        <v>4</v>
      </c>
      <c r="I67" s="11" t="s">
        <v>427</v>
      </c>
      <c r="J67" t="s">
        <v>448</v>
      </c>
      <c r="K67" t="s">
        <v>237</v>
      </c>
      <c r="L67" s="11" t="s">
        <v>39</v>
      </c>
      <c r="M67" s="11" t="s">
        <v>39</v>
      </c>
      <c r="N67" s="11" t="s">
        <v>39</v>
      </c>
      <c r="O67" s="11" t="s">
        <v>39</v>
      </c>
      <c r="P67" t="s">
        <v>9</v>
      </c>
      <c r="Q67">
        <v>30</v>
      </c>
      <c r="R67">
        <v>0</v>
      </c>
      <c r="S67">
        <v>0</v>
      </c>
      <c r="T67" t="str">
        <f t="shared" ref="T67:T130" si="11">IF(OR(A67="",A67&lt;1),FALSE,IF(ISNUMBER(A67), IF(INT(A67) = A67, "-", FALSE), FALSE))</f>
        <v>-</v>
      </c>
      <c r="U67" t="str">
        <f t="shared" ref="U67:U130" si="12">IF(OR(B67="",A67&lt;1),FALSE,IF(ISNUMBER(A67), IF(INT(A67) = A67, "-", FALSE), FALSE))</f>
        <v>-</v>
      </c>
      <c r="V67" t="str">
        <f t="shared" ref="V67:V130" si="13">IF(OR(C67="",C67="PilihSalasatu"),FALSE,"-")</f>
        <v>-</v>
      </c>
      <c r="W67" t="str">
        <f t="shared" ref="W67:W130" si="14">IF(D67="",FALSE,"-")</f>
        <v>-</v>
      </c>
      <c r="X67" t="str">
        <f t="shared" ref="X67:X130" si="15">IF(E67="",FALSE,"-")</f>
        <v>-</v>
      </c>
      <c r="Y67" t="str">
        <f t="shared" ref="Y67:Y130" si="16">IF(F67="",FALSE,"-")</f>
        <v>-</v>
      </c>
      <c r="Z67" t="str">
        <f t="shared" ref="Z67:Z130" si="17">IF(I67="",FALSE,"-")</f>
        <v>-</v>
      </c>
      <c r="AA67" t="str">
        <f t="shared" ref="AA67:AA130" si="18">IF(J67="",FALSE,"-")</f>
        <v>-</v>
      </c>
      <c r="AB67" t="str">
        <f>IF(_xlfn.IFNA(VLOOKUP(P67,Set_Ref!$B$6:$B$1048576,1,FALSE),"")&lt;&gt;"","-",FALSE)</f>
        <v>-</v>
      </c>
      <c r="AC67" t="str">
        <f t="shared" ref="AC67:AC130" si="19">IF(OR(Q67="",Q67&lt;0),FALSE,IF(ISNUMBER(Q67),"-",FALSE))</f>
        <v>-</v>
      </c>
      <c r="AD67" t="str">
        <f t="shared" ref="AD67:AD130" si="20">IF(OR(G67="",H67="",I67="",K67=""),FALSE,"-")</f>
        <v>-</v>
      </c>
      <c r="AE67" t="b">
        <f t="shared" ref="AE67:AE130" si="21">IF(COUNTIF(T67:AD67, "FALSE") &gt; 0, FALSE, TRUE)</f>
        <v>1</v>
      </c>
    </row>
    <row r="68" spans="1:31" x14ac:dyDescent="0.25">
      <c r="A68">
        <v>1</v>
      </c>
      <c r="B68">
        <v>66</v>
      </c>
      <c r="C68">
        <v>261</v>
      </c>
      <c r="D68" s="11" t="s">
        <v>149</v>
      </c>
      <c r="E68" t="s">
        <v>293</v>
      </c>
      <c r="F68" t="s">
        <v>184</v>
      </c>
      <c r="G68" s="11" t="s">
        <v>446</v>
      </c>
      <c r="H68">
        <v>4</v>
      </c>
      <c r="I68" s="11" t="s">
        <v>427</v>
      </c>
      <c r="J68" t="s">
        <v>448</v>
      </c>
      <c r="K68" t="s">
        <v>237</v>
      </c>
      <c r="L68" s="11" t="s">
        <v>39</v>
      </c>
      <c r="M68" s="11" t="s">
        <v>39</v>
      </c>
      <c r="N68" s="11" t="s">
        <v>39</v>
      </c>
      <c r="O68" s="11" t="s">
        <v>39</v>
      </c>
      <c r="P68" t="s">
        <v>9</v>
      </c>
      <c r="Q68">
        <v>38</v>
      </c>
      <c r="R68">
        <v>0</v>
      </c>
      <c r="S68">
        <v>0</v>
      </c>
      <c r="T68" t="str">
        <f t="shared" si="11"/>
        <v>-</v>
      </c>
      <c r="U68" t="str">
        <f t="shared" si="12"/>
        <v>-</v>
      </c>
      <c r="V68" t="str">
        <f t="shared" si="13"/>
        <v>-</v>
      </c>
      <c r="W68" t="str">
        <f t="shared" si="14"/>
        <v>-</v>
      </c>
      <c r="X68" t="str">
        <f t="shared" si="15"/>
        <v>-</v>
      </c>
      <c r="Y68" t="str">
        <f t="shared" si="16"/>
        <v>-</v>
      </c>
      <c r="Z68" t="str">
        <f t="shared" si="17"/>
        <v>-</v>
      </c>
      <c r="AA68" t="str">
        <f t="shared" si="18"/>
        <v>-</v>
      </c>
      <c r="AB68" t="str">
        <f>IF(_xlfn.IFNA(VLOOKUP(P68,Set_Ref!$B$6:$B$1048576,1,FALSE),"")&lt;&gt;"","-",FALSE)</f>
        <v>-</v>
      </c>
      <c r="AC68" t="str">
        <f t="shared" si="19"/>
        <v>-</v>
      </c>
      <c r="AD68" t="str">
        <f t="shared" si="20"/>
        <v>-</v>
      </c>
      <c r="AE68" t="b">
        <f t="shared" si="21"/>
        <v>1</v>
      </c>
    </row>
    <row r="69" spans="1:31" x14ac:dyDescent="0.25">
      <c r="A69">
        <v>1</v>
      </c>
      <c r="B69">
        <v>67</v>
      </c>
      <c r="C69">
        <v>261</v>
      </c>
      <c r="D69" s="11" t="s">
        <v>149</v>
      </c>
      <c r="E69" t="s">
        <v>293</v>
      </c>
      <c r="F69" t="s">
        <v>184</v>
      </c>
      <c r="G69" s="11" t="s">
        <v>446</v>
      </c>
      <c r="H69">
        <v>4</v>
      </c>
      <c r="I69" s="11" t="s">
        <v>427</v>
      </c>
      <c r="J69" t="s">
        <v>448</v>
      </c>
      <c r="K69" t="s">
        <v>237</v>
      </c>
      <c r="L69" s="11" t="s">
        <v>39</v>
      </c>
      <c r="M69" s="11" t="s">
        <v>39</v>
      </c>
      <c r="N69" s="11" t="s">
        <v>39</v>
      </c>
      <c r="O69" s="11" t="s">
        <v>39</v>
      </c>
      <c r="P69" t="s">
        <v>9</v>
      </c>
      <c r="Q69">
        <v>18</v>
      </c>
      <c r="R69">
        <v>0</v>
      </c>
      <c r="S69">
        <v>0</v>
      </c>
      <c r="T69" t="str">
        <f t="shared" si="11"/>
        <v>-</v>
      </c>
      <c r="U69" t="str">
        <f t="shared" si="12"/>
        <v>-</v>
      </c>
      <c r="V69" t="str">
        <f t="shared" si="13"/>
        <v>-</v>
      </c>
      <c r="W69" t="str">
        <f t="shared" si="14"/>
        <v>-</v>
      </c>
      <c r="X69" t="str">
        <f t="shared" si="15"/>
        <v>-</v>
      </c>
      <c r="Y69" t="str">
        <f t="shared" si="16"/>
        <v>-</v>
      </c>
      <c r="Z69" t="str">
        <f t="shared" si="17"/>
        <v>-</v>
      </c>
      <c r="AA69" t="str">
        <f t="shared" si="18"/>
        <v>-</v>
      </c>
      <c r="AB69" t="str">
        <f>IF(_xlfn.IFNA(VLOOKUP(P69,Set_Ref!$B$6:$B$1048576,1,FALSE),"")&lt;&gt;"","-",FALSE)</f>
        <v>-</v>
      </c>
      <c r="AC69" t="str">
        <f t="shared" si="19"/>
        <v>-</v>
      </c>
      <c r="AD69" t="str">
        <f t="shared" si="20"/>
        <v>-</v>
      </c>
      <c r="AE69" t="b">
        <f t="shared" si="21"/>
        <v>1</v>
      </c>
    </row>
    <row r="70" spans="1:31" x14ac:dyDescent="0.25">
      <c r="A70">
        <v>1</v>
      </c>
      <c r="B70">
        <v>68</v>
      </c>
      <c r="C70">
        <v>261</v>
      </c>
      <c r="D70" s="11" t="s">
        <v>149</v>
      </c>
      <c r="E70" t="s">
        <v>293</v>
      </c>
      <c r="F70" t="s">
        <v>184</v>
      </c>
      <c r="G70" s="11" t="s">
        <v>446</v>
      </c>
      <c r="H70">
        <v>4</v>
      </c>
      <c r="I70" s="11" t="s">
        <v>427</v>
      </c>
      <c r="J70" t="s">
        <v>448</v>
      </c>
      <c r="K70" t="s">
        <v>237</v>
      </c>
      <c r="L70" s="11" t="s">
        <v>39</v>
      </c>
      <c r="M70" s="11" t="s">
        <v>39</v>
      </c>
      <c r="N70" s="11" t="s">
        <v>39</v>
      </c>
      <c r="O70" s="11" t="s">
        <v>39</v>
      </c>
      <c r="P70" t="s">
        <v>9</v>
      </c>
      <c r="Q70">
        <v>30</v>
      </c>
      <c r="R70">
        <v>0</v>
      </c>
      <c r="S70">
        <v>0</v>
      </c>
      <c r="T70" t="str">
        <f t="shared" si="11"/>
        <v>-</v>
      </c>
      <c r="U70" t="str">
        <f t="shared" si="12"/>
        <v>-</v>
      </c>
      <c r="V70" t="str">
        <f t="shared" si="13"/>
        <v>-</v>
      </c>
      <c r="W70" t="str">
        <f t="shared" si="14"/>
        <v>-</v>
      </c>
      <c r="X70" t="str">
        <f t="shared" si="15"/>
        <v>-</v>
      </c>
      <c r="Y70" t="str">
        <f t="shared" si="16"/>
        <v>-</v>
      </c>
      <c r="Z70" t="str">
        <f t="shared" si="17"/>
        <v>-</v>
      </c>
      <c r="AA70" t="str">
        <f t="shared" si="18"/>
        <v>-</v>
      </c>
      <c r="AB70" t="str">
        <f>IF(_xlfn.IFNA(VLOOKUP(P70,Set_Ref!$B$6:$B$1048576,1,FALSE),"")&lt;&gt;"","-",FALSE)</f>
        <v>-</v>
      </c>
      <c r="AC70" t="str">
        <f t="shared" si="19"/>
        <v>-</v>
      </c>
      <c r="AD70" t="str">
        <f t="shared" si="20"/>
        <v>-</v>
      </c>
      <c r="AE70" t="b">
        <f t="shared" si="21"/>
        <v>1</v>
      </c>
    </row>
    <row r="71" spans="1:31" x14ac:dyDescent="0.25">
      <c r="A71">
        <v>1</v>
      </c>
      <c r="B71">
        <v>69</v>
      </c>
      <c r="C71">
        <v>261</v>
      </c>
      <c r="D71" s="11" t="s">
        <v>149</v>
      </c>
      <c r="E71" t="s">
        <v>293</v>
      </c>
      <c r="F71" t="s">
        <v>184</v>
      </c>
      <c r="G71" s="11" t="s">
        <v>446</v>
      </c>
      <c r="H71">
        <v>4</v>
      </c>
      <c r="I71" s="11" t="s">
        <v>427</v>
      </c>
      <c r="J71" t="s">
        <v>448</v>
      </c>
      <c r="K71" t="s">
        <v>237</v>
      </c>
      <c r="L71" s="11" t="s">
        <v>39</v>
      </c>
      <c r="M71" s="11" t="s">
        <v>39</v>
      </c>
      <c r="N71" s="11" t="s">
        <v>39</v>
      </c>
      <c r="O71" s="11" t="s">
        <v>39</v>
      </c>
      <c r="P71" t="s">
        <v>9</v>
      </c>
      <c r="Q71">
        <v>20</v>
      </c>
      <c r="R71">
        <v>0</v>
      </c>
      <c r="S71">
        <v>0</v>
      </c>
      <c r="T71" t="str">
        <f t="shared" si="11"/>
        <v>-</v>
      </c>
      <c r="U71" t="str">
        <f t="shared" si="12"/>
        <v>-</v>
      </c>
      <c r="V71" t="str">
        <f t="shared" si="13"/>
        <v>-</v>
      </c>
      <c r="W71" t="str">
        <f t="shared" si="14"/>
        <v>-</v>
      </c>
      <c r="X71" t="str">
        <f t="shared" si="15"/>
        <v>-</v>
      </c>
      <c r="Y71" t="str">
        <f t="shared" si="16"/>
        <v>-</v>
      </c>
      <c r="Z71" t="str">
        <f t="shared" si="17"/>
        <v>-</v>
      </c>
      <c r="AA71" t="str">
        <f t="shared" si="18"/>
        <v>-</v>
      </c>
      <c r="AB71" t="str">
        <f>IF(_xlfn.IFNA(VLOOKUP(P71,Set_Ref!$B$6:$B$1048576,1,FALSE),"")&lt;&gt;"","-",FALSE)</f>
        <v>-</v>
      </c>
      <c r="AC71" t="str">
        <f t="shared" si="19"/>
        <v>-</v>
      </c>
      <c r="AD71" t="str">
        <f t="shared" si="20"/>
        <v>-</v>
      </c>
      <c r="AE71" t="b">
        <f t="shared" si="21"/>
        <v>1</v>
      </c>
    </row>
    <row r="72" spans="1:31" x14ac:dyDescent="0.25">
      <c r="A72">
        <v>1</v>
      </c>
      <c r="B72">
        <v>70</v>
      </c>
      <c r="C72">
        <v>261</v>
      </c>
      <c r="D72" s="11" t="s">
        <v>149</v>
      </c>
      <c r="E72" t="s">
        <v>293</v>
      </c>
      <c r="F72" t="s">
        <v>184</v>
      </c>
      <c r="G72" s="11" t="s">
        <v>446</v>
      </c>
      <c r="H72">
        <v>4</v>
      </c>
      <c r="I72" s="11" t="s">
        <v>427</v>
      </c>
      <c r="J72" t="s">
        <v>448</v>
      </c>
      <c r="K72" t="s">
        <v>237</v>
      </c>
      <c r="L72" s="11" t="s">
        <v>39</v>
      </c>
      <c r="M72" s="11" t="s">
        <v>39</v>
      </c>
      <c r="N72" s="11" t="s">
        <v>39</v>
      </c>
      <c r="O72" s="11" t="s">
        <v>39</v>
      </c>
      <c r="P72" t="s">
        <v>9</v>
      </c>
      <c r="Q72">
        <v>10</v>
      </c>
      <c r="R72">
        <v>0</v>
      </c>
      <c r="S72">
        <v>0</v>
      </c>
      <c r="T72" t="str">
        <f t="shared" si="11"/>
        <v>-</v>
      </c>
      <c r="U72" t="str">
        <f t="shared" si="12"/>
        <v>-</v>
      </c>
      <c r="V72" t="str">
        <f t="shared" si="13"/>
        <v>-</v>
      </c>
      <c r="W72" t="str">
        <f t="shared" si="14"/>
        <v>-</v>
      </c>
      <c r="X72" t="str">
        <f t="shared" si="15"/>
        <v>-</v>
      </c>
      <c r="Y72" t="str">
        <f t="shared" si="16"/>
        <v>-</v>
      </c>
      <c r="Z72" t="str">
        <f t="shared" si="17"/>
        <v>-</v>
      </c>
      <c r="AA72" t="str">
        <f t="shared" si="18"/>
        <v>-</v>
      </c>
      <c r="AB72" t="str">
        <f>IF(_xlfn.IFNA(VLOOKUP(P72,Set_Ref!$B$6:$B$1048576,1,FALSE),"")&lt;&gt;"","-",FALSE)</f>
        <v>-</v>
      </c>
      <c r="AC72" t="str">
        <f t="shared" si="19"/>
        <v>-</v>
      </c>
      <c r="AD72" t="str">
        <f t="shared" si="20"/>
        <v>-</v>
      </c>
      <c r="AE72" t="b">
        <f t="shared" si="21"/>
        <v>1</v>
      </c>
    </row>
    <row r="73" spans="1:31" x14ac:dyDescent="0.25">
      <c r="A73">
        <v>1</v>
      </c>
      <c r="B73">
        <v>71</v>
      </c>
      <c r="C73">
        <v>261</v>
      </c>
      <c r="D73" s="11" t="s">
        <v>149</v>
      </c>
      <c r="E73" t="s">
        <v>293</v>
      </c>
      <c r="F73" t="s">
        <v>184</v>
      </c>
      <c r="G73" s="11" t="s">
        <v>446</v>
      </c>
      <c r="H73">
        <v>4</v>
      </c>
      <c r="I73" s="11" t="s">
        <v>427</v>
      </c>
      <c r="J73" t="s">
        <v>448</v>
      </c>
      <c r="K73" t="s">
        <v>237</v>
      </c>
      <c r="L73" s="11" t="s">
        <v>39</v>
      </c>
      <c r="M73" s="11" t="s">
        <v>39</v>
      </c>
      <c r="N73" s="11" t="s">
        <v>39</v>
      </c>
      <c r="O73" s="11" t="s">
        <v>39</v>
      </c>
      <c r="P73" t="s">
        <v>9</v>
      </c>
      <c r="Q73">
        <v>40</v>
      </c>
      <c r="R73">
        <v>0</v>
      </c>
      <c r="S73">
        <v>0</v>
      </c>
      <c r="T73" t="str">
        <f t="shared" si="11"/>
        <v>-</v>
      </c>
      <c r="U73" t="str">
        <f t="shared" si="12"/>
        <v>-</v>
      </c>
      <c r="V73" t="str">
        <f t="shared" si="13"/>
        <v>-</v>
      </c>
      <c r="W73" t="str">
        <f t="shared" si="14"/>
        <v>-</v>
      </c>
      <c r="X73" t="str">
        <f t="shared" si="15"/>
        <v>-</v>
      </c>
      <c r="Y73" t="str">
        <f t="shared" si="16"/>
        <v>-</v>
      </c>
      <c r="Z73" t="str">
        <f t="shared" si="17"/>
        <v>-</v>
      </c>
      <c r="AA73" t="str">
        <f t="shared" si="18"/>
        <v>-</v>
      </c>
      <c r="AB73" t="str">
        <f>IF(_xlfn.IFNA(VLOOKUP(P73,Set_Ref!$B$6:$B$1048576,1,FALSE),"")&lt;&gt;"","-",FALSE)</f>
        <v>-</v>
      </c>
      <c r="AC73" t="str">
        <f t="shared" si="19"/>
        <v>-</v>
      </c>
      <c r="AD73" t="str">
        <f t="shared" si="20"/>
        <v>-</v>
      </c>
      <c r="AE73" t="b">
        <f t="shared" si="21"/>
        <v>1</v>
      </c>
    </row>
    <row r="74" spans="1:31" x14ac:dyDescent="0.25">
      <c r="A74">
        <v>1</v>
      </c>
      <c r="B74">
        <v>72</v>
      </c>
      <c r="C74">
        <v>261</v>
      </c>
      <c r="D74" s="11" t="s">
        <v>149</v>
      </c>
      <c r="E74" t="s">
        <v>293</v>
      </c>
      <c r="F74" t="s">
        <v>184</v>
      </c>
      <c r="G74" s="11" t="s">
        <v>446</v>
      </c>
      <c r="H74">
        <v>4</v>
      </c>
      <c r="I74" s="11" t="s">
        <v>427</v>
      </c>
      <c r="J74" t="s">
        <v>448</v>
      </c>
      <c r="K74" t="s">
        <v>237</v>
      </c>
      <c r="L74" s="11" t="s">
        <v>39</v>
      </c>
      <c r="M74" s="11" t="s">
        <v>39</v>
      </c>
      <c r="N74" s="11" t="s">
        <v>39</v>
      </c>
      <c r="O74" s="11" t="s">
        <v>39</v>
      </c>
      <c r="P74" t="s">
        <v>9</v>
      </c>
      <c r="Q74">
        <v>40</v>
      </c>
      <c r="R74">
        <v>0</v>
      </c>
      <c r="S74">
        <v>0</v>
      </c>
      <c r="T74" t="str">
        <f t="shared" si="11"/>
        <v>-</v>
      </c>
      <c r="U74" t="str">
        <f t="shared" si="12"/>
        <v>-</v>
      </c>
      <c r="V74" t="str">
        <f t="shared" si="13"/>
        <v>-</v>
      </c>
      <c r="W74" t="str">
        <f t="shared" si="14"/>
        <v>-</v>
      </c>
      <c r="X74" t="str">
        <f t="shared" si="15"/>
        <v>-</v>
      </c>
      <c r="Y74" t="str">
        <f t="shared" si="16"/>
        <v>-</v>
      </c>
      <c r="Z74" t="str">
        <f t="shared" si="17"/>
        <v>-</v>
      </c>
      <c r="AA74" t="str">
        <f t="shared" si="18"/>
        <v>-</v>
      </c>
      <c r="AB74" t="str">
        <f>IF(_xlfn.IFNA(VLOOKUP(P74,Set_Ref!$B$6:$B$1048576,1,FALSE),"")&lt;&gt;"","-",FALSE)</f>
        <v>-</v>
      </c>
      <c r="AC74" t="str">
        <f t="shared" si="19"/>
        <v>-</v>
      </c>
      <c r="AD74" t="str">
        <f t="shared" si="20"/>
        <v>-</v>
      </c>
      <c r="AE74" t="b">
        <f t="shared" si="21"/>
        <v>1</v>
      </c>
    </row>
    <row r="75" spans="1:31" x14ac:dyDescent="0.25">
      <c r="A75">
        <v>1</v>
      </c>
      <c r="B75">
        <v>73</v>
      </c>
      <c r="C75">
        <v>261</v>
      </c>
      <c r="D75" s="11" t="s">
        <v>149</v>
      </c>
      <c r="E75" t="s">
        <v>293</v>
      </c>
      <c r="F75" t="s">
        <v>184</v>
      </c>
      <c r="G75" s="11" t="s">
        <v>446</v>
      </c>
      <c r="H75">
        <v>4</v>
      </c>
      <c r="I75" s="11" t="s">
        <v>427</v>
      </c>
      <c r="J75" t="s">
        <v>448</v>
      </c>
      <c r="K75" t="s">
        <v>237</v>
      </c>
      <c r="L75" s="11" t="s">
        <v>39</v>
      </c>
      <c r="M75" s="11" t="s">
        <v>39</v>
      </c>
      <c r="N75" s="11" t="s">
        <v>39</v>
      </c>
      <c r="O75" s="11" t="s">
        <v>39</v>
      </c>
      <c r="P75" t="s">
        <v>9</v>
      </c>
      <c r="Q75">
        <v>27</v>
      </c>
      <c r="R75">
        <v>0</v>
      </c>
      <c r="S75">
        <v>0</v>
      </c>
      <c r="T75" t="str">
        <f t="shared" si="11"/>
        <v>-</v>
      </c>
      <c r="U75" t="str">
        <f t="shared" si="12"/>
        <v>-</v>
      </c>
      <c r="V75" t="str">
        <f t="shared" si="13"/>
        <v>-</v>
      </c>
      <c r="W75" t="str">
        <f t="shared" si="14"/>
        <v>-</v>
      </c>
      <c r="X75" t="str">
        <f t="shared" si="15"/>
        <v>-</v>
      </c>
      <c r="Y75" t="str">
        <f t="shared" si="16"/>
        <v>-</v>
      </c>
      <c r="Z75" t="str">
        <f t="shared" si="17"/>
        <v>-</v>
      </c>
      <c r="AA75" t="str">
        <f t="shared" si="18"/>
        <v>-</v>
      </c>
      <c r="AB75" t="str">
        <f>IF(_xlfn.IFNA(VLOOKUP(P75,Set_Ref!$B$6:$B$1048576,1,FALSE),"")&lt;&gt;"","-",FALSE)</f>
        <v>-</v>
      </c>
      <c r="AC75" t="str">
        <f t="shared" si="19"/>
        <v>-</v>
      </c>
      <c r="AD75" t="str">
        <f t="shared" si="20"/>
        <v>-</v>
      </c>
      <c r="AE75" t="b">
        <f t="shared" si="21"/>
        <v>1</v>
      </c>
    </row>
    <row r="76" spans="1:31" x14ac:dyDescent="0.25">
      <c r="A76">
        <v>1</v>
      </c>
      <c r="B76">
        <v>74</v>
      </c>
      <c r="C76">
        <v>261</v>
      </c>
      <c r="D76" s="11" t="s">
        <v>149</v>
      </c>
      <c r="E76" t="s">
        <v>293</v>
      </c>
      <c r="F76" t="s">
        <v>184</v>
      </c>
      <c r="G76" s="11" t="s">
        <v>446</v>
      </c>
      <c r="H76">
        <v>4</v>
      </c>
      <c r="I76" s="11" t="s">
        <v>427</v>
      </c>
      <c r="J76" t="s">
        <v>448</v>
      </c>
      <c r="K76" t="s">
        <v>237</v>
      </c>
      <c r="L76" s="11" t="s">
        <v>39</v>
      </c>
      <c r="M76" s="11" t="s">
        <v>39</v>
      </c>
      <c r="N76" s="11" t="s">
        <v>39</v>
      </c>
      <c r="O76" s="11" t="s">
        <v>39</v>
      </c>
      <c r="P76" t="s">
        <v>9</v>
      </c>
      <c r="Q76">
        <v>31</v>
      </c>
      <c r="R76">
        <v>0</v>
      </c>
      <c r="S76">
        <v>0</v>
      </c>
      <c r="T76" t="str">
        <f t="shared" si="11"/>
        <v>-</v>
      </c>
      <c r="U76" t="str">
        <f t="shared" si="12"/>
        <v>-</v>
      </c>
      <c r="V76" t="str">
        <f t="shared" si="13"/>
        <v>-</v>
      </c>
      <c r="W76" t="str">
        <f t="shared" si="14"/>
        <v>-</v>
      </c>
      <c r="X76" t="str">
        <f t="shared" si="15"/>
        <v>-</v>
      </c>
      <c r="Y76" t="str">
        <f t="shared" si="16"/>
        <v>-</v>
      </c>
      <c r="Z76" t="str">
        <f t="shared" si="17"/>
        <v>-</v>
      </c>
      <c r="AA76" t="str">
        <f t="shared" si="18"/>
        <v>-</v>
      </c>
      <c r="AB76" t="str">
        <f>IF(_xlfn.IFNA(VLOOKUP(P76,Set_Ref!$B$6:$B$1048576,1,FALSE),"")&lt;&gt;"","-",FALSE)</f>
        <v>-</v>
      </c>
      <c r="AC76" t="str">
        <f t="shared" si="19"/>
        <v>-</v>
      </c>
      <c r="AD76" t="str">
        <f t="shared" si="20"/>
        <v>-</v>
      </c>
      <c r="AE76" t="b">
        <f t="shared" si="21"/>
        <v>1</v>
      </c>
    </row>
    <row r="77" spans="1:31" x14ac:dyDescent="0.25">
      <c r="A77">
        <v>1</v>
      </c>
      <c r="B77">
        <v>75</v>
      </c>
      <c r="C77">
        <v>261</v>
      </c>
      <c r="D77" s="11" t="s">
        <v>149</v>
      </c>
      <c r="E77" t="s">
        <v>299</v>
      </c>
      <c r="F77" t="s">
        <v>185</v>
      </c>
      <c r="G77" s="11" t="s">
        <v>449</v>
      </c>
      <c r="H77">
        <v>1</v>
      </c>
      <c r="I77" s="11" t="s">
        <v>440</v>
      </c>
      <c r="J77" t="s">
        <v>290</v>
      </c>
      <c r="K77" t="s">
        <v>231</v>
      </c>
      <c r="L77" s="11" t="s">
        <v>39</v>
      </c>
      <c r="M77" s="11" t="s">
        <v>39</v>
      </c>
      <c r="N77" s="11" t="s">
        <v>39</v>
      </c>
      <c r="O77" s="11" t="s">
        <v>39</v>
      </c>
      <c r="P77" t="s">
        <v>10</v>
      </c>
      <c r="Q77">
        <v>874.3</v>
      </c>
      <c r="R77">
        <v>0</v>
      </c>
      <c r="S77">
        <v>0</v>
      </c>
      <c r="T77" t="str">
        <f t="shared" si="11"/>
        <v>-</v>
      </c>
      <c r="U77" t="str">
        <f t="shared" si="12"/>
        <v>-</v>
      </c>
      <c r="V77" t="str">
        <f t="shared" si="13"/>
        <v>-</v>
      </c>
      <c r="W77" t="str">
        <f t="shared" si="14"/>
        <v>-</v>
      </c>
      <c r="X77" t="str">
        <f t="shared" si="15"/>
        <v>-</v>
      </c>
      <c r="Y77" t="str">
        <f t="shared" si="16"/>
        <v>-</v>
      </c>
      <c r="Z77" t="str">
        <f t="shared" si="17"/>
        <v>-</v>
      </c>
      <c r="AA77" t="str">
        <f t="shared" si="18"/>
        <v>-</v>
      </c>
      <c r="AB77" t="str">
        <f>IF(_xlfn.IFNA(VLOOKUP(P77,Set_Ref!$B$6:$B$1048576,1,FALSE),"")&lt;&gt;"","-",FALSE)</f>
        <v>-</v>
      </c>
      <c r="AC77" t="str">
        <f t="shared" si="19"/>
        <v>-</v>
      </c>
      <c r="AD77" t="str">
        <f t="shared" si="20"/>
        <v>-</v>
      </c>
      <c r="AE77" t="b">
        <f t="shared" si="21"/>
        <v>1</v>
      </c>
    </row>
    <row r="78" spans="1:31" x14ac:dyDescent="0.25">
      <c r="A78">
        <v>1</v>
      </c>
      <c r="B78">
        <v>76</v>
      </c>
      <c r="C78">
        <v>261</v>
      </c>
      <c r="D78" s="11" t="s">
        <v>149</v>
      </c>
      <c r="E78" t="s">
        <v>300</v>
      </c>
      <c r="F78" t="s">
        <v>185</v>
      </c>
      <c r="G78" s="11" t="s">
        <v>450</v>
      </c>
      <c r="H78">
        <v>1</v>
      </c>
      <c r="I78" s="11" t="s">
        <v>433</v>
      </c>
      <c r="J78" t="s">
        <v>281</v>
      </c>
      <c r="K78" t="s">
        <v>222</v>
      </c>
      <c r="L78" s="11" t="s">
        <v>39</v>
      </c>
      <c r="M78" s="11" t="s">
        <v>39</v>
      </c>
      <c r="N78" s="11" t="s">
        <v>39</v>
      </c>
      <c r="O78" s="11" t="s">
        <v>39</v>
      </c>
      <c r="P78" t="s">
        <v>10</v>
      </c>
      <c r="Q78">
        <v>4744</v>
      </c>
      <c r="R78">
        <v>0</v>
      </c>
      <c r="S78">
        <v>0</v>
      </c>
      <c r="T78" t="str">
        <f t="shared" si="11"/>
        <v>-</v>
      </c>
      <c r="U78" t="str">
        <f t="shared" si="12"/>
        <v>-</v>
      </c>
      <c r="V78" t="str">
        <f t="shared" si="13"/>
        <v>-</v>
      </c>
      <c r="W78" t="str">
        <f t="shared" si="14"/>
        <v>-</v>
      </c>
      <c r="X78" t="str">
        <f t="shared" si="15"/>
        <v>-</v>
      </c>
      <c r="Y78" t="str">
        <f t="shared" si="16"/>
        <v>-</v>
      </c>
      <c r="Z78" t="str">
        <f t="shared" si="17"/>
        <v>-</v>
      </c>
      <c r="AA78" t="str">
        <f t="shared" si="18"/>
        <v>-</v>
      </c>
      <c r="AB78" t="str">
        <f>IF(_xlfn.IFNA(VLOOKUP(P78,Set_Ref!$B$6:$B$1048576,1,FALSE),"")&lt;&gt;"","-",FALSE)</f>
        <v>-</v>
      </c>
      <c r="AC78" t="str">
        <f t="shared" si="19"/>
        <v>-</v>
      </c>
      <c r="AD78" t="str">
        <f t="shared" si="20"/>
        <v>-</v>
      </c>
      <c r="AE78" t="b">
        <f t="shared" si="21"/>
        <v>1</v>
      </c>
    </row>
    <row r="79" spans="1:31" x14ac:dyDescent="0.25">
      <c r="A79">
        <v>1</v>
      </c>
      <c r="B79">
        <v>77</v>
      </c>
      <c r="C79">
        <v>261</v>
      </c>
      <c r="D79" s="11" t="s">
        <v>149</v>
      </c>
      <c r="E79" t="s">
        <v>300</v>
      </c>
      <c r="F79" t="s">
        <v>185</v>
      </c>
      <c r="G79" s="11" t="s">
        <v>450</v>
      </c>
      <c r="H79">
        <v>2</v>
      </c>
      <c r="I79" s="11" t="s">
        <v>427</v>
      </c>
      <c r="J79" t="s">
        <v>296</v>
      </c>
      <c r="K79" t="s">
        <v>238</v>
      </c>
      <c r="L79" s="11" t="s">
        <v>39</v>
      </c>
      <c r="M79" s="11" t="s">
        <v>39</v>
      </c>
      <c r="N79" s="11" t="s">
        <v>39</v>
      </c>
      <c r="O79" s="11" t="s">
        <v>39</v>
      </c>
      <c r="P79" t="s">
        <v>9</v>
      </c>
      <c r="Q79">
        <v>6510</v>
      </c>
      <c r="R79">
        <v>0</v>
      </c>
      <c r="S79">
        <v>0</v>
      </c>
      <c r="T79" t="str">
        <f t="shared" si="11"/>
        <v>-</v>
      </c>
      <c r="U79" t="str">
        <f t="shared" si="12"/>
        <v>-</v>
      </c>
      <c r="V79" t="str">
        <f t="shared" si="13"/>
        <v>-</v>
      </c>
      <c r="W79" t="str">
        <f t="shared" si="14"/>
        <v>-</v>
      </c>
      <c r="X79" t="str">
        <f t="shared" si="15"/>
        <v>-</v>
      </c>
      <c r="Y79" t="str">
        <f t="shared" si="16"/>
        <v>-</v>
      </c>
      <c r="Z79" t="str">
        <f t="shared" si="17"/>
        <v>-</v>
      </c>
      <c r="AA79" t="str">
        <f t="shared" si="18"/>
        <v>-</v>
      </c>
      <c r="AB79" t="str">
        <f>IF(_xlfn.IFNA(VLOOKUP(P79,Set_Ref!$B$6:$B$1048576,1,FALSE),"")&lt;&gt;"","-",FALSE)</f>
        <v>-</v>
      </c>
      <c r="AC79" t="str">
        <f t="shared" si="19"/>
        <v>-</v>
      </c>
      <c r="AD79" t="str">
        <f t="shared" si="20"/>
        <v>-</v>
      </c>
      <c r="AE79" t="b">
        <f t="shared" si="21"/>
        <v>1</v>
      </c>
    </row>
    <row r="80" spans="1:31" x14ac:dyDescent="0.25">
      <c r="A80">
        <v>1</v>
      </c>
      <c r="B80">
        <v>78</v>
      </c>
      <c r="C80">
        <v>261</v>
      </c>
      <c r="D80" s="11" t="s">
        <v>149</v>
      </c>
      <c r="E80" t="s">
        <v>300</v>
      </c>
      <c r="F80" t="s">
        <v>185</v>
      </c>
      <c r="G80" s="11" t="s">
        <v>450</v>
      </c>
      <c r="H80">
        <v>3</v>
      </c>
      <c r="I80" s="11" t="s">
        <v>451</v>
      </c>
      <c r="J80" t="s">
        <v>301</v>
      </c>
      <c r="K80" t="s">
        <v>219</v>
      </c>
      <c r="L80" s="11" t="s">
        <v>39</v>
      </c>
      <c r="M80" s="11" t="s">
        <v>39</v>
      </c>
      <c r="N80" s="11" t="s">
        <v>39</v>
      </c>
      <c r="O80" s="11" t="s">
        <v>39</v>
      </c>
      <c r="P80" t="s">
        <v>11</v>
      </c>
      <c r="Q80">
        <v>154</v>
      </c>
      <c r="R80">
        <v>0</v>
      </c>
      <c r="S80">
        <v>0</v>
      </c>
      <c r="T80" t="str">
        <f t="shared" si="11"/>
        <v>-</v>
      </c>
      <c r="U80" t="str">
        <f t="shared" si="12"/>
        <v>-</v>
      </c>
      <c r="V80" t="str">
        <f t="shared" si="13"/>
        <v>-</v>
      </c>
      <c r="W80" t="str">
        <f t="shared" si="14"/>
        <v>-</v>
      </c>
      <c r="X80" t="str">
        <f t="shared" si="15"/>
        <v>-</v>
      </c>
      <c r="Y80" t="str">
        <f t="shared" si="16"/>
        <v>-</v>
      </c>
      <c r="Z80" t="str">
        <f t="shared" si="17"/>
        <v>-</v>
      </c>
      <c r="AA80" t="str">
        <f t="shared" si="18"/>
        <v>-</v>
      </c>
      <c r="AB80" t="str">
        <f>IF(_xlfn.IFNA(VLOOKUP(P80,Set_Ref!$B$6:$B$1048576,1,FALSE),"")&lt;&gt;"","-",FALSE)</f>
        <v>-</v>
      </c>
      <c r="AC80" t="str">
        <f t="shared" si="19"/>
        <v>-</v>
      </c>
      <c r="AD80" t="str">
        <f t="shared" si="20"/>
        <v>-</v>
      </c>
      <c r="AE80" t="b">
        <f t="shared" si="21"/>
        <v>1</v>
      </c>
    </row>
    <row r="81" spans="1:31" x14ac:dyDescent="0.25">
      <c r="A81">
        <v>1</v>
      </c>
      <c r="B81">
        <v>79</v>
      </c>
      <c r="C81">
        <v>261</v>
      </c>
      <c r="D81" s="11" t="s">
        <v>149</v>
      </c>
      <c r="E81" t="s">
        <v>302</v>
      </c>
      <c r="F81" t="s">
        <v>186</v>
      </c>
      <c r="G81" s="11" t="s">
        <v>452</v>
      </c>
      <c r="H81">
        <v>1</v>
      </c>
      <c r="I81" s="11" t="s">
        <v>172</v>
      </c>
      <c r="J81" t="s">
        <v>303</v>
      </c>
      <c r="K81" t="s">
        <v>219</v>
      </c>
      <c r="L81" s="11" t="s">
        <v>39</v>
      </c>
      <c r="M81" s="11" t="s">
        <v>39</v>
      </c>
      <c r="N81" s="11" t="s">
        <v>39</v>
      </c>
      <c r="O81" s="11" t="s">
        <v>39</v>
      </c>
      <c r="P81" t="s">
        <v>11</v>
      </c>
      <c r="Q81">
        <v>68</v>
      </c>
      <c r="R81">
        <v>0</v>
      </c>
      <c r="S81">
        <v>0</v>
      </c>
      <c r="T81" t="str">
        <f t="shared" si="11"/>
        <v>-</v>
      </c>
      <c r="U81" t="str">
        <f t="shared" si="12"/>
        <v>-</v>
      </c>
      <c r="V81" t="str">
        <f t="shared" si="13"/>
        <v>-</v>
      </c>
      <c r="W81" t="str">
        <f t="shared" si="14"/>
        <v>-</v>
      </c>
      <c r="X81" t="str">
        <f t="shared" si="15"/>
        <v>-</v>
      </c>
      <c r="Y81" t="str">
        <f t="shared" si="16"/>
        <v>-</v>
      </c>
      <c r="Z81" t="str">
        <f t="shared" si="17"/>
        <v>-</v>
      </c>
      <c r="AA81" t="str">
        <f t="shared" si="18"/>
        <v>-</v>
      </c>
      <c r="AB81" t="str">
        <f>IF(_xlfn.IFNA(VLOOKUP(P81,Set_Ref!$B$6:$B$1048576,1,FALSE),"")&lt;&gt;"","-",FALSE)</f>
        <v>-</v>
      </c>
      <c r="AC81" t="str">
        <f t="shared" si="19"/>
        <v>-</v>
      </c>
      <c r="AD81" t="str">
        <f t="shared" si="20"/>
        <v>-</v>
      </c>
      <c r="AE81" t="b">
        <f t="shared" si="21"/>
        <v>1</v>
      </c>
    </row>
    <row r="82" spans="1:31" x14ac:dyDescent="0.25">
      <c r="A82">
        <v>1</v>
      </c>
      <c r="B82">
        <v>80</v>
      </c>
      <c r="C82">
        <v>261</v>
      </c>
      <c r="D82" s="11" t="s">
        <v>149</v>
      </c>
      <c r="E82" t="s">
        <v>304</v>
      </c>
      <c r="F82" t="s">
        <v>186</v>
      </c>
      <c r="G82" s="11" t="s">
        <v>453</v>
      </c>
      <c r="H82">
        <v>1</v>
      </c>
      <c r="I82" s="11" t="s">
        <v>451</v>
      </c>
      <c r="J82" t="s">
        <v>301</v>
      </c>
      <c r="K82" t="s">
        <v>219</v>
      </c>
      <c r="L82" s="11" t="s">
        <v>39</v>
      </c>
      <c r="M82" s="11" t="s">
        <v>39</v>
      </c>
      <c r="N82" s="11" t="s">
        <v>39</v>
      </c>
      <c r="O82" s="11" t="s">
        <v>39</v>
      </c>
      <c r="P82" t="s">
        <v>11</v>
      </c>
      <c r="Q82">
        <v>30</v>
      </c>
      <c r="R82">
        <v>0</v>
      </c>
      <c r="S82">
        <v>0</v>
      </c>
      <c r="T82" t="str">
        <f t="shared" si="11"/>
        <v>-</v>
      </c>
      <c r="U82" t="str">
        <f t="shared" si="12"/>
        <v>-</v>
      </c>
      <c r="V82" t="str">
        <f t="shared" si="13"/>
        <v>-</v>
      </c>
      <c r="W82" t="str">
        <f t="shared" si="14"/>
        <v>-</v>
      </c>
      <c r="X82" t="str">
        <f t="shared" si="15"/>
        <v>-</v>
      </c>
      <c r="Y82" t="str">
        <f t="shared" si="16"/>
        <v>-</v>
      </c>
      <c r="Z82" t="str">
        <f t="shared" si="17"/>
        <v>-</v>
      </c>
      <c r="AA82" t="str">
        <f t="shared" si="18"/>
        <v>-</v>
      </c>
      <c r="AB82" t="str">
        <f>IF(_xlfn.IFNA(VLOOKUP(P82,Set_Ref!$B$6:$B$1048576,1,FALSE),"")&lt;&gt;"","-",FALSE)</f>
        <v>-</v>
      </c>
      <c r="AC82" t="str">
        <f t="shared" si="19"/>
        <v>-</v>
      </c>
      <c r="AD82" t="str">
        <f t="shared" si="20"/>
        <v>-</v>
      </c>
      <c r="AE82" t="b">
        <f t="shared" si="21"/>
        <v>1</v>
      </c>
    </row>
    <row r="83" spans="1:31" x14ac:dyDescent="0.25">
      <c r="A83">
        <v>1</v>
      </c>
      <c r="B83">
        <v>81</v>
      </c>
      <c r="C83">
        <v>261</v>
      </c>
      <c r="D83" s="11" t="s">
        <v>149</v>
      </c>
      <c r="E83" t="s">
        <v>305</v>
      </c>
      <c r="F83" t="s">
        <v>187</v>
      </c>
      <c r="G83" s="11" t="s">
        <v>454</v>
      </c>
      <c r="H83">
        <v>1</v>
      </c>
      <c r="I83" s="11" t="s">
        <v>427</v>
      </c>
      <c r="J83" t="s">
        <v>297</v>
      </c>
      <c r="K83" t="s">
        <v>239</v>
      </c>
      <c r="L83" s="11" t="s">
        <v>39</v>
      </c>
      <c r="M83" s="11" t="s">
        <v>39</v>
      </c>
      <c r="N83" s="11" t="s">
        <v>39</v>
      </c>
      <c r="O83" s="11" t="s">
        <v>39</v>
      </c>
      <c r="P83" t="s">
        <v>9</v>
      </c>
      <c r="Q83">
        <v>3155</v>
      </c>
      <c r="R83">
        <v>0</v>
      </c>
      <c r="S83">
        <v>0</v>
      </c>
      <c r="T83" t="str">
        <f t="shared" si="11"/>
        <v>-</v>
      </c>
      <c r="U83" t="str">
        <f t="shared" si="12"/>
        <v>-</v>
      </c>
      <c r="V83" t="str">
        <f t="shared" si="13"/>
        <v>-</v>
      </c>
      <c r="W83" t="str">
        <f t="shared" si="14"/>
        <v>-</v>
      </c>
      <c r="X83" t="str">
        <f t="shared" si="15"/>
        <v>-</v>
      </c>
      <c r="Y83" t="str">
        <f t="shared" si="16"/>
        <v>-</v>
      </c>
      <c r="Z83" t="str">
        <f t="shared" si="17"/>
        <v>-</v>
      </c>
      <c r="AA83" t="str">
        <f t="shared" si="18"/>
        <v>-</v>
      </c>
      <c r="AB83" t="str">
        <f>IF(_xlfn.IFNA(VLOOKUP(P83,Set_Ref!$B$6:$B$1048576,1,FALSE),"")&lt;&gt;"","-",FALSE)</f>
        <v>-</v>
      </c>
      <c r="AC83" t="str">
        <f t="shared" si="19"/>
        <v>-</v>
      </c>
      <c r="AD83" t="str">
        <f t="shared" si="20"/>
        <v>-</v>
      </c>
      <c r="AE83" t="b">
        <f t="shared" si="21"/>
        <v>1</v>
      </c>
    </row>
    <row r="84" spans="1:31" x14ac:dyDescent="0.25">
      <c r="A84">
        <v>1</v>
      </c>
      <c r="B84">
        <v>82</v>
      </c>
      <c r="C84">
        <v>261</v>
      </c>
      <c r="D84" s="11" t="s">
        <v>149</v>
      </c>
      <c r="E84" t="s">
        <v>305</v>
      </c>
      <c r="F84" t="s">
        <v>187</v>
      </c>
      <c r="G84" s="11" t="s">
        <v>454</v>
      </c>
      <c r="H84">
        <v>2</v>
      </c>
      <c r="I84" s="11" t="s">
        <v>427</v>
      </c>
      <c r="J84" t="s">
        <v>306</v>
      </c>
      <c r="K84" t="s">
        <v>240</v>
      </c>
      <c r="L84" s="11" t="s">
        <v>39</v>
      </c>
      <c r="M84" s="11" t="s">
        <v>39</v>
      </c>
      <c r="N84" s="11" t="s">
        <v>39</v>
      </c>
      <c r="O84" s="11" t="s">
        <v>39</v>
      </c>
      <c r="P84" t="s">
        <v>9</v>
      </c>
      <c r="Q84">
        <v>1950</v>
      </c>
      <c r="R84">
        <v>0</v>
      </c>
      <c r="S84">
        <v>0</v>
      </c>
      <c r="T84" t="str">
        <f t="shared" si="11"/>
        <v>-</v>
      </c>
      <c r="U84" t="str">
        <f t="shared" si="12"/>
        <v>-</v>
      </c>
      <c r="V84" t="str">
        <f t="shared" si="13"/>
        <v>-</v>
      </c>
      <c r="W84" t="str">
        <f t="shared" si="14"/>
        <v>-</v>
      </c>
      <c r="X84" t="str">
        <f t="shared" si="15"/>
        <v>-</v>
      </c>
      <c r="Y84" t="str">
        <f t="shared" si="16"/>
        <v>-</v>
      </c>
      <c r="Z84" t="str">
        <f t="shared" si="17"/>
        <v>-</v>
      </c>
      <c r="AA84" t="str">
        <f t="shared" si="18"/>
        <v>-</v>
      </c>
      <c r="AB84" t="str">
        <f>IF(_xlfn.IFNA(VLOOKUP(P84,Set_Ref!$B$6:$B$1048576,1,FALSE),"")&lt;&gt;"","-",FALSE)</f>
        <v>-</v>
      </c>
      <c r="AC84" t="str">
        <f t="shared" si="19"/>
        <v>-</v>
      </c>
      <c r="AD84" t="str">
        <f t="shared" si="20"/>
        <v>-</v>
      </c>
      <c r="AE84" t="b">
        <f t="shared" si="21"/>
        <v>1</v>
      </c>
    </row>
    <row r="85" spans="1:31" x14ac:dyDescent="0.25">
      <c r="A85">
        <v>1</v>
      </c>
      <c r="B85">
        <v>83</v>
      </c>
      <c r="C85">
        <v>261</v>
      </c>
      <c r="D85" s="11" t="s">
        <v>149</v>
      </c>
      <c r="E85" t="s">
        <v>307</v>
      </c>
      <c r="F85" t="s">
        <v>187</v>
      </c>
      <c r="G85" s="11" t="s">
        <v>455</v>
      </c>
      <c r="H85">
        <v>1</v>
      </c>
      <c r="I85" s="11" t="s">
        <v>427</v>
      </c>
      <c r="J85" t="s">
        <v>282</v>
      </c>
      <c r="K85" t="s">
        <v>224</v>
      </c>
      <c r="L85" s="11" t="s">
        <v>39</v>
      </c>
      <c r="M85" s="11" t="s">
        <v>39</v>
      </c>
      <c r="N85" s="11" t="s">
        <v>39</v>
      </c>
      <c r="O85" s="11" t="s">
        <v>39</v>
      </c>
      <c r="P85" t="s">
        <v>9</v>
      </c>
      <c r="Q85">
        <v>2300</v>
      </c>
      <c r="R85">
        <v>0</v>
      </c>
      <c r="S85">
        <v>0</v>
      </c>
      <c r="T85" t="str">
        <f t="shared" si="11"/>
        <v>-</v>
      </c>
      <c r="U85" t="str">
        <f t="shared" si="12"/>
        <v>-</v>
      </c>
      <c r="V85" t="str">
        <f t="shared" si="13"/>
        <v>-</v>
      </c>
      <c r="W85" t="str">
        <f t="shared" si="14"/>
        <v>-</v>
      </c>
      <c r="X85" t="str">
        <f t="shared" si="15"/>
        <v>-</v>
      </c>
      <c r="Y85" t="str">
        <f t="shared" si="16"/>
        <v>-</v>
      </c>
      <c r="Z85" t="str">
        <f t="shared" si="17"/>
        <v>-</v>
      </c>
      <c r="AA85" t="str">
        <f t="shared" si="18"/>
        <v>-</v>
      </c>
      <c r="AB85" t="str">
        <f>IF(_xlfn.IFNA(VLOOKUP(P85,Set_Ref!$B$6:$B$1048576,1,FALSE),"")&lt;&gt;"","-",FALSE)</f>
        <v>-</v>
      </c>
      <c r="AC85" t="str">
        <f t="shared" si="19"/>
        <v>-</v>
      </c>
      <c r="AD85" t="str">
        <f t="shared" si="20"/>
        <v>-</v>
      </c>
      <c r="AE85" t="b">
        <f t="shared" si="21"/>
        <v>1</v>
      </c>
    </row>
    <row r="86" spans="1:31" x14ac:dyDescent="0.25">
      <c r="A86">
        <v>1</v>
      </c>
      <c r="B86">
        <v>84</v>
      </c>
      <c r="C86">
        <v>261</v>
      </c>
      <c r="D86" s="11" t="s">
        <v>149</v>
      </c>
      <c r="E86" t="s">
        <v>307</v>
      </c>
      <c r="F86" t="s">
        <v>187</v>
      </c>
      <c r="G86" s="11" t="s">
        <v>455</v>
      </c>
      <c r="H86">
        <v>2</v>
      </c>
      <c r="I86" s="11" t="s">
        <v>433</v>
      </c>
      <c r="J86" t="s">
        <v>281</v>
      </c>
      <c r="K86" t="s">
        <v>222</v>
      </c>
      <c r="L86" s="11" t="s">
        <v>39</v>
      </c>
      <c r="M86" s="11" t="s">
        <v>39</v>
      </c>
      <c r="N86" s="11" t="s">
        <v>39</v>
      </c>
      <c r="O86" s="11" t="s">
        <v>39</v>
      </c>
      <c r="P86" t="s">
        <v>10</v>
      </c>
      <c r="Q86">
        <v>2022</v>
      </c>
      <c r="R86">
        <v>0</v>
      </c>
      <c r="S86">
        <v>0</v>
      </c>
      <c r="T86" t="str">
        <f t="shared" si="11"/>
        <v>-</v>
      </c>
      <c r="U86" t="str">
        <f t="shared" si="12"/>
        <v>-</v>
      </c>
      <c r="V86" t="str">
        <f t="shared" si="13"/>
        <v>-</v>
      </c>
      <c r="W86" t="str">
        <f t="shared" si="14"/>
        <v>-</v>
      </c>
      <c r="X86" t="str">
        <f t="shared" si="15"/>
        <v>-</v>
      </c>
      <c r="Y86" t="str">
        <f t="shared" si="16"/>
        <v>-</v>
      </c>
      <c r="Z86" t="str">
        <f t="shared" si="17"/>
        <v>-</v>
      </c>
      <c r="AA86" t="str">
        <f t="shared" si="18"/>
        <v>-</v>
      </c>
      <c r="AB86" t="str">
        <f>IF(_xlfn.IFNA(VLOOKUP(P86,Set_Ref!$B$6:$B$1048576,1,FALSE),"")&lt;&gt;"","-",FALSE)</f>
        <v>-</v>
      </c>
      <c r="AC86" t="str">
        <f t="shared" si="19"/>
        <v>-</v>
      </c>
      <c r="AD86" t="str">
        <f t="shared" si="20"/>
        <v>-</v>
      </c>
      <c r="AE86" t="b">
        <f t="shared" si="21"/>
        <v>1</v>
      </c>
    </row>
    <row r="87" spans="1:31" x14ac:dyDescent="0.25">
      <c r="A87">
        <v>1</v>
      </c>
      <c r="B87">
        <v>85</v>
      </c>
      <c r="C87">
        <v>261</v>
      </c>
      <c r="D87" s="11" t="s">
        <v>149</v>
      </c>
      <c r="E87" t="s">
        <v>308</v>
      </c>
      <c r="F87" t="s">
        <v>188</v>
      </c>
      <c r="G87" s="11" t="s">
        <v>456</v>
      </c>
      <c r="H87">
        <v>1</v>
      </c>
      <c r="I87" s="11" t="s">
        <v>444</v>
      </c>
      <c r="J87" t="s">
        <v>291</v>
      </c>
      <c r="K87" t="s">
        <v>234</v>
      </c>
      <c r="L87" s="11" t="s">
        <v>39</v>
      </c>
      <c r="M87" s="11" t="s">
        <v>39</v>
      </c>
      <c r="N87" s="11" t="s">
        <v>39</v>
      </c>
      <c r="O87" s="11" t="s">
        <v>39</v>
      </c>
      <c r="P87" t="s">
        <v>8</v>
      </c>
      <c r="Q87">
        <v>4</v>
      </c>
      <c r="R87">
        <v>0</v>
      </c>
      <c r="S87">
        <v>0</v>
      </c>
      <c r="T87" t="str">
        <f t="shared" si="11"/>
        <v>-</v>
      </c>
      <c r="U87" t="str">
        <f t="shared" si="12"/>
        <v>-</v>
      </c>
      <c r="V87" t="str">
        <f t="shared" si="13"/>
        <v>-</v>
      </c>
      <c r="W87" t="str">
        <f t="shared" si="14"/>
        <v>-</v>
      </c>
      <c r="X87" t="str">
        <f t="shared" si="15"/>
        <v>-</v>
      </c>
      <c r="Y87" t="str">
        <f t="shared" si="16"/>
        <v>-</v>
      </c>
      <c r="Z87" t="str">
        <f t="shared" si="17"/>
        <v>-</v>
      </c>
      <c r="AA87" t="str">
        <f t="shared" si="18"/>
        <v>-</v>
      </c>
      <c r="AB87" t="str">
        <f>IF(_xlfn.IFNA(VLOOKUP(P87,Set_Ref!$B$6:$B$1048576,1,FALSE),"")&lt;&gt;"","-",FALSE)</f>
        <v>-</v>
      </c>
      <c r="AC87" t="str">
        <f t="shared" si="19"/>
        <v>-</v>
      </c>
      <c r="AD87" t="str">
        <f t="shared" si="20"/>
        <v>-</v>
      </c>
      <c r="AE87" t="b">
        <f t="shared" si="21"/>
        <v>1</v>
      </c>
    </row>
    <row r="88" spans="1:31" x14ac:dyDescent="0.25">
      <c r="A88">
        <v>1</v>
      </c>
      <c r="B88">
        <v>86</v>
      </c>
      <c r="C88">
        <v>261</v>
      </c>
      <c r="D88" s="11" t="s">
        <v>149</v>
      </c>
      <c r="E88" t="s">
        <v>308</v>
      </c>
      <c r="F88" t="s">
        <v>188</v>
      </c>
      <c r="G88" s="11" t="s">
        <v>456</v>
      </c>
      <c r="H88">
        <v>2</v>
      </c>
      <c r="I88" s="11" t="s">
        <v>440</v>
      </c>
      <c r="J88" t="s">
        <v>457</v>
      </c>
      <c r="K88" t="s">
        <v>231</v>
      </c>
      <c r="L88" s="11" t="s">
        <v>39</v>
      </c>
      <c r="M88" s="11" t="s">
        <v>39</v>
      </c>
      <c r="N88" s="11" t="s">
        <v>39</v>
      </c>
      <c r="O88" s="11" t="s">
        <v>39</v>
      </c>
      <c r="P88" t="s">
        <v>10</v>
      </c>
      <c r="Q88">
        <v>3802.2</v>
      </c>
      <c r="R88">
        <v>0</v>
      </c>
      <c r="S88">
        <v>0</v>
      </c>
      <c r="T88" t="str">
        <f t="shared" si="11"/>
        <v>-</v>
      </c>
      <c r="U88" t="str">
        <f t="shared" si="12"/>
        <v>-</v>
      </c>
      <c r="V88" t="str">
        <f t="shared" si="13"/>
        <v>-</v>
      </c>
      <c r="W88" t="str">
        <f t="shared" si="14"/>
        <v>-</v>
      </c>
      <c r="X88" t="str">
        <f t="shared" si="15"/>
        <v>-</v>
      </c>
      <c r="Y88" t="str">
        <f t="shared" si="16"/>
        <v>-</v>
      </c>
      <c r="Z88" t="str">
        <f t="shared" si="17"/>
        <v>-</v>
      </c>
      <c r="AA88" t="str">
        <f t="shared" si="18"/>
        <v>-</v>
      </c>
      <c r="AB88" t="str">
        <f>IF(_xlfn.IFNA(VLOOKUP(P88,Set_Ref!$B$6:$B$1048576,1,FALSE),"")&lt;&gt;"","-",FALSE)</f>
        <v>-</v>
      </c>
      <c r="AC88" t="str">
        <f t="shared" si="19"/>
        <v>-</v>
      </c>
      <c r="AD88" t="str">
        <f t="shared" si="20"/>
        <v>-</v>
      </c>
      <c r="AE88" t="b">
        <f t="shared" si="21"/>
        <v>1</v>
      </c>
    </row>
    <row r="89" spans="1:31" x14ac:dyDescent="0.25">
      <c r="A89">
        <v>1</v>
      </c>
      <c r="B89">
        <v>87</v>
      </c>
      <c r="C89">
        <v>261</v>
      </c>
      <c r="D89" s="11" t="s">
        <v>149</v>
      </c>
      <c r="E89" t="s">
        <v>308</v>
      </c>
      <c r="F89" t="s">
        <v>188</v>
      </c>
      <c r="G89" s="11" t="s">
        <v>456</v>
      </c>
      <c r="H89">
        <v>2</v>
      </c>
      <c r="I89" s="11" t="s">
        <v>440</v>
      </c>
      <c r="J89" t="s">
        <v>457</v>
      </c>
      <c r="K89" t="s">
        <v>231</v>
      </c>
      <c r="L89" s="11" t="s">
        <v>39</v>
      </c>
      <c r="M89" s="11" t="s">
        <v>39</v>
      </c>
      <c r="N89" s="11" t="s">
        <v>39</v>
      </c>
      <c r="O89" s="11" t="s">
        <v>39</v>
      </c>
      <c r="P89" t="s">
        <v>10</v>
      </c>
      <c r="Q89">
        <v>111</v>
      </c>
      <c r="R89">
        <v>0</v>
      </c>
      <c r="S89">
        <v>0</v>
      </c>
      <c r="T89" t="str">
        <f t="shared" si="11"/>
        <v>-</v>
      </c>
      <c r="U89" t="str">
        <f t="shared" si="12"/>
        <v>-</v>
      </c>
      <c r="V89" t="str">
        <f t="shared" si="13"/>
        <v>-</v>
      </c>
      <c r="W89" t="str">
        <f t="shared" si="14"/>
        <v>-</v>
      </c>
      <c r="X89" t="str">
        <f t="shared" si="15"/>
        <v>-</v>
      </c>
      <c r="Y89" t="str">
        <f t="shared" si="16"/>
        <v>-</v>
      </c>
      <c r="Z89" t="str">
        <f t="shared" si="17"/>
        <v>-</v>
      </c>
      <c r="AA89" t="str">
        <f t="shared" si="18"/>
        <v>-</v>
      </c>
      <c r="AB89" t="str">
        <f>IF(_xlfn.IFNA(VLOOKUP(P89,Set_Ref!$B$6:$B$1048576,1,FALSE),"")&lt;&gt;"","-",FALSE)</f>
        <v>-</v>
      </c>
      <c r="AC89" t="str">
        <f t="shared" si="19"/>
        <v>-</v>
      </c>
      <c r="AD89" t="str">
        <f t="shared" si="20"/>
        <v>-</v>
      </c>
      <c r="AE89" t="b">
        <f t="shared" si="21"/>
        <v>1</v>
      </c>
    </row>
    <row r="90" spans="1:31" x14ac:dyDescent="0.25">
      <c r="A90">
        <v>1</v>
      </c>
      <c r="B90">
        <v>88</v>
      </c>
      <c r="C90">
        <v>261</v>
      </c>
      <c r="D90" s="11" t="s">
        <v>149</v>
      </c>
      <c r="E90" t="s">
        <v>310</v>
      </c>
      <c r="F90" t="s">
        <v>189</v>
      </c>
      <c r="G90" s="11" t="s">
        <v>458</v>
      </c>
      <c r="H90">
        <v>1</v>
      </c>
      <c r="I90" s="11" t="s">
        <v>427</v>
      </c>
      <c r="J90" t="s">
        <v>459</v>
      </c>
      <c r="K90" t="s">
        <v>240</v>
      </c>
      <c r="L90" s="11" t="s">
        <v>39</v>
      </c>
      <c r="M90" s="11" t="s">
        <v>39</v>
      </c>
      <c r="N90" s="11" t="s">
        <v>39</v>
      </c>
      <c r="O90" s="11" t="s">
        <v>39</v>
      </c>
      <c r="P90" t="s">
        <v>9</v>
      </c>
      <c r="Q90">
        <v>1800</v>
      </c>
      <c r="R90">
        <v>0</v>
      </c>
      <c r="S90">
        <v>0</v>
      </c>
      <c r="T90" t="str">
        <f t="shared" si="11"/>
        <v>-</v>
      </c>
      <c r="U90" t="str">
        <f t="shared" si="12"/>
        <v>-</v>
      </c>
      <c r="V90" t="str">
        <f t="shared" si="13"/>
        <v>-</v>
      </c>
      <c r="W90" t="str">
        <f t="shared" si="14"/>
        <v>-</v>
      </c>
      <c r="X90" t="str">
        <f t="shared" si="15"/>
        <v>-</v>
      </c>
      <c r="Y90" t="str">
        <f t="shared" si="16"/>
        <v>-</v>
      </c>
      <c r="Z90" t="str">
        <f t="shared" si="17"/>
        <v>-</v>
      </c>
      <c r="AA90" t="str">
        <f t="shared" si="18"/>
        <v>-</v>
      </c>
      <c r="AB90" t="str">
        <f>IF(_xlfn.IFNA(VLOOKUP(P90,Set_Ref!$B$6:$B$1048576,1,FALSE),"")&lt;&gt;"","-",FALSE)</f>
        <v>-</v>
      </c>
      <c r="AC90" t="str">
        <f t="shared" si="19"/>
        <v>-</v>
      </c>
      <c r="AD90" t="str">
        <f t="shared" si="20"/>
        <v>-</v>
      </c>
      <c r="AE90" t="b">
        <f t="shared" si="21"/>
        <v>1</v>
      </c>
    </row>
    <row r="91" spans="1:31" x14ac:dyDescent="0.25">
      <c r="A91">
        <v>1</v>
      </c>
      <c r="B91">
        <v>89</v>
      </c>
      <c r="C91">
        <v>261</v>
      </c>
      <c r="D91" s="11" t="s">
        <v>149</v>
      </c>
      <c r="E91" t="s">
        <v>310</v>
      </c>
      <c r="F91" t="s">
        <v>189</v>
      </c>
      <c r="G91" s="11" t="s">
        <v>458</v>
      </c>
      <c r="H91">
        <v>1</v>
      </c>
      <c r="I91" s="11" t="s">
        <v>427</v>
      </c>
      <c r="J91" t="s">
        <v>459</v>
      </c>
      <c r="K91" t="s">
        <v>240</v>
      </c>
      <c r="L91" s="11" t="s">
        <v>39</v>
      </c>
      <c r="M91" s="11" t="s">
        <v>39</v>
      </c>
      <c r="N91" s="11" t="s">
        <v>39</v>
      </c>
      <c r="O91" s="11" t="s">
        <v>39</v>
      </c>
      <c r="P91" t="s">
        <v>9</v>
      </c>
      <c r="Q91">
        <v>2105</v>
      </c>
      <c r="R91">
        <v>0</v>
      </c>
      <c r="S91">
        <v>0</v>
      </c>
      <c r="T91" t="str">
        <f t="shared" si="11"/>
        <v>-</v>
      </c>
      <c r="U91" t="str">
        <f t="shared" si="12"/>
        <v>-</v>
      </c>
      <c r="V91" t="str">
        <f t="shared" si="13"/>
        <v>-</v>
      </c>
      <c r="W91" t="str">
        <f t="shared" si="14"/>
        <v>-</v>
      </c>
      <c r="X91" t="str">
        <f t="shared" si="15"/>
        <v>-</v>
      </c>
      <c r="Y91" t="str">
        <f t="shared" si="16"/>
        <v>-</v>
      </c>
      <c r="Z91" t="str">
        <f t="shared" si="17"/>
        <v>-</v>
      </c>
      <c r="AA91" t="str">
        <f t="shared" si="18"/>
        <v>-</v>
      </c>
      <c r="AB91" t="str">
        <f>IF(_xlfn.IFNA(VLOOKUP(P91,Set_Ref!$B$6:$B$1048576,1,FALSE),"")&lt;&gt;"","-",FALSE)</f>
        <v>-</v>
      </c>
      <c r="AC91" t="str">
        <f t="shared" si="19"/>
        <v>-</v>
      </c>
      <c r="AD91" t="str">
        <f t="shared" si="20"/>
        <v>-</v>
      </c>
      <c r="AE91" t="b">
        <f t="shared" si="21"/>
        <v>1</v>
      </c>
    </row>
    <row r="92" spans="1:31" x14ac:dyDescent="0.25">
      <c r="A92">
        <v>1</v>
      </c>
      <c r="B92">
        <v>90</v>
      </c>
      <c r="C92">
        <v>261</v>
      </c>
      <c r="D92" s="11" t="s">
        <v>149</v>
      </c>
      <c r="E92" t="s">
        <v>310</v>
      </c>
      <c r="F92" t="s">
        <v>189</v>
      </c>
      <c r="G92" s="11" t="s">
        <v>458</v>
      </c>
      <c r="H92">
        <v>2</v>
      </c>
      <c r="I92" s="11" t="s">
        <v>177</v>
      </c>
      <c r="J92" t="s">
        <v>460</v>
      </c>
      <c r="K92" t="s">
        <v>241</v>
      </c>
      <c r="L92" s="11" t="s">
        <v>39</v>
      </c>
      <c r="M92" s="11" t="s">
        <v>39</v>
      </c>
      <c r="N92" s="11" t="s">
        <v>39</v>
      </c>
      <c r="O92" s="11" t="s">
        <v>39</v>
      </c>
      <c r="P92" t="s">
        <v>9</v>
      </c>
      <c r="Q92">
        <v>20</v>
      </c>
      <c r="R92">
        <v>0</v>
      </c>
      <c r="S92">
        <v>0</v>
      </c>
      <c r="T92" t="str">
        <f t="shared" si="11"/>
        <v>-</v>
      </c>
      <c r="U92" t="str">
        <f t="shared" si="12"/>
        <v>-</v>
      </c>
      <c r="V92" t="str">
        <f t="shared" si="13"/>
        <v>-</v>
      </c>
      <c r="W92" t="str">
        <f t="shared" si="14"/>
        <v>-</v>
      </c>
      <c r="X92" t="str">
        <f t="shared" si="15"/>
        <v>-</v>
      </c>
      <c r="Y92" t="str">
        <f t="shared" si="16"/>
        <v>-</v>
      </c>
      <c r="Z92" t="str">
        <f t="shared" si="17"/>
        <v>-</v>
      </c>
      <c r="AA92" t="str">
        <f t="shared" si="18"/>
        <v>-</v>
      </c>
      <c r="AB92" t="str">
        <f>IF(_xlfn.IFNA(VLOOKUP(P92,Set_Ref!$B$6:$B$1048576,1,FALSE),"")&lt;&gt;"","-",FALSE)</f>
        <v>-</v>
      </c>
      <c r="AC92" t="str">
        <f t="shared" si="19"/>
        <v>-</v>
      </c>
      <c r="AD92" t="str">
        <f t="shared" si="20"/>
        <v>-</v>
      </c>
      <c r="AE92" t="b">
        <f t="shared" si="21"/>
        <v>1</v>
      </c>
    </row>
    <row r="93" spans="1:31" x14ac:dyDescent="0.25">
      <c r="A93">
        <v>1</v>
      </c>
      <c r="B93">
        <v>91</v>
      </c>
      <c r="C93">
        <v>261</v>
      </c>
      <c r="D93" s="11" t="s">
        <v>149</v>
      </c>
      <c r="E93" t="s">
        <v>310</v>
      </c>
      <c r="F93" t="s">
        <v>189</v>
      </c>
      <c r="G93" s="11" t="s">
        <v>458</v>
      </c>
      <c r="H93">
        <v>2</v>
      </c>
      <c r="I93" s="11" t="s">
        <v>177</v>
      </c>
      <c r="J93" t="s">
        <v>460</v>
      </c>
      <c r="K93" t="s">
        <v>241</v>
      </c>
      <c r="L93" s="11" t="s">
        <v>39</v>
      </c>
      <c r="M93" s="11" t="s">
        <v>39</v>
      </c>
      <c r="N93" s="11" t="s">
        <v>39</v>
      </c>
      <c r="O93" s="11" t="s">
        <v>39</v>
      </c>
      <c r="P93" t="s">
        <v>9</v>
      </c>
      <c r="Q93">
        <v>110</v>
      </c>
      <c r="R93">
        <v>0</v>
      </c>
      <c r="S93">
        <v>0</v>
      </c>
      <c r="T93" t="str">
        <f t="shared" si="11"/>
        <v>-</v>
      </c>
      <c r="U93" t="str">
        <f t="shared" si="12"/>
        <v>-</v>
      </c>
      <c r="V93" t="str">
        <f t="shared" si="13"/>
        <v>-</v>
      </c>
      <c r="W93" t="str">
        <f t="shared" si="14"/>
        <v>-</v>
      </c>
      <c r="X93" t="str">
        <f t="shared" si="15"/>
        <v>-</v>
      </c>
      <c r="Y93" t="str">
        <f t="shared" si="16"/>
        <v>-</v>
      </c>
      <c r="Z93" t="str">
        <f t="shared" si="17"/>
        <v>-</v>
      </c>
      <c r="AA93" t="str">
        <f t="shared" si="18"/>
        <v>-</v>
      </c>
      <c r="AB93" t="str">
        <f>IF(_xlfn.IFNA(VLOOKUP(P93,Set_Ref!$B$6:$B$1048576,1,FALSE),"")&lt;&gt;"","-",FALSE)</f>
        <v>-</v>
      </c>
      <c r="AC93" t="str">
        <f t="shared" si="19"/>
        <v>-</v>
      </c>
      <c r="AD93" t="str">
        <f t="shared" si="20"/>
        <v>-</v>
      </c>
      <c r="AE93" t="b">
        <f t="shared" si="21"/>
        <v>1</v>
      </c>
    </row>
    <row r="94" spans="1:31" x14ac:dyDescent="0.25">
      <c r="A94">
        <v>1</v>
      </c>
      <c r="B94">
        <v>92</v>
      </c>
      <c r="C94">
        <v>261</v>
      </c>
      <c r="D94" s="11" t="s">
        <v>149</v>
      </c>
      <c r="E94" t="s">
        <v>310</v>
      </c>
      <c r="F94" t="s">
        <v>189</v>
      </c>
      <c r="G94" s="11" t="s">
        <v>458</v>
      </c>
      <c r="H94">
        <v>2</v>
      </c>
      <c r="I94" s="11" t="s">
        <v>177</v>
      </c>
      <c r="J94" t="s">
        <v>460</v>
      </c>
      <c r="K94" t="s">
        <v>241</v>
      </c>
      <c r="L94" s="11" t="s">
        <v>39</v>
      </c>
      <c r="M94" s="11" t="s">
        <v>39</v>
      </c>
      <c r="N94" s="11" t="s">
        <v>39</v>
      </c>
      <c r="O94" s="11" t="s">
        <v>39</v>
      </c>
      <c r="P94" t="s">
        <v>9</v>
      </c>
      <c r="Q94">
        <v>70</v>
      </c>
      <c r="R94">
        <v>0</v>
      </c>
      <c r="S94">
        <v>0</v>
      </c>
      <c r="T94" t="str">
        <f t="shared" si="11"/>
        <v>-</v>
      </c>
      <c r="U94" t="str">
        <f t="shared" si="12"/>
        <v>-</v>
      </c>
      <c r="V94" t="str">
        <f t="shared" si="13"/>
        <v>-</v>
      </c>
      <c r="W94" t="str">
        <f t="shared" si="14"/>
        <v>-</v>
      </c>
      <c r="X94" t="str">
        <f t="shared" si="15"/>
        <v>-</v>
      </c>
      <c r="Y94" t="str">
        <f t="shared" si="16"/>
        <v>-</v>
      </c>
      <c r="Z94" t="str">
        <f t="shared" si="17"/>
        <v>-</v>
      </c>
      <c r="AA94" t="str">
        <f t="shared" si="18"/>
        <v>-</v>
      </c>
      <c r="AB94" t="str">
        <f>IF(_xlfn.IFNA(VLOOKUP(P94,Set_Ref!$B$6:$B$1048576,1,FALSE),"")&lt;&gt;"","-",FALSE)</f>
        <v>-</v>
      </c>
      <c r="AC94" t="str">
        <f t="shared" si="19"/>
        <v>-</v>
      </c>
      <c r="AD94" t="str">
        <f t="shared" si="20"/>
        <v>-</v>
      </c>
      <c r="AE94" t="b">
        <f t="shared" si="21"/>
        <v>1</v>
      </c>
    </row>
    <row r="95" spans="1:31" x14ac:dyDescent="0.25">
      <c r="A95">
        <v>1</v>
      </c>
      <c r="B95">
        <v>93</v>
      </c>
      <c r="C95">
        <v>261</v>
      </c>
      <c r="D95" s="11" t="s">
        <v>149</v>
      </c>
      <c r="E95" t="s">
        <v>312</v>
      </c>
      <c r="F95" t="s">
        <v>189</v>
      </c>
      <c r="G95" s="11" t="s">
        <v>461</v>
      </c>
      <c r="H95">
        <v>1</v>
      </c>
      <c r="I95" s="11" t="s">
        <v>462</v>
      </c>
      <c r="J95" t="s">
        <v>313</v>
      </c>
      <c r="K95" t="s">
        <v>242</v>
      </c>
      <c r="L95" s="11" t="s">
        <v>39</v>
      </c>
      <c r="M95" s="11" t="s">
        <v>39</v>
      </c>
      <c r="N95" s="11" t="s">
        <v>39</v>
      </c>
      <c r="O95" s="11" t="s">
        <v>39</v>
      </c>
      <c r="P95" t="s">
        <v>8</v>
      </c>
      <c r="Q95">
        <v>657</v>
      </c>
      <c r="R95">
        <v>0</v>
      </c>
      <c r="S95">
        <v>0</v>
      </c>
      <c r="T95" t="str">
        <f t="shared" si="11"/>
        <v>-</v>
      </c>
      <c r="U95" t="str">
        <f t="shared" si="12"/>
        <v>-</v>
      </c>
      <c r="V95" t="str">
        <f t="shared" si="13"/>
        <v>-</v>
      </c>
      <c r="W95" t="str">
        <f t="shared" si="14"/>
        <v>-</v>
      </c>
      <c r="X95" t="str">
        <f t="shared" si="15"/>
        <v>-</v>
      </c>
      <c r="Y95" t="str">
        <f t="shared" si="16"/>
        <v>-</v>
      </c>
      <c r="Z95" t="str">
        <f t="shared" si="17"/>
        <v>-</v>
      </c>
      <c r="AA95" t="str">
        <f t="shared" si="18"/>
        <v>-</v>
      </c>
      <c r="AB95" t="str">
        <f>IF(_xlfn.IFNA(VLOOKUP(P95,Set_Ref!$B$6:$B$1048576,1,FALSE),"")&lt;&gt;"","-",FALSE)</f>
        <v>-</v>
      </c>
      <c r="AC95" t="str">
        <f t="shared" si="19"/>
        <v>-</v>
      </c>
      <c r="AD95" t="str">
        <f t="shared" si="20"/>
        <v>-</v>
      </c>
      <c r="AE95" t="b">
        <f t="shared" si="21"/>
        <v>1</v>
      </c>
    </row>
    <row r="96" spans="1:31" x14ac:dyDescent="0.25">
      <c r="A96">
        <v>1</v>
      </c>
      <c r="B96">
        <v>94</v>
      </c>
      <c r="C96">
        <v>261</v>
      </c>
      <c r="D96" s="11" t="s">
        <v>149</v>
      </c>
      <c r="E96" t="s">
        <v>314</v>
      </c>
      <c r="F96" t="s">
        <v>190</v>
      </c>
      <c r="G96" s="11" t="s">
        <v>463</v>
      </c>
      <c r="H96">
        <v>1</v>
      </c>
      <c r="I96" s="11" t="s">
        <v>172</v>
      </c>
      <c r="J96" t="s">
        <v>315</v>
      </c>
      <c r="K96" t="s">
        <v>243</v>
      </c>
      <c r="L96" s="11" t="s">
        <v>39</v>
      </c>
      <c r="M96" s="11" t="s">
        <v>39</v>
      </c>
      <c r="N96" s="11" t="s">
        <v>39</v>
      </c>
      <c r="O96" s="11" t="s">
        <v>39</v>
      </c>
      <c r="P96" t="s">
        <v>11</v>
      </c>
      <c r="Q96">
        <v>11</v>
      </c>
      <c r="R96">
        <v>0</v>
      </c>
      <c r="S96">
        <v>0</v>
      </c>
      <c r="T96" t="str">
        <f t="shared" si="11"/>
        <v>-</v>
      </c>
      <c r="U96" t="str">
        <f t="shared" si="12"/>
        <v>-</v>
      </c>
      <c r="V96" t="str">
        <f t="shared" si="13"/>
        <v>-</v>
      </c>
      <c r="W96" t="str">
        <f t="shared" si="14"/>
        <v>-</v>
      </c>
      <c r="X96" t="str">
        <f t="shared" si="15"/>
        <v>-</v>
      </c>
      <c r="Y96" t="str">
        <f t="shared" si="16"/>
        <v>-</v>
      </c>
      <c r="Z96" t="str">
        <f t="shared" si="17"/>
        <v>-</v>
      </c>
      <c r="AA96" t="str">
        <f t="shared" si="18"/>
        <v>-</v>
      </c>
      <c r="AB96" t="str">
        <f>IF(_xlfn.IFNA(VLOOKUP(P96,Set_Ref!$B$6:$B$1048576,1,FALSE),"")&lt;&gt;"","-",FALSE)</f>
        <v>-</v>
      </c>
      <c r="AC96" t="str">
        <f t="shared" si="19"/>
        <v>-</v>
      </c>
      <c r="AD96" t="str">
        <f t="shared" si="20"/>
        <v>-</v>
      </c>
      <c r="AE96" t="b">
        <f t="shared" si="21"/>
        <v>1</v>
      </c>
    </row>
    <row r="97" spans="1:31" x14ac:dyDescent="0.25">
      <c r="A97">
        <v>1</v>
      </c>
      <c r="B97">
        <v>95</v>
      </c>
      <c r="C97">
        <v>261</v>
      </c>
      <c r="D97" s="11" t="s">
        <v>149</v>
      </c>
      <c r="E97" t="s">
        <v>314</v>
      </c>
      <c r="F97" t="s">
        <v>190</v>
      </c>
      <c r="G97" s="11" t="s">
        <v>463</v>
      </c>
      <c r="H97">
        <v>2</v>
      </c>
      <c r="I97" s="11" t="s">
        <v>427</v>
      </c>
      <c r="J97" t="s">
        <v>316</v>
      </c>
      <c r="K97" t="s">
        <v>244</v>
      </c>
      <c r="L97" s="11" t="s">
        <v>39</v>
      </c>
      <c r="M97" s="11" t="s">
        <v>39</v>
      </c>
      <c r="N97" s="11" t="s">
        <v>39</v>
      </c>
      <c r="O97" s="11" t="s">
        <v>39</v>
      </c>
      <c r="P97" t="s">
        <v>9</v>
      </c>
      <c r="Q97">
        <v>4000</v>
      </c>
      <c r="R97">
        <v>0</v>
      </c>
      <c r="S97">
        <v>0</v>
      </c>
      <c r="T97" t="str">
        <f t="shared" si="11"/>
        <v>-</v>
      </c>
      <c r="U97" t="str">
        <f t="shared" si="12"/>
        <v>-</v>
      </c>
      <c r="V97" t="str">
        <f t="shared" si="13"/>
        <v>-</v>
      </c>
      <c r="W97" t="str">
        <f t="shared" si="14"/>
        <v>-</v>
      </c>
      <c r="X97" t="str">
        <f t="shared" si="15"/>
        <v>-</v>
      </c>
      <c r="Y97" t="str">
        <f t="shared" si="16"/>
        <v>-</v>
      </c>
      <c r="Z97" t="str">
        <f t="shared" si="17"/>
        <v>-</v>
      </c>
      <c r="AA97" t="str">
        <f t="shared" si="18"/>
        <v>-</v>
      </c>
      <c r="AB97" t="str">
        <f>IF(_xlfn.IFNA(VLOOKUP(P97,Set_Ref!$B$6:$B$1048576,1,FALSE),"")&lt;&gt;"","-",FALSE)</f>
        <v>-</v>
      </c>
      <c r="AC97" t="str">
        <f t="shared" si="19"/>
        <v>-</v>
      </c>
      <c r="AD97" t="str">
        <f t="shared" si="20"/>
        <v>-</v>
      </c>
      <c r="AE97" t="b">
        <f t="shared" si="21"/>
        <v>1</v>
      </c>
    </row>
    <row r="98" spans="1:31" x14ac:dyDescent="0.25">
      <c r="A98">
        <v>1</v>
      </c>
      <c r="B98">
        <v>96</v>
      </c>
      <c r="C98">
        <v>261</v>
      </c>
      <c r="D98" s="11" t="s">
        <v>149</v>
      </c>
      <c r="E98" t="s">
        <v>314</v>
      </c>
      <c r="F98" t="s">
        <v>190</v>
      </c>
      <c r="G98" s="11" t="s">
        <v>463</v>
      </c>
      <c r="H98">
        <v>3</v>
      </c>
      <c r="I98" s="11" t="s">
        <v>427</v>
      </c>
      <c r="J98" t="s">
        <v>317</v>
      </c>
      <c r="K98" t="s">
        <v>245</v>
      </c>
      <c r="L98" s="11" t="s">
        <v>39</v>
      </c>
      <c r="M98" s="11" t="s">
        <v>39</v>
      </c>
      <c r="N98" s="11" t="s">
        <v>39</v>
      </c>
      <c r="O98" s="11" t="s">
        <v>39</v>
      </c>
      <c r="P98" t="s">
        <v>9</v>
      </c>
      <c r="Q98">
        <v>4000</v>
      </c>
      <c r="R98">
        <v>0</v>
      </c>
      <c r="S98">
        <v>0</v>
      </c>
      <c r="T98" t="str">
        <f t="shared" si="11"/>
        <v>-</v>
      </c>
      <c r="U98" t="str">
        <f t="shared" si="12"/>
        <v>-</v>
      </c>
      <c r="V98" t="str">
        <f t="shared" si="13"/>
        <v>-</v>
      </c>
      <c r="W98" t="str">
        <f t="shared" si="14"/>
        <v>-</v>
      </c>
      <c r="X98" t="str">
        <f t="shared" si="15"/>
        <v>-</v>
      </c>
      <c r="Y98" t="str">
        <f t="shared" si="16"/>
        <v>-</v>
      </c>
      <c r="Z98" t="str">
        <f t="shared" si="17"/>
        <v>-</v>
      </c>
      <c r="AA98" t="str">
        <f t="shared" si="18"/>
        <v>-</v>
      </c>
      <c r="AB98" t="str">
        <f>IF(_xlfn.IFNA(VLOOKUP(P98,Set_Ref!$B$6:$B$1048576,1,FALSE),"")&lt;&gt;"","-",FALSE)</f>
        <v>-</v>
      </c>
      <c r="AC98" t="str">
        <f t="shared" si="19"/>
        <v>-</v>
      </c>
      <c r="AD98" t="str">
        <f t="shared" si="20"/>
        <v>-</v>
      </c>
      <c r="AE98" t="b">
        <f t="shared" si="21"/>
        <v>1</v>
      </c>
    </row>
    <row r="99" spans="1:31" x14ac:dyDescent="0.25">
      <c r="A99">
        <v>1</v>
      </c>
      <c r="B99">
        <v>97</v>
      </c>
      <c r="C99">
        <v>261</v>
      </c>
      <c r="D99" s="11" t="s">
        <v>149</v>
      </c>
      <c r="E99" t="s">
        <v>314</v>
      </c>
      <c r="F99" t="s">
        <v>190</v>
      </c>
      <c r="G99" s="11" t="s">
        <v>463</v>
      </c>
      <c r="H99">
        <v>4</v>
      </c>
      <c r="I99" s="11" t="s">
        <v>427</v>
      </c>
      <c r="J99" t="s">
        <v>318</v>
      </c>
      <c r="K99" t="s">
        <v>246</v>
      </c>
      <c r="L99" s="11" t="s">
        <v>39</v>
      </c>
      <c r="M99" s="11" t="s">
        <v>39</v>
      </c>
      <c r="N99" s="11" t="s">
        <v>39</v>
      </c>
      <c r="O99" s="11" t="s">
        <v>39</v>
      </c>
      <c r="P99" t="s">
        <v>9</v>
      </c>
      <c r="Q99">
        <v>1500</v>
      </c>
      <c r="R99">
        <v>0</v>
      </c>
      <c r="S99">
        <v>0</v>
      </c>
      <c r="T99" t="str">
        <f t="shared" si="11"/>
        <v>-</v>
      </c>
      <c r="U99" t="str">
        <f t="shared" si="12"/>
        <v>-</v>
      </c>
      <c r="V99" t="str">
        <f t="shared" si="13"/>
        <v>-</v>
      </c>
      <c r="W99" t="str">
        <f t="shared" si="14"/>
        <v>-</v>
      </c>
      <c r="X99" t="str">
        <f t="shared" si="15"/>
        <v>-</v>
      </c>
      <c r="Y99" t="str">
        <f t="shared" si="16"/>
        <v>-</v>
      </c>
      <c r="Z99" t="str">
        <f t="shared" si="17"/>
        <v>-</v>
      </c>
      <c r="AA99" t="str">
        <f t="shared" si="18"/>
        <v>-</v>
      </c>
      <c r="AB99" t="str">
        <f>IF(_xlfn.IFNA(VLOOKUP(P99,Set_Ref!$B$6:$B$1048576,1,FALSE),"")&lt;&gt;"","-",FALSE)</f>
        <v>-</v>
      </c>
      <c r="AC99" t="str">
        <f t="shared" si="19"/>
        <v>-</v>
      </c>
      <c r="AD99" t="str">
        <f t="shared" si="20"/>
        <v>-</v>
      </c>
      <c r="AE99" t="b">
        <f t="shared" si="21"/>
        <v>1</v>
      </c>
    </row>
    <row r="100" spans="1:31" x14ac:dyDescent="0.25">
      <c r="A100">
        <v>1</v>
      </c>
      <c r="B100">
        <v>98</v>
      </c>
      <c r="C100">
        <v>261</v>
      </c>
      <c r="D100" s="11" t="s">
        <v>149</v>
      </c>
      <c r="E100" t="s">
        <v>314</v>
      </c>
      <c r="F100" t="s">
        <v>190</v>
      </c>
      <c r="G100" s="11" t="s">
        <v>463</v>
      </c>
      <c r="H100">
        <v>5</v>
      </c>
      <c r="I100" s="11" t="s">
        <v>427</v>
      </c>
      <c r="J100" t="s">
        <v>319</v>
      </c>
      <c r="K100" t="s">
        <v>247</v>
      </c>
      <c r="L100" s="11" t="s">
        <v>39</v>
      </c>
      <c r="M100" s="11" t="s">
        <v>39</v>
      </c>
      <c r="N100" s="11" t="s">
        <v>39</v>
      </c>
      <c r="O100" s="11" t="s">
        <v>39</v>
      </c>
      <c r="P100" t="s">
        <v>9</v>
      </c>
      <c r="Q100">
        <v>349</v>
      </c>
      <c r="R100">
        <v>0</v>
      </c>
      <c r="S100">
        <v>0</v>
      </c>
      <c r="T100" t="str">
        <f t="shared" si="11"/>
        <v>-</v>
      </c>
      <c r="U100" t="str">
        <f t="shared" si="12"/>
        <v>-</v>
      </c>
      <c r="V100" t="str">
        <f t="shared" si="13"/>
        <v>-</v>
      </c>
      <c r="W100" t="str">
        <f t="shared" si="14"/>
        <v>-</v>
      </c>
      <c r="X100" t="str">
        <f t="shared" si="15"/>
        <v>-</v>
      </c>
      <c r="Y100" t="str">
        <f t="shared" si="16"/>
        <v>-</v>
      </c>
      <c r="Z100" t="str">
        <f t="shared" si="17"/>
        <v>-</v>
      </c>
      <c r="AA100" t="str">
        <f t="shared" si="18"/>
        <v>-</v>
      </c>
      <c r="AB100" t="str">
        <f>IF(_xlfn.IFNA(VLOOKUP(P100,Set_Ref!$B$6:$B$1048576,1,FALSE),"")&lt;&gt;"","-",FALSE)</f>
        <v>-</v>
      </c>
      <c r="AC100" t="str">
        <f t="shared" si="19"/>
        <v>-</v>
      </c>
      <c r="AD100" t="str">
        <f t="shared" si="20"/>
        <v>-</v>
      </c>
      <c r="AE100" t="b">
        <f t="shared" si="21"/>
        <v>1</v>
      </c>
    </row>
    <row r="101" spans="1:31" x14ac:dyDescent="0.25">
      <c r="A101">
        <v>1</v>
      </c>
      <c r="B101">
        <v>99</v>
      </c>
      <c r="C101">
        <v>261</v>
      </c>
      <c r="D101" s="11" t="s">
        <v>149</v>
      </c>
      <c r="E101" t="s">
        <v>314</v>
      </c>
      <c r="F101" t="s">
        <v>190</v>
      </c>
      <c r="G101" s="11" t="s">
        <v>463</v>
      </c>
      <c r="H101">
        <v>6</v>
      </c>
      <c r="I101" s="11" t="s">
        <v>440</v>
      </c>
      <c r="J101" t="s">
        <v>289</v>
      </c>
      <c r="K101" t="s">
        <v>231</v>
      </c>
      <c r="L101" s="11" t="s">
        <v>39</v>
      </c>
      <c r="M101" s="11" t="s">
        <v>39</v>
      </c>
      <c r="N101" s="11" t="s">
        <v>39</v>
      </c>
      <c r="O101" s="11" t="s">
        <v>39</v>
      </c>
      <c r="P101" t="s">
        <v>10</v>
      </c>
      <c r="Q101">
        <v>1443.4</v>
      </c>
      <c r="R101">
        <v>0</v>
      </c>
      <c r="S101">
        <v>0</v>
      </c>
      <c r="T101" t="str">
        <f t="shared" si="11"/>
        <v>-</v>
      </c>
      <c r="U101" t="str">
        <f t="shared" si="12"/>
        <v>-</v>
      </c>
      <c r="V101" t="str">
        <f t="shared" si="13"/>
        <v>-</v>
      </c>
      <c r="W101" t="str">
        <f t="shared" si="14"/>
        <v>-</v>
      </c>
      <c r="X101" t="str">
        <f t="shared" si="15"/>
        <v>-</v>
      </c>
      <c r="Y101" t="str">
        <f t="shared" si="16"/>
        <v>-</v>
      </c>
      <c r="Z101" t="str">
        <f t="shared" si="17"/>
        <v>-</v>
      </c>
      <c r="AA101" t="str">
        <f t="shared" si="18"/>
        <v>-</v>
      </c>
      <c r="AB101" t="str">
        <f>IF(_xlfn.IFNA(VLOOKUP(P101,Set_Ref!$B$6:$B$1048576,1,FALSE),"")&lt;&gt;"","-",FALSE)</f>
        <v>-</v>
      </c>
      <c r="AC101" t="str">
        <f t="shared" si="19"/>
        <v>-</v>
      </c>
      <c r="AD101" t="str">
        <f t="shared" si="20"/>
        <v>-</v>
      </c>
      <c r="AE101" t="b">
        <f t="shared" si="21"/>
        <v>1</v>
      </c>
    </row>
    <row r="102" spans="1:31" x14ac:dyDescent="0.25">
      <c r="A102">
        <v>1</v>
      </c>
      <c r="B102">
        <v>100</v>
      </c>
      <c r="C102">
        <v>261</v>
      </c>
      <c r="D102" s="11" t="s">
        <v>149</v>
      </c>
      <c r="E102" t="s">
        <v>320</v>
      </c>
      <c r="F102" t="s">
        <v>190</v>
      </c>
      <c r="G102" s="11" t="s">
        <v>464</v>
      </c>
      <c r="H102">
        <v>1</v>
      </c>
      <c r="I102" s="11" t="s">
        <v>172</v>
      </c>
      <c r="J102" t="s">
        <v>315</v>
      </c>
      <c r="K102" t="s">
        <v>243</v>
      </c>
      <c r="L102" s="11" t="s">
        <v>39</v>
      </c>
      <c r="M102" s="11" t="s">
        <v>39</v>
      </c>
      <c r="N102" s="11" t="s">
        <v>39</v>
      </c>
      <c r="O102" s="11" t="s">
        <v>39</v>
      </c>
      <c r="P102" t="s">
        <v>11</v>
      </c>
      <c r="Q102">
        <v>51</v>
      </c>
      <c r="R102">
        <v>0</v>
      </c>
      <c r="S102">
        <v>0</v>
      </c>
      <c r="T102" t="str">
        <f t="shared" si="11"/>
        <v>-</v>
      </c>
      <c r="U102" t="str">
        <f t="shared" si="12"/>
        <v>-</v>
      </c>
      <c r="V102" t="str">
        <f t="shared" si="13"/>
        <v>-</v>
      </c>
      <c r="W102" t="str">
        <f t="shared" si="14"/>
        <v>-</v>
      </c>
      <c r="X102" t="str">
        <f t="shared" si="15"/>
        <v>-</v>
      </c>
      <c r="Y102" t="str">
        <f t="shared" si="16"/>
        <v>-</v>
      </c>
      <c r="Z102" t="str">
        <f t="shared" si="17"/>
        <v>-</v>
      </c>
      <c r="AA102" t="str">
        <f t="shared" si="18"/>
        <v>-</v>
      </c>
      <c r="AB102" t="str">
        <f>IF(_xlfn.IFNA(VLOOKUP(P102,Set_Ref!$B$6:$B$1048576,1,FALSE),"")&lt;&gt;"","-",FALSE)</f>
        <v>-</v>
      </c>
      <c r="AC102" t="str">
        <f t="shared" si="19"/>
        <v>-</v>
      </c>
      <c r="AD102" t="str">
        <f t="shared" si="20"/>
        <v>-</v>
      </c>
      <c r="AE102" t="b">
        <f t="shared" si="21"/>
        <v>1</v>
      </c>
    </row>
    <row r="103" spans="1:31" x14ac:dyDescent="0.25">
      <c r="A103">
        <v>1</v>
      </c>
      <c r="B103">
        <v>101</v>
      </c>
      <c r="C103">
        <v>261</v>
      </c>
      <c r="D103" s="11" t="s">
        <v>149</v>
      </c>
      <c r="E103" t="s">
        <v>320</v>
      </c>
      <c r="F103" t="s">
        <v>190</v>
      </c>
      <c r="G103" s="11" t="s">
        <v>464</v>
      </c>
      <c r="H103">
        <v>2</v>
      </c>
      <c r="I103" s="11" t="s">
        <v>430</v>
      </c>
      <c r="J103" t="s">
        <v>278</v>
      </c>
      <c r="K103" t="s">
        <v>218</v>
      </c>
      <c r="L103" s="11" t="s">
        <v>39</v>
      </c>
      <c r="M103" s="11" t="s">
        <v>39</v>
      </c>
      <c r="N103" s="11" t="s">
        <v>39</v>
      </c>
      <c r="O103" s="11" t="s">
        <v>39</v>
      </c>
      <c r="P103" t="s">
        <v>58</v>
      </c>
      <c r="Q103">
        <v>2.54</v>
      </c>
      <c r="R103">
        <v>0</v>
      </c>
      <c r="S103">
        <v>0</v>
      </c>
      <c r="T103" t="str">
        <f t="shared" si="11"/>
        <v>-</v>
      </c>
      <c r="U103" t="str">
        <f t="shared" si="12"/>
        <v>-</v>
      </c>
      <c r="V103" t="str">
        <f t="shared" si="13"/>
        <v>-</v>
      </c>
      <c r="W103" t="str">
        <f t="shared" si="14"/>
        <v>-</v>
      </c>
      <c r="X103" t="str">
        <f t="shared" si="15"/>
        <v>-</v>
      </c>
      <c r="Y103" t="str">
        <f t="shared" si="16"/>
        <v>-</v>
      </c>
      <c r="Z103" t="str">
        <f t="shared" si="17"/>
        <v>-</v>
      </c>
      <c r="AA103" t="str">
        <f t="shared" si="18"/>
        <v>-</v>
      </c>
      <c r="AB103" t="str">
        <f>IF(_xlfn.IFNA(VLOOKUP(P103,Set_Ref!$B$6:$B$1048576,1,FALSE),"")&lt;&gt;"","-",FALSE)</f>
        <v>-</v>
      </c>
      <c r="AC103" t="str">
        <f t="shared" si="19"/>
        <v>-</v>
      </c>
      <c r="AD103" t="str">
        <f t="shared" si="20"/>
        <v>-</v>
      </c>
      <c r="AE103" t="b">
        <f t="shared" si="21"/>
        <v>1</v>
      </c>
    </row>
    <row r="104" spans="1:31" x14ac:dyDescent="0.25">
      <c r="A104">
        <v>1</v>
      </c>
      <c r="B104">
        <v>102</v>
      </c>
      <c r="C104">
        <v>261</v>
      </c>
      <c r="D104" s="11" t="s">
        <v>149</v>
      </c>
      <c r="E104" t="s">
        <v>320</v>
      </c>
      <c r="F104" t="s">
        <v>190</v>
      </c>
      <c r="G104" s="11" t="s">
        <v>464</v>
      </c>
      <c r="H104">
        <v>3</v>
      </c>
      <c r="I104" s="11" t="s">
        <v>427</v>
      </c>
      <c r="J104" t="s">
        <v>311</v>
      </c>
      <c r="K104" t="s">
        <v>240</v>
      </c>
      <c r="L104" s="11" t="s">
        <v>39</v>
      </c>
      <c r="M104" s="11" t="s">
        <v>39</v>
      </c>
      <c r="N104" s="11" t="s">
        <v>39</v>
      </c>
      <c r="O104" s="11" t="s">
        <v>39</v>
      </c>
      <c r="P104" t="s">
        <v>9</v>
      </c>
      <c r="Q104">
        <v>200</v>
      </c>
      <c r="R104">
        <v>0</v>
      </c>
      <c r="S104">
        <v>0</v>
      </c>
      <c r="T104" t="str">
        <f t="shared" si="11"/>
        <v>-</v>
      </c>
      <c r="U104" t="str">
        <f t="shared" si="12"/>
        <v>-</v>
      </c>
      <c r="V104" t="str">
        <f t="shared" si="13"/>
        <v>-</v>
      </c>
      <c r="W104" t="str">
        <f t="shared" si="14"/>
        <v>-</v>
      </c>
      <c r="X104" t="str">
        <f t="shared" si="15"/>
        <v>-</v>
      </c>
      <c r="Y104" t="str">
        <f t="shared" si="16"/>
        <v>-</v>
      </c>
      <c r="Z104" t="str">
        <f t="shared" si="17"/>
        <v>-</v>
      </c>
      <c r="AA104" t="str">
        <f t="shared" si="18"/>
        <v>-</v>
      </c>
      <c r="AB104" t="str">
        <f>IF(_xlfn.IFNA(VLOOKUP(P104,Set_Ref!$B$6:$B$1048576,1,FALSE),"")&lt;&gt;"","-",FALSE)</f>
        <v>-</v>
      </c>
      <c r="AC104" t="str">
        <f t="shared" si="19"/>
        <v>-</v>
      </c>
      <c r="AD104" t="str">
        <f t="shared" si="20"/>
        <v>-</v>
      </c>
      <c r="AE104" t="b">
        <f t="shared" si="21"/>
        <v>1</v>
      </c>
    </row>
    <row r="105" spans="1:31" x14ac:dyDescent="0.25">
      <c r="A105">
        <v>1</v>
      </c>
      <c r="B105">
        <v>103</v>
      </c>
      <c r="C105">
        <v>261</v>
      </c>
      <c r="D105" s="11" t="s">
        <v>149</v>
      </c>
      <c r="E105" t="s">
        <v>321</v>
      </c>
      <c r="F105" t="s">
        <v>191</v>
      </c>
      <c r="G105" s="11" t="s">
        <v>465</v>
      </c>
      <c r="H105">
        <v>1</v>
      </c>
      <c r="I105" s="11" t="s">
        <v>178</v>
      </c>
      <c r="J105" t="s">
        <v>322</v>
      </c>
      <c r="K105" t="s">
        <v>248</v>
      </c>
      <c r="L105" s="11" t="s">
        <v>39</v>
      </c>
      <c r="M105" s="11" t="s">
        <v>39</v>
      </c>
      <c r="N105" s="11" t="s">
        <v>39</v>
      </c>
      <c r="O105" s="11" t="s">
        <v>39</v>
      </c>
      <c r="P105" t="s">
        <v>38</v>
      </c>
      <c r="Q105">
        <v>32</v>
      </c>
      <c r="R105">
        <v>0</v>
      </c>
      <c r="S105">
        <v>0</v>
      </c>
      <c r="T105" t="str">
        <f t="shared" si="11"/>
        <v>-</v>
      </c>
      <c r="U105" t="str">
        <f t="shared" si="12"/>
        <v>-</v>
      </c>
      <c r="V105" t="str">
        <f t="shared" si="13"/>
        <v>-</v>
      </c>
      <c r="W105" t="str">
        <f t="shared" si="14"/>
        <v>-</v>
      </c>
      <c r="X105" t="str">
        <f t="shared" si="15"/>
        <v>-</v>
      </c>
      <c r="Y105" t="str">
        <f t="shared" si="16"/>
        <v>-</v>
      </c>
      <c r="Z105" t="str">
        <f t="shared" si="17"/>
        <v>-</v>
      </c>
      <c r="AA105" t="str">
        <f t="shared" si="18"/>
        <v>-</v>
      </c>
      <c r="AB105" t="str">
        <f>IF(_xlfn.IFNA(VLOOKUP(P105,Set_Ref!$B$6:$B$1048576,1,FALSE),"")&lt;&gt;"","-",FALSE)</f>
        <v>-</v>
      </c>
      <c r="AC105" t="str">
        <f t="shared" si="19"/>
        <v>-</v>
      </c>
      <c r="AD105" t="str">
        <f t="shared" si="20"/>
        <v>-</v>
      </c>
      <c r="AE105" t="b">
        <f t="shared" si="21"/>
        <v>1</v>
      </c>
    </row>
    <row r="106" spans="1:31" x14ac:dyDescent="0.25">
      <c r="A106">
        <v>1</v>
      </c>
      <c r="B106">
        <v>104</v>
      </c>
      <c r="C106">
        <v>261</v>
      </c>
      <c r="D106" s="11" t="s">
        <v>149</v>
      </c>
      <c r="E106" t="s">
        <v>321</v>
      </c>
      <c r="F106" t="s">
        <v>191</v>
      </c>
      <c r="G106" s="11" t="s">
        <v>465</v>
      </c>
      <c r="H106">
        <v>2</v>
      </c>
      <c r="I106" s="11" t="s">
        <v>466</v>
      </c>
      <c r="J106" t="s">
        <v>323</v>
      </c>
      <c r="K106" t="s">
        <v>249</v>
      </c>
      <c r="L106" s="11" t="s">
        <v>39</v>
      </c>
      <c r="M106" s="11" t="s">
        <v>39</v>
      </c>
      <c r="N106" s="11" t="s">
        <v>39</v>
      </c>
      <c r="O106" s="11" t="s">
        <v>39</v>
      </c>
      <c r="P106" t="s">
        <v>10</v>
      </c>
      <c r="Q106">
        <v>167</v>
      </c>
      <c r="R106">
        <v>0</v>
      </c>
      <c r="S106">
        <v>0</v>
      </c>
      <c r="T106" t="str">
        <f t="shared" si="11"/>
        <v>-</v>
      </c>
      <c r="U106" t="str">
        <f t="shared" si="12"/>
        <v>-</v>
      </c>
      <c r="V106" t="str">
        <f t="shared" si="13"/>
        <v>-</v>
      </c>
      <c r="W106" t="str">
        <f t="shared" si="14"/>
        <v>-</v>
      </c>
      <c r="X106" t="str">
        <f t="shared" si="15"/>
        <v>-</v>
      </c>
      <c r="Y106" t="str">
        <f t="shared" si="16"/>
        <v>-</v>
      </c>
      <c r="Z106" t="str">
        <f t="shared" si="17"/>
        <v>-</v>
      </c>
      <c r="AA106" t="str">
        <f t="shared" si="18"/>
        <v>-</v>
      </c>
      <c r="AB106" t="str">
        <f>IF(_xlfn.IFNA(VLOOKUP(P106,Set_Ref!$B$6:$B$1048576,1,FALSE),"")&lt;&gt;"","-",FALSE)</f>
        <v>-</v>
      </c>
      <c r="AC106" t="str">
        <f t="shared" si="19"/>
        <v>-</v>
      </c>
      <c r="AD106" t="str">
        <f t="shared" si="20"/>
        <v>-</v>
      </c>
      <c r="AE106" t="b">
        <f t="shared" si="21"/>
        <v>1</v>
      </c>
    </row>
    <row r="107" spans="1:31" x14ac:dyDescent="0.25">
      <c r="A107">
        <v>1</v>
      </c>
      <c r="B107">
        <v>105</v>
      </c>
      <c r="C107">
        <v>261</v>
      </c>
      <c r="D107" s="11" t="s">
        <v>149</v>
      </c>
      <c r="E107" t="s">
        <v>321</v>
      </c>
      <c r="F107" t="s">
        <v>191</v>
      </c>
      <c r="G107" s="11" t="s">
        <v>465</v>
      </c>
      <c r="H107">
        <v>3</v>
      </c>
      <c r="I107" s="11" t="s">
        <v>427</v>
      </c>
      <c r="J107" t="s">
        <v>311</v>
      </c>
      <c r="K107" t="s">
        <v>240</v>
      </c>
      <c r="L107" s="11" t="s">
        <v>39</v>
      </c>
      <c r="M107" s="11" t="s">
        <v>39</v>
      </c>
      <c r="N107" s="11" t="s">
        <v>39</v>
      </c>
      <c r="O107" s="11" t="s">
        <v>39</v>
      </c>
      <c r="P107" t="s">
        <v>9</v>
      </c>
      <c r="Q107">
        <v>1445</v>
      </c>
      <c r="R107">
        <v>0</v>
      </c>
      <c r="S107">
        <v>0</v>
      </c>
      <c r="T107" t="str">
        <f t="shared" si="11"/>
        <v>-</v>
      </c>
      <c r="U107" t="str">
        <f t="shared" si="12"/>
        <v>-</v>
      </c>
      <c r="V107" t="str">
        <f t="shared" si="13"/>
        <v>-</v>
      </c>
      <c r="W107" t="str">
        <f t="shared" si="14"/>
        <v>-</v>
      </c>
      <c r="X107" t="str">
        <f t="shared" si="15"/>
        <v>-</v>
      </c>
      <c r="Y107" t="str">
        <f t="shared" si="16"/>
        <v>-</v>
      </c>
      <c r="Z107" t="str">
        <f t="shared" si="17"/>
        <v>-</v>
      </c>
      <c r="AA107" t="str">
        <f t="shared" si="18"/>
        <v>-</v>
      </c>
      <c r="AB107" t="str">
        <f>IF(_xlfn.IFNA(VLOOKUP(P107,Set_Ref!$B$6:$B$1048576,1,FALSE),"")&lt;&gt;"","-",FALSE)</f>
        <v>-</v>
      </c>
      <c r="AC107" t="str">
        <f t="shared" si="19"/>
        <v>-</v>
      </c>
      <c r="AD107" t="str">
        <f t="shared" si="20"/>
        <v>-</v>
      </c>
      <c r="AE107" t="b">
        <f t="shared" si="21"/>
        <v>1</v>
      </c>
    </row>
    <row r="108" spans="1:31" x14ac:dyDescent="0.25">
      <c r="A108">
        <v>1</v>
      </c>
      <c r="B108">
        <v>106</v>
      </c>
      <c r="C108">
        <v>261</v>
      </c>
      <c r="D108" s="11" t="s">
        <v>149</v>
      </c>
      <c r="E108" t="s">
        <v>321</v>
      </c>
      <c r="F108" t="s">
        <v>191</v>
      </c>
      <c r="G108" s="11" t="s">
        <v>465</v>
      </c>
      <c r="H108">
        <v>4</v>
      </c>
      <c r="I108" s="11" t="s">
        <v>427</v>
      </c>
      <c r="J108" t="s">
        <v>282</v>
      </c>
      <c r="K108" t="s">
        <v>224</v>
      </c>
      <c r="L108" s="11" t="s">
        <v>39</v>
      </c>
      <c r="M108" s="11" t="s">
        <v>39</v>
      </c>
      <c r="N108" s="11" t="s">
        <v>39</v>
      </c>
      <c r="O108" s="11" t="s">
        <v>39</v>
      </c>
      <c r="P108" t="s">
        <v>9</v>
      </c>
      <c r="Q108">
        <v>395</v>
      </c>
      <c r="R108">
        <v>0</v>
      </c>
      <c r="S108">
        <v>0</v>
      </c>
      <c r="T108" t="str">
        <f t="shared" si="11"/>
        <v>-</v>
      </c>
      <c r="U108" t="str">
        <f t="shared" si="12"/>
        <v>-</v>
      </c>
      <c r="V108" t="str">
        <f t="shared" si="13"/>
        <v>-</v>
      </c>
      <c r="W108" t="str">
        <f t="shared" si="14"/>
        <v>-</v>
      </c>
      <c r="X108" t="str">
        <f t="shared" si="15"/>
        <v>-</v>
      </c>
      <c r="Y108" t="str">
        <f t="shared" si="16"/>
        <v>-</v>
      </c>
      <c r="Z108" t="str">
        <f t="shared" si="17"/>
        <v>-</v>
      </c>
      <c r="AA108" t="str">
        <f t="shared" si="18"/>
        <v>-</v>
      </c>
      <c r="AB108" t="str">
        <f>IF(_xlfn.IFNA(VLOOKUP(P108,Set_Ref!$B$6:$B$1048576,1,FALSE),"")&lt;&gt;"","-",FALSE)</f>
        <v>-</v>
      </c>
      <c r="AC108" t="str">
        <f t="shared" si="19"/>
        <v>-</v>
      </c>
      <c r="AD108" t="str">
        <f t="shared" si="20"/>
        <v>-</v>
      </c>
      <c r="AE108" t="b">
        <f t="shared" si="21"/>
        <v>1</v>
      </c>
    </row>
    <row r="109" spans="1:31" x14ac:dyDescent="0.25">
      <c r="A109">
        <v>1</v>
      </c>
      <c r="B109">
        <v>107</v>
      </c>
      <c r="C109">
        <v>261</v>
      </c>
      <c r="D109" s="11" t="s">
        <v>149</v>
      </c>
      <c r="E109" t="s">
        <v>321</v>
      </c>
      <c r="F109" t="s">
        <v>191</v>
      </c>
      <c r="G109" s="11" t="s">
        <v>465</v>
      </c>
      <c r="H109">
        <v>5</v>
      </c>
      <c r="I109" s="11" t="s">
        <v>177</v>
      </c>
      <c r="J109" t="s">
        <v>467</v>
      </c>
      <c r="K109" t="s">
        <v>250</v>
      </c>
      <c r="L109" s="11" t="s">
        <v>39</v>
      </c>
      <c r="M109" s="11" t="s">
        <v>39</v>
      </c>
      <c r="N109" s="11" t="s">
        <v>39</v>
      </c>
      <c r="O109" s="11" t="s">
        <v>39</v>
      </c>
      <c r="P109" t="s">
        <v>9</v>
      </c>
      <c r="Q109">
        <v>103</v>
      </c>
      <c r="R109">
        <v>0</v>
      </c>
      <c r="S109">
        <v>0</v>
      </c>
      <c r="T109" t="str">
        <f t="shared" si="11"/>
        <v>-</v>
      </c>
      <c r="U109" t="str">
        <f t="shared" si="12"/>
        <v>-</v>
      </c>
      <c r="V109" t="str">
        <f t="shared" si="13"/>
        <v>-</v>
      </c>
      <c r="W109" t="str">
        <f t="shared" si="14"/>
        <v>-</v>
      </c>
      <c r="X109" t="str">
        <f t="shared" si="15"/>
        <v>-</v>
      </c>
      <c r="Y109" t="str">
        <f t="shared" si="16"/>
        <v>-</v>
      </c>
      <c r="Z109" t="str">
        <f t="shared" si="17"/>
        <v>-</v>
      </c>
      <c r="AA109" t="str">
        <f t="shared" si="18"/>
        <v>-</v>
      </c>
      <c r="AB109" t="str">
        <f>IF(_xlfn.IFNA(VLOOKUP(P109,Set_Ref!$B$6:$B$1048576,1,FALSE),"")&lt;&gt;"","-",FALSE)</f>
        <v>-</v>
      </c>
      <c r="AC109" t="str">
        <f t="shared" si="19"/>
        <v>-</v>
      </c>
      <c r="AD109" t="str">
        <f t="shared" si="20"/>
        <v>-</v>
      </c>
      <c r="AE109" t="b">
        <f t="shared" si="21"/>
        <v>1</v>
      </c>
    </row>
    <row r="110" spans="1:31" x14ac:dyDescent="0.25">
      <c r="A110">
        <v>1</v>
      </c>
      <c r="B110">
        <v>108</v>
      </c>
      <c r="C110">
        <v>261</v>
      </c>
      <c r="D110" s="11" t="s">
        <v>149</v>
      </c>
      <c r="E110" t="s">
        <v>321</v>
      </c>
      <c r="F110" t="s">
        <v>191</v>
      </c>
      <c r="G110" s="11" t="s">
        <v>465</v>
      </c>
      <c r="H110">
        <v>6</v>
      </c>
      <c r="I110" s="11" t="s">
        <v>177</v>
      </c>
      <c r="J110" t="s">
        <v>468</v>
      </c>
      <c r="K110" t="s">
        <v>251</v>
      </c>
      <c r="L110" s="11" t="s">
        <v>39</v>
      </c>
      <c r="M110" s="11" t="s">
        <v>39</v>
      </c>
      <c r="N110" s="11" t="s">
        <v>39</v>
      </c>
      <c r="O110" s="11" t="s">
        <v>39</v>
      </c>
      <c r="P110" t="s">
        <v>9</v>
      </c>
      <c r="Q110">
        <v>364</v>
      </c>
      <c r="R110">
        <v>0</v>
      </c>
      <c r="S110">
        <v>0</v>
      </c>
      <c r="T110" t="str">
        <f t="shared" si="11"/>
        <v>-</v>
      </c>
      <c r="U110" t="str">
        <f t="shared" si="12"/>
        <v>-</v>
      </c>
      <c r="V110" t="str">
        <f t="shared" si="13"/>
        <v>-</v>
      </c>
      <c r="W110" t="str">
        <f t="shared" si="14"/>
        <v>-</v>
      </c>
      <c r="X110" t="str">
        <f t="shared" si="15"/>
        <v>-</v>
      </c>
      <c r="Y110" t="str">
        <f t="shared" si="16"/>
        <v>-</v>
      </c>
      <c r="Z110" t="str">
        <f t="shared" si="17"/>
        <v>-</v>
      </c>
      <c r="AA110" t="str">
        <f t="shared" si="18"/>
        <v>-</v>
      </c>
      <c r="AB110" t="str">
        <f>IF(_xlfn.IFNA(VLOOKUP(P110,Set_Ref!$B$6:$B$1048576,1,FALSE),"")&lt;&gt;"","-",FALSE)</f>
        <v>-</v>
      </c>
      <c r="AC110" t="str">
        <f t="shared" si="19"/>
        <v>-</v>
      </c>
      <c r="AD110" t="str">
        <f t="shared" si="20"/>
        <v>-</v>
      </c>
      <c r="AE110" t="b">
        <f t="shared" si="21"/>
        <v>1</v>
      </c>
    </row>
    <row r="111" spans="1:31" x14ac:dyDescent="0.25">
      <c r="A111">
        <v>1</v>
      </c>
      <c r="B111">
        <v>109</v>
      </c>
      <c r="C111">
        <v>261</v>
      </c>
      <c r="D111" s="11" t="s">
        <v>149</v>
      </c>
      <c r="E111" t="s">
        <v>321</v>
      </c>
      <c r="F111" t="s">
        <v>191</v>
      </c>
      <c r="G111" s="11" t="s">
        <v>465</v>
      </c>
      <c r="H111">
        <v>5</v>
      </c>
      <c r="I111" s="11" t="s">
        <v>177</v>
      </c>
      <c r="J111" t="s">
        <v>467</v>
      </c>
      <c r="K111" t="s">
        <v>250</v>
      </c>
      <c r="L111" s="11" t="s">
        <v>39</v>
      </c>
      <c r="M111" s="11" t="s">
        <v>39</v>
      </c>
      <c r="N111" s="11" t="s">
        <v>39</v>
      </c>
      <c r="O111" s="11" t="s">
        <v>39</v>
      </c>
      <c r="P111" t="s">
        <v>9</v>
      </c>
      <c r="Q111">
        <v>91</v>
      </c>
      <c r="R111">
        <v>0</v>
      </c>
      <c r="S111">
        <v>0</v>
      </c>
      <c r="T111" t="str">
        <f t="shared" si="11"/>
        <v>-</v>
      </c>
      <c r="U111" t="str">
        <f t="shared" si="12"/>
        <v>-</v>
      </c>
      <c r="V111" t="str">
        <f t="shared" si="13"/>
        <v>-</v>
      </c>
      <c r="W111" t="str">
        <f t="shared" si="14"/>
        <v>-</v>
      </c>
      <c r="X111" t="str">
        <f t="shared" si="15"/>
        <v>-</v>
      </c>
      <c r="Y111" t="str">
        <f t="shared" si="16"/>
        <v>-</v>
      </c>
      <c r="Z111" t="str">
        <f t="shared" si="17"/>
        <v>-</v>
      </c>
      <c r="AA111" t="str">
        <f t="shared" si="18"/>
        <v>-</v>
      </c>
      <c r="AB111" t="str">
        <f>IF(_xlfn.IFNA(VLOOKUP(P111,Set_Ref!$B$6:$B$1048576,1,FALSE),"")&lt;&gt;"","-",FALSE)</f>
        <v>-</v>
      </c>
      <c r="AC111" t="str">
        <f t="shared" si="19"/>
        <v>-</v>
      </c>
      <c r="AD111" t="str">
        <f t="shared" si="20"/>
        <v>-</v>
      </c>
      <c r="AE111" t="b">
        <f t="shared" si="21"/>
        <v>1</v>
      </c>
    </row>
    <row r="112" spans="1:31" x14ac:dyDescent="0.25">
      <c r="A112">
        <v>1</v>
      </c>
      <c r="B112">
        <v>110</v>
      </c>
      <c r="C112">
        <v>261</v>
      </c>
      <c r="D112" s="11" t="s">
        <v>149</v>
      </c>
      <c r="E112" t="s">
        <v>321</v>
      </c>
      <c r="F112" t="s">
        <v>191</v>
      </c>
      <c r="G112" s="11" t="s">
        <v>465</v>
      </c>
      <c r="H112">
        <v>5</v>
      </c>
      <c r="I112" s="11" t="s">
        <v>177</v>
      </c>
      <c r="J112" t="s">
        <v>467</v>
      </c>
      <c r="K112" t="s">
        <v>250</v>
      </c>
      <c r="L112" s="11" t="s">
        <v>39</v>
      </c>
      <c r="M112" s="11" t="s">
        <v>39</v>
      </c>
      <c r="N112" s="11" t="s">
        <v>39</v>
      </c>
      <c r="O112" s="11" t="s">
        <v>39</v>
      </c>
      <c r="P112" t="s">
        <v>9</v>
      </c>
      <c r="Q112">
        <v>6</v>
      </c>
      <c r="R112">
        <v>0</v>
      </c>
      <c r="S112">
        <v>0</v>
      </c>
      <c r="T112" t="str">
        <f t="shared" si="11"/>
        <v>-</v>
      </c>
      <c r="U112" t="str">
        <f t="shared" si="12"/>
        <v>-</v>
      </c>
      <c r="V112" t="str">
        <f t="shared" si="13"/>
        <v>-</v>
      </c>
      <c r="W112" t="str">
        <f t="shared" si="14"/>
        <v>-</v>
      </c>
      <c r="X112" t="str">
        <f t="shared" si="15"/>
        <v>-</v>
      </c>
      <c r="Y112" t="str">
        <f t="shared" si="16"/>
        <v>-</v>
      </c>
      <c r="Z112" t="str">
        <f t="shared" si="17"/>
        <v>-</v>
      </c>
      <c r="AA112" t="str">
        <f t="shared" si="18"/>
        <v>-</v>
      </c>
      <c r="AB112" t="str">
        <f>IF(_xlfn.IFNA(VLOOKUP(P112,Set_Ref!$B$6:$B$1048576,1,FALSE),"")&lt;&gt;"","-",FALSE)</f>
        <v>-</v>
      </c>
      <c r="AC112" t="str">
        <f t="shared" si="19"/>
        <v>-</v>
      </c>
      <c r="AD112" t="str">
        <f t="shared" si="20"/>
        <v>-</v>
      </c>
      <c r="AE112" t="b">
        <f t="shared" si="21"/>
        <v>1</v>
      </c>
    </row>
    <row r="113" spans="1:31" x14ac:dyDescent="0.25">
      <c r="A113">
        <v>1</v>
      </c>
      <c r="B113">
        <v>111</v>
      </c>
      <c r="C113">
        <v>261</v>
      </c>
      <c r="D113" s="11" t="s">
        <v>149</v>
      </c>
      <c r="E113" t="s">
        <v>321</v>
      </c>
      <c r="F113" t="s">
        <v>191</v>
      </c>
      <c r="G113" s="11" t="s">
        <v>465</v>
      </c>
      <c r="H113">
        <v>6</v>
      </c>
      <c r="I113" s="11" t="s">
        <v>177</v>
      </c>
      <c r="J113" t="s">
        <v>468</v>
      </c>
      <c r="K113" t="s">
        <v>251</v>
      </c>
      <c r="L113" s="11" t="s">
        <v>39</v>
      </c>
      <c r="M113" s="11" t="s">
        <v>39</v>
      </c>
      <c r="N113" s="11" t="s">
        <v>39</v>
      </c>
      <c r="O113" s="11" t="s">
        <v>39</v>
      </c>
      <c r="P113" t="s">
        <v>9</v>
      </c>
      <c r="Q113">
        <v>36</v>
      </c>
      <c r="R113">
        <v>0</v>
      </c>
      <c r="S113">
        <v>0</v>
      </c>
      <c r="T113" t="str">
        <f t="shared" si="11"/>
        <v>-</v>
      </c>
      <c r="U113" t="str">
        <f t="shared" si="12"/>
        <v>-</v>
      </c>
      <c r="V113" t="str">
        <f t="shared" si="13"/>
        <v>-</v>
      </c>
      <c r="W113" t="str">
        <f t="shared" si="14"/>
        <v>-</v>
      </c>
      <c r="X113" t="str">
        <f t="shared" si="15"/>
        <v>-</v>
      </c>
      <c r="Y113" t="str">
        <f t="shared" si="16"/>
        <v>-</v>
      </c>
      <c r="Z113" t="str">
        <f t="shared" si="17"/>
        <v>-</v>
      </c>
      <c r="AA113" t="str">
        <f t="shared" si="18"/>
        <v>-</v>
      </c>
      <c r="AB113" t="str">
        <f>IF(_xlfn.IFNA(VLOOKUP(P113,Set_Ref!$B$6:$B$1048576,1,FALSE),"")&lt;&gt;"","-",FALSE)</f>
        <v>-</v>
      </c>
      <c r="AC113" t="str">
        <f t="shared" si="19"/>
        <v>-</v>
      </c>
      <c r="AD113" t="str">
        <f t="shared" si="20"/>
        <v>-</v>
      </c>
      <c r="AE113" t="b">
        <f t="shared" si="21"/>
        <v>1</v>
      </c>
    </row>
    <row r="114" spans="1:31" x14ac:dyDescent="0.25">
      <c r="A114">
        <v>1</v>
      </c>
      <c r="B114">
        <v>112</v>
      </c>
      <c r="C114">
        <v>261</v>
      </c>
      <c r="D114" s="11" t="s">
        <v>149</v>
      </c>
      <c r="E114" t="s">
        <v>326</v>
      </c>
      <c r="F114" t="s">
        <v>191</v>
      </c>
      <c r="G114" s="11" t="s">
        <v>469</v>
      </c>
      <c r="H114">
        <v>5</v>
      </c>
      <c r="I114" s="11" t="s">
        <v>175</v>
      </c>
      <c r="J114" t="s">
        <v>470</v>
      </c>
      <c r="K114" t="s">
        <v>229</v>
      </c>
      <c r="L114" s="11" t="s">
        <v>39</v>
      </c>
      <c r="M114" s="11" t="s">
        <v>39</v>
      </c>
      <c r="N114" s="11" t="s">
        <v>39</v>
      </c>
      <c r="O114" s="11" t="s">
        <v>39</v>
      </c>
      <c r="P114" t="s">
        <v>9</v>
      </c>
      <c r="Q114">
        <v>17</v>
      </c>
      <c r="R114">
        <v>0</v>
      </c>
      <c r="S114">
        <v>0</v>
      </c>
      <c r="T114" t="str">
        <f t="shared" si="11"/>
        <v>-</v>
      </c>
      <c r="U114" t="str">
        <f t="shared" si="12"/>
        <v>-</v>
      </c>
      <c r="V114" t="str">
        <f t="shared" si="13"/>
        <v>-</v>
      </c>
      <c r="W114" t="str">
        <f t="shared" si="14"/>
        <v>-</v>
      </c>
      <c r="X114" t="str">
        <f t="shared" si="15"/>
        <v>-</v>
      </c>
      <c r="Y114" t="str">
        <f t="shared" si="16"/>
        <v>-</v>
      </c>
      <c r="Z114" t="str">
        <f t="shared" si="17"/>
        <v>-</v>
      </c>
      <c r="AA114" t="str">
        <f t="shared" si="18"/>
        <v>-</v>
      </c>
      <c r="AB114" t="str">
        <f>IF(_xlfn.IFNA(VLOOKUP(P114,Set_Ref!$B$6:$B$1048576,1,FALSE),"")&lt;&gt;"","-",FALSE)</f>
        <v>-</v>
      </c>
      <c r="AC114" t="str">
        <f t="shared" si="19"/>
        <v>-</v>
      </c>
      <c r="AD114" t="str">
        <f t="shared" si="20"/>
        <v>-</v>
      </c>
      <c r="AE114" t="b">
        <f t="shared" si="21"/>
        <v>1</v>
      </c>
    </row>
    <row r="115" spans="1:31" x14ac:dyDescent="0.25">
      <c r="A115">
        <v>1</v>
      </c>
      <c r="B115">
        <v>113</v>
      </c>
      <c r="C115">
        <v>261</v>
      </c>
      <c r="D115" s="11" t="s">
        <v>149</v>
      </c>
      <c r="E115" t="s">
        <v>326</v>
      </c>
      <c r="F115" t="s">
        <v>191</v>
      </c>
      <c r="G115" s="11" t="s">
        <v>469</v>
      </c>
      <c r="H115">
        <v>4</v>
      </c>
      <c r="I115" s="11" t="s">
        <v>175</v>
      </c>
      <c r="J115" t="s">
        <v>436</v>
      </c>
      <c r="K115" t="s">
        <v>228</v>
      </c>
      <c r="L115" s="11" t="s">
        <v>39</v>
      </c>
      <c r="M115" s="11" t="s">
        <v>39</v>
      </c>
      <c r="N115" s="11" t="s">
        <v>39</v>
      </c>
      <c r="O115" s="11" t="s">
        <v>39</v>
      </c>
      <c r="P115" t="s">
        <v>9</v>
      </c>
      <c r="Q115">
        <v>4200</v>
      </c>
      <c r="R115">
        <v>0</v>
      </c>
      <c r="S115">
        <v>0</v>
      </c>
      <c r="T115" t="str">
        <f t="shared" si="11"/>
        <v>-</v>
      </c>
      <c r="U115" t="str">
        <f t="shared" si="12"/>
        <v>-</v>
      </c>
      <c r="V115" t="str">
        <f t="shared" si="13"/>
        <v>-</v>
      </c>
      <c r="W115" t="str">
        <f t="shared" si="14"/>
        <v>-</v>
      </c>
      <c r="X115" t="str">
        <f t="shared" si="15"/>
        <v>-</v>
      </c>
      <c r="Y115" t="str">
        <f t="shared" si="16"/>
        <v>-</v>
      </c>
      <c r="Z115" t="str">
        <f t="shared" si="17"/>
        <v>-</v>
      </c>
      <c r="AA115" t="str">
        <f t="shared" si="18"/>
        <v>-</v>
      </c>
      <c r="AB115" t="str">
        <f>IF(_xlfn.IFNA(VLOOKUP(P115,Set_Ref!$B$6:$B$1048576,1,FALSE),"")&lt;&gt;"","-",FALSE)</f>
        <v>-</v>
      </c>
      <c r="AC115" t="str">
        <f t="shared" si="19"/>
        <v>-</v>
      </c>
      <c r="AD115" t="str">
        <f t="shared" si="20"/>
        <v>-</v>
      </c>
      <c r="AE115" t="b">
        <f t="shared" si="21"/>
        <v>1</v>
      </c>
    </row>
    <row r="116" spans="1:31" x14ac:dyDescent="0.25">
      <c r="A116">
        <v>1</v>
      </c>
      <c r="B116">
        <v>114</v>
      </c>
      <c r="C116">
        <v>261</v>
      </c>
      <c r="D116" s="11" t="s">
        <v>149</v>
      </c>
      <c r="E116" t="s">
        <v>326</v>
      </c>
      <c r="F116" t="s">
        <v>191</v>
      </c>
      <c r="G116" s="11" t="s">
        <v>469</v>
      </c>
      <c r="H116">
        <v>6</v>
      </c>
      <c r="I116" s="11" t="s">
        <v>427</v>
      </c>
      <c r="J116" t="s">
        <v>327</v>
      </c>
      <c r="K116" t="s">
        <v>252</v>
      </c>
      <c r="L116" s="11" t="s">
        <v>39</v>
      </c>
      <c r="M116" s="11" t="s">
        <v>39</v>
      </c>
      <c r="N116" s="11" t="s">
        <v>39</v>
      </c>
      <c r="O116" s="11" t="s">
        <v>39</v>
      </c>
      <c r="P116" t="s">
        <v>9</v>
      </c>
      <c r="Q116">
        <v>2000</v>
      </c>
      <c r="R116">
        <v>0</v>
      </c>
      <c r="S116">
        <v>0</v>
      </c>
      <c r="T116" t="str">
        <f t="shared" si="11"/>
        <v>-</v>
      </c>
      <c r="U116" t="str">
        <f t="shared" si="12"/>
        <v>-</v>
      </c>
      <c r="V116" t="str">
        <f t="shared" si="13"/>
        <v>-</v>
      </c>
      <c r="W116" t="str">
        <f t="shared" si="14"/>
        <v>-</v>
      </c>
      <c r="X116" t="str">
        <f t="shared" si="15"/>
        <v>-</v>
      </c>
      <c r="Y116" t="str">
        <f t="shared" si="16"/>
        <v>-</v>
      </c>
      <c r="Z116" t="str">
        <f t="shared" si="17"/>
        <v>-</v>
      </c>
      <c r="AA116" t="str">
        <f t="shared" si="18"/>
        <v>-</v>
      </c>
      <c r="AB116" t="str">
        <f>IF(_xlfn.IFNA(VLOOKUP(P116,Set_Ref!$B$6:$B$1048576,1,FALSE),"")&lt;&gt;"","-",FALSE)</f>
        <v>-</v>
      </c>
      <c r="AC116" t="str">
        <f t="shared" si="19"/>
        <v>-</v>
      </c>
      <c r="AD116" t="str">
        <f t="shared" si="20"/>
        <v>-</v>
      </c>
      <c r="AE116" t="b">
        <f t="shared" si="21"/>
        <v>1</v>
      </c>
    </row>
    <row r="117" spans="1:31" x14ac:dyDescent="0.25">
      <c r="A117">
        <v>1</v>
      </c>
      <c r="B117">
        <v>115</v>
      </c>
      <c r="C117">
        <v>261</v>
      </c>
      <c r="D117" s="11" t="s">
        <v>149</v>
      </c>
      <c r="E117" t="s">
        <v>326</v>
      </c>
      <c r="F117" t="s">
        <v>191</v>
      </c>
      <c r="G117" s="11" t="s">
        <v>469</v>
      </c>
      <c r="H117">
        <v>5</v>
      </c>
      <c r="I117" s="11" t="s">
        <v>175</v>
      </c>
      <c r="J117" t="s">
        <v>470</v>
      </c>
      <c r="K117" t="s">
        <v>229</v>
      </c>
      <c r="L117" s="11" t="s">
        <v>39</v>
      </c>
      <c r="M117" s="11" t="s">
        <v>39</v>
      </c>
      <c r="N117" s="11" t="s">
        <v>39</v>
      </c>
      <c r="O117" s="11" t="s">
        <v>39</v>
      </c>
      <c r="P117" t="s">
        <v>9</v>
      </c>
      <c r="Q117">
        <v>66</v>
      </c>
      <c r="R117">
        <v>0</v>
      </c>
      <c r="S117">
        <v>0</v>
      </c>
      <c r="T117" t="str">
        <f t="shared" si="11"/>
        <v>-</v>
      </c>
      <c r="U117" t="str">
        <f t="shared" si="12"/>
        <v>-</v>
      </c>
      <c r="V117" t="str">
        <f t="shared" si="13"/>
        <v>-</v>
      </c>
      <c r="W117" t="str">
        <f t="shared" si="14"/>
        <v>-</v>
      </c>
      <c r="X117" t="str">
        <f t="shared" si="15"/>
        <v>-</v>
      </c>
      <c r="Y117" t="str">
        <f t="shared" si="16"/>
        <v>-</v>
      </c>
      <c r="Z117" t="str">
        <f t="shared" si="17"/>
        <v>-</v>
      </c>
      <c r="AA117" t="str">
        <f t="shared" si="18"/>
        <v>-</v>
      </c>
      <c r="AB117" t="str">
        <f>IF(_xlfn.IFNA(VLOOKUP(P117,Set_Ref!$B$6:$B$1048576,1,FALSE),"")&lt;&gt;"","-",FALSE)</f>
        <v>-</v>
      </c>
      <c r="AC117" t="str">
        <f t="shared" si="19"/>
        <v>-</v>
      </c>
      <c r="AD117" t="str">
        <f t="shared" si="20"/>
        <v>-</v>
      </c>
      <c r="AE117" t="b">
        <f t="shared" si="21"/>
        <v>1</v>
      </c>
    </row>
    <row r="118" spans="1:31" x14ac:dyDescent="0.25">
      <c r="A118">
        <v>1</v>
      </c>
      <c r="B118">
        <v>116</v>
      </c>
      <c r="C118">
        <v>261</v>
      </c>
      <c r="D118" s="11" t="s">
        <v>149</v>
      </c>
      <c r="E118" t="s">
        <v>326</v>
      </c>
      <c r="F118" t="s">
        <v>191</v>
      </c>
      <c r="G118" s="11" t="s">
        <v>469</v>
      </c>
      <c r="H118">
        <v>5</v>
      </c>
      <c r="I118" s="11" t="s">
        <v>175</v>
      </c>
      <c r="J118" t="s">
        <v>470</v>
      </c>
      <c r="K118" t="s">
        <v>229</v>
      </c>
      <c r="L118" s="11" t="s">
        <v>39</v>
      </c>
      <c r="M118" s="11" t="s">
        <v>39</v>
      </c>
      <c r="N118" s="11" t="s">
        <v>39</v>
      </c>
      <c r="O118" s="11" t="s">
        <v>39</v>
      </c>
      <c r="P118" t="s">
        <v>9</v>
      </c>
      <c r="Q118">
        <v>240</v>
      </c>
      <c r="R118">
        <v>0</v>
      </c>
      <c r="S118">
        <v>0</v>
      </c>
      <c r="T118" t="str">
        <f t="shared" si="11"/>
        <v>-</v>
      </c>
      <c r="U118" t="str">
        <f t="shared" si="12"/>
        <v>-</v>
      </c>
      <c r="V118" t="str">
        <f t="shared" si="13"/>
        <v>-</v>
      </c>
      <c r="W118" t="str">
        <f t="shared" si="14"/>
        <v>-</v>
      </c>
      <c r="X118" t="str">
        <f t="shared" si="15"/>
        <v>-</v>
      </c>
      <c r="Y118" t="str">
        <f t="shared" si="16"/>
        <v>-</v>
      </c>
      <c r="Z118" t="str">
        <f t="shared" si="17"/>
        <v>-</v>
      </c>
      <c r="AA118" t="str">
        <f t="shared" si="18"/>
        <v>-</v>
      </c>
      <c r="AB118" t="str">
        <f>IF(_xlfn.IFNA(VLOOKUP(P118,Set_Ref!$B$6:$B$1048576,1,FALSE),"")&lt;&gt;"","-",FALSE)</f>
        <v>-</v>
      </c>
      <c r="AC118" t="str">
        <f t="shared" si="19"/>
        <v>-</v>
      </c>
      <c r="AD118" t="str">
        <f t="shared" si="20"/>
        <v>-</v>
      </c>
      <c r="AE118" t="b">
        <f t="shared" si="21"/>
        <v>1</v>
      </c>
    </row>
    <row r="119" spans="1:31" x14ac:dyDescent="0.25">
      <c r="A119">
        <v>1</v>
      </c>
      <c r="B119">
        <v>117</v>
      </c>
      <c r="C119">
        <v>261</v>
      </c>
      <c r="D119" s="11" t="s">
        <v>149</v>
      </c>
      <c r="E119" t="s">
        <v>326</v>
      </c>
      <c r="F119" t="s">
        <v>191</v>
      </c>
      <c r="G119" s="11" t="s">
        <v>469</v>
      </c>
      <c r="H119">
        <v>5</v>
      </c>
      <c r="I119" s="11" t="s">
        <v>175</v>
      </c>
      <c r="J119" t="s">
        <v>328</v>
      </c>
      <c r="K119" t="s">
        <v>229</v>
      </c>
      <c r="L119" s="11" t="s">
        <v>39</v>
      </c>
      <c r="M119" s="11" t="s">
        <v>39</v>
      </c>
      <c r="N119" s="11" t="s">
        <v>39</v>
      </c>
      <c r="O119" s="11" t="s">
        <v>39</v>
      </c>
      <c r="P119" t="s">
        <v>9</v>
      </c>
      <c r="Q119">
        <v>270</v>
      </c>
      <c r="R119">
        <v>0</v>
      </c>
      <c r="S119">
        <v>0</v>
      </c>
      <c r="T119" t="str">
        <f t="shared" si="11"/>
        <v>-</v>
      </c>
      <c r="U119" t="str">
        <f t="shared" si="12"/>
        <v>-</v>
      </c>
      <c r="V119" t="str">
        <f t="shared" si="13"/>
        <v>-</v>
      </c>
      <c r="W119" t="str">
        <f t="shared" si="14"/>
        <v>-</v>
      </c>
      <c r="X119" t="str">
        <f t="shared" si="15"/>
        <v>-</v>
      </c>
      <c r="Y119" t="str">
        <f t="shared" si="16"/>
        <v>-</v>
      </c>
      <c r="Z119" t="str">
        <f t="shared" si="17"/>
        <v>-</v>
      </c>
      <c r="AA119" t="str">
        <f t="shared" si="18"/>
        <v>-</v>
      </c>
      <c r="AB119" t="str">
        <f>IF(_xlfn.IFNA(VLOOKUP(P119,Set_Ref!$B$6:$B$1048576,1,FALSE),"")&lt;&gt;"","-",FALSE)</f>
        <v>-</v>
      </c>
      <c r="AC119" t="str">
        <f t="shared" si="19"/>
        <v>-</v>
      </c>
      <c r="AD119" t="str">
        <f t="shared" si="20"/>
        <v>-</v>
      </c>
      <c r="AE119" t="b">
        <f t="shared" si="21"/>
        <v>1</v>
      </c>
    </row>
    <row r="120" spans="1:31" x14ac:dyDescent="0.25">
      <c r="A120">
        <v>1</v>
      </c>
      <c r="B120">
        <v>118</v>
      </c>
      <c r="C120">
        <v>261</v>
      </c>
      <c r="D120" s="11" t="s">
        <v>149</v>
      </c>
      <c r="E120" t="s">
        <v>326</v>
      </c>
      <c r="F120" t="s">
        <v>191</v>
      </c>
      <c r="G120" s="11" t="s">
        <v>469</v>
      </c>
      <c r="H120">
        <v>5</v>
      </c>
      <c r="I120" s="11" t="s">
        <v>175</v>
      </c>
      <c r="J120" t="s">
        <v>329</v>
      </c>
      <c r="K120" t="s">
        <v>229</v>
      </c>
      <c r="L120" s="11" t="s">
        <v>39</v>
      </c>
      <c r="M120" s="11" t="s">
        <v>39</v>
      </c>
      <c r="N120" s="11" t="s">
        <v>39</v>
      </c>
      <c r="O120" s="11" t="s">
        <v>39</v>
      </c>
      <c r="P120" t="s">
        <v>9</v>
      </c>
      <c r="Q120">
        <v>110</v>
      </c>
      <c r="R120">
        <v>0</v>
      </c>
      <c r="S120">
        <v>0</v>
      </c>
      <c r="T120" t="str">
        <f t="shared" si="11"/>
        <v>-</v>
      </c>
      <c r="U120" t="str">
        <f t="shared" si="12"/>
        <v>-</v>
      </c>
      <c r="V120" t="str">
        <f t="shared" si="13"/>
        <v>-</v>
      </c>
      <c r="W120" t="str">
        <f t="shared" si="14"/>
        <v>-</v>
      </c>
      <c r="X120" t="str">
        <f t="shared" si="15"/>
        <v>-</v>
      </c>
      <c r="Y120" t="str">
        <f t="shared" si="16"/>
        <v>-</v>
      </c>
      <c r="Z120" t="str">
        <f t="shared" si="17"/>
        <v>-</v>
      </c>
      <c r="AA120" t="str">
        <f t="shared" si="18"/>
        <v>-</v>
      </c>
      <c r="AB120" t="str">
        <f>IF(_xlfn.IFNA(VLOOKUP(P120,Set_Ref!$B$6:$B$1048576,1,FALSE),"")&lt;&gt;"","-",FALSE)</f>
        <v>-</v>
      </c>
      <c r="AC120" t="str">
        <f t="shared" si="19"/>
        <v>-</v>
      </c>
      <c r="AD120" t="str">
        <f t="shared" si="20"/>
        <v>-</v>
      </c>
      <c r="AE120" t="b">
        <f t="shared" si="21"/>
        <v>1</v>
      </c>
    </row>
    <row r="121" spans="1:31" x14ac:dyDescent="0.25">
      <c r="A121">
        <v>1</v>
      </c>
      <c r="B121">
        <v>119</v>
      </c>
      <c r="C121">
        <v>261</v>
      </c>
      <c r="D121" s="11" t="s">
        <v>149</v>
      </c>
      <c r="E121" t="s">
        <v>326</v>
      </c>
      <c r="F121" t="s">
        <v>191</v>
      </c>
      <c r="G121" s="11" t="s">
        <v>469</v>
      </c>
      <c r="H121">
        <v>5</v>
      </c>
      <c r="I121" s="11" t="s">
        <v>175</v>
      </c>
      <c r="J121" t="s">
        <v>330</v>
      </c>
      <c r="K121" t="s">
        <v>229</v>
      </c>
      <c r="L121" s="11" t="s">
        <v>39</v>
      </c>
      <c r="M121" s="11" t="s">
        <v>39</v>
      </c>
      <c r="N121" s="11" t="s">
        <v>39</v>
      </c>
      <c r="O121" s="11" t="s">
        <v>39</v>
      </c>
      <c r="P121" t="s">
        <v>9</v>
      </c>
      <c r="Q121">
        <v>44</v>
      </c>
      <c r="R121">
        <v>0</v>
      </c>
      <c r="S121">
        <v>0</v>
      </c>
      <c r="T121" t="str">
        <f t="shared" si="11"/>
        <v>-</v>
      </c>
      <c r="U121" t="str">
        <f t="shared" si="12"/>
        <v>-</v>
      </c>
      <c r="V121" t="str">
        <f t="shared" si="13"/>
        <v>-</v>
      </c>
      <c r="W121" t="str">
        <f t="shared" si="14"/>
        <v>-</v>
      </c>
      <c r="X121" t="str">
        <f t="shared" si="15"/>
        <v>-</v>
      </c>
      <c r="Y121" t="str">
        <f t="shared" si="16"/>
        <v>-</v>
      </c>
      <c r="Z121" t="str">
        <f t="shared" si="17"/>
        <v>-</v>
      </c>
      <c r="AA121" t="str">
        <f t="shared" si="18"/>
        <v>-</v>
      </c>
      <c r="AB121" t="str">
        <f>IF(_xlfn.IFNA(VLOOKUP(P121,Set_Ref!$B$6:$B$1048576,1,FALSE),"")&lt;&gt;"","-",FALSE)</f>
        <v>-</v>
      </c>
      <c r="AC121" t="str">
        <f t="shared" si="19"/>
        <v>-</v>
      </c>
      <c r="AD121" t="str">
        <f t="shared" si="20"/>
        <v>-</v>
      </c>
      <c r="AE121" t="b">
        <f t="shared" si="21"/>
        <v>1</v>
      </c>
    </row>
    <row r="122" spans="1:31" x14ac:dyDescent="0.25">
      <c r="A122">
        <v>1</v>
      </c>
      <c r="B122">
        <v>120</v>
      </c>
      <c r="C122">
        <v>261</v>
      </c>
      <c r="D122" s="11" t="s">
        <v>149</v>
      </c>
      <c r="E122" t="s">
        <v>326</v>
      </c>
      <c r="F122" t="s">
        <v>191</v>
      </c>
      <c r="G122" s="11" t="s">
        <v>469</v>
      </c>
      <c r="H122">
        <v>5</v>
      </c>
      <c r="I122" s="11" t="s">
        <v>175</v>
      </c>
      <c r="J122" t="s">
        <v>331</v>
      </c>
      <c r="K122" t="s">
        <v>229</v>
      </c>
      <c r="L122" s="11" t="s">
        <v>39</v>
      </c>
      <c r="M122" s="11" t="s">
        <v>39</v>
      </c>
      <c r="N122" s="11" t="s">
        <v>39</v>
      </c>
      <c r="O122" s="11" t="s">
        <v>39</v>
      </c>
      <c r="P122" t="s">
        <v>9</v>
      </c>
      <c r="Q122">
        <v>100</v>
      </c>
      <c r="R122">
        <v>0</v>
      </c>
      <c r="S122">
        <v>0</v>
      </c>
      <c r="T122" t="str">
        <f t="shared" si="11"/>
        <v>-</v>
      </c>
      <c r="U122" t="str">
        <f t="shared" si="12"/>
        <v>-</v>
      </c>
      <c r="V122" t="str">
        <f t="shared" si="13"/>
        <v>-</v>
      </c>
      <c r="W122" t="str">
        <f t="shared" si="14"/>
        <v>-</v>
      </c>
      <c r="X122" t="str">
        <f t="shared" si="15"/>
        <v>-</v>
      </c>
      <c r="Y122" t="str">
        <f t="shared" si="16"/>
        <v>-</v>
      </c>
      <c r="Z122" t="str">
        <f t="shared" si="17"/>
        <v>-</v>
      </c>
      <c r="AA122" t="str">
        <f t="shared" si="18"/>
        <v>-</v>
      </c>
      <c r="AB122" t="str">
        <f>IF(_xlfn.IFNA(VLOOKUP(P122,Set_Ref!$B$6:$B$1048576,1,FALSE),"")&lt;&gt;"","-",FALSE)</f>
        <v>-</v>
      </c>
      <c r="AC122" t="str">
        <f t="shared" si="19"/>
        <v>-</v>
      </c>
      <c r="AD122" t="str">
        <f t="shared" si="20"/>
        <v>-</v>
      </c>
      <c r="AE122" t="b">
        <f t="shared" si="21"/>
        <v>1</v>
      </c>
    </row>
    <row r="123" spans="1:31" x14ac:dyDescent="0.25">
      <c r="A123">
        <v>1</v>
      </c>
      <c r="B123">
        <v>121</v>
      </c>
      <c r="C123">
        <v>261</v>
      </c>
      <c r="D123" s="11" t="s">
        <v>149</v>
      </c>
      <c r="E123" t="s">
        <v>326</v>
      </c>
      <c r="F123" t="s">
        <v>191</v>
      </c>
      <c r="G123" s="11" t="s">
        <v>469</v>
      </c>
      <c r="H123">
        <v>5</v>
      </c>
      <c r="I123" s="11" t="s">
        <v>175</v>
      </c>
      <c r="J123" t="s">
        <v>332</v>
      </c>
      <c r="K123" t="s">
        <v>229</v>
      </c>
      <c r="L123" s="11" t="s">
        <v>39</v>
      </c>
      <c r="M123" s="11" t="s">
        <v>39</v>
      </c>
      <c r="N123" s="11" t="s">
        <v>39</v>
      </c>
      <c r="O123" s="11" t="s">
        <v>39</v>
      </c>
      <c r="P123" t="s">
        <v>9</v>
      </c>
      <c r="Q123">
        <v>260</v>
      </c>
      <c r="R123">
        <v>0</v>
      </c>
      <c r="S123">
        <v>0</v>
      </c>
      <c r="T123" t="str">
        <f t="shared" si="11"/>
        <v>-</v>
      </c>
      <c r="U123" t="str">
        <f t="shared" si="12"/>
        <v>-</v>
      </c>
      <c r="V123" t="str">
        <f t="shared" si="13"/>
        <v>-</v>
      </c>
      <c r="W123" t="str">
        <f t="shared" si="14"/>
        <v>-</v>
      </c>
      <c r="X123" t="str">
        <f t="shared" si="15"/>
        <v>-</v>
      </c>
      <c r="Y123" t="str">
        <f t="shared" si="16"/>
        <v>-</v>
      </c>
      <c r="Z123" t="str">
        <f t="shared" si="17"/>
        <v>-</v>
      </c>
      <c r="AA123" t="str">
        <f t="shared" si="18"/>
        <v>-</v>
      </c>
      <c r="AB123" t="str">
        <f>IF(_xlfn.IFNA(VLOOKUP(P123,Set_Ref!$B$6:$B$1048576,1,FALSE),"")&lt;&gt;"","-",FALSE)</f>
        <v>-</v>
      </c>
      <c r="AC123" t="str">
        <f t="shared" si="19"/>
        <v>-</v>
      </c>
      <c r="AD123" t="str">
        <f t="shared" si="20"/>
        <v>-</v>
      </c>
      <c r="AE123" t="b">
        <f t="shared" si="21"/>
        <v>1</v>
      </c>
    </row>
    <row r="124" spans="1:31" x14ac:dyDescent="0.25">
      <c r="A124">
        <v>1</v>
      </c>
      <c r="B124">
        <v>122</v>
      </c>
      <c r="C124">
        <v>261</v>
      </c>
      <c r="D124" s="11" t="s">
        <v>149</v>
      </c>
      <c r="E124" t="s">
        <v>326</v>
      </c>
      <c r="F124" t="s">
        <v>191</v>
      </c>
      <c r="G124" s="11" t="s">
        <v>469</v>
      </c>
      <c r="H124">
        <v>5</v>
      </c>
      <c r="I124" s="11" t="s">
        <v>175</v>
      </c>
      <c r="J124" t="s">
        <v>333</v>
      </c>
      <c r="K124" t="s">
        <v>229</v>
      </c>
      <c r="L124" s="11" t="s">
        <v>39</v>
      </c>
      <c r="M124" s="11" t="s">
        <v>39</v>
      </c>
      <c r="N124" s="11" t="s">
        <v>39</v>
      </c>
      <c r="O124" s="11" t="s">
        <v>39</v>
      </c>
      <c r="P124" t="s">
        <v>9</v>
      </c>
      <c r="Q124">
        <v>460</v>
      </c>
      <c r="R124">
        <v>0</v>
      </c>
      <c r="S124">
        <v>0</v>
      </c>
      <c r="T124" t="str">
        <f t="shared" si="11"/>
        <v>-</v>
      </c>
      <c r="U124" t="str">
        <f t="shared" si="12"/>
        <v>-</v>
      </c>
      <c r="V124" t="str">
        <f t="shared" si="13"/>
        <v>-</v>
      </c>
      <c r="W124" t="str">
        <f t="shared" si="14"/>
        <v>-</v>
      </c>
      <c r="X124" t="str">
        <f t="shared" si="15"/>
        <v>-</v>
      </c>
      <c r="Y124" t="str">
        <f t="shared" si="16"/>
        <v>-</v>
      </c>
      <c r="Z124" t="str">
        <f t="shared" si="17"/>
        <v>-</v>
      </c>
      <c r="AA124" t="str">
        <f t="shared" si="18"/>
        <v>-</v>
      </c>
      <c r="AB124" t="str">
        <f>IF(_xlfn.IFNA(VLOOKUP(P124,Set_Ref!$B$6:$B$1048576,1,FALSE),"")&lt;&gt;"","-",FALSE)</f>
        <v>-</v>
      </c>
      <c r="AC124" t="str">
        <f t="shared" si="19"/>
        <v>-</v>
      </c>
      <c r="AD124" t="str">
        <f t="shared" si="20"/>
        <v>-</v>
      </c>
      <c r="AE124" t="b">
        <f t="shared" si="21"/>
        <v>1</v>
      </c>
    </row>
    <row r="125" spans="1:31" x14ac:dyDescent="0.25">
      <c r="A125">
        <v>1</v>
      </c>
      <c r="B125">
        <v>123</v>
      </c>
      <c r="C125">
        <v>261</v>
      </c>
      <c r="D125" s="11" t="s">
        <v>149</v>
      </c>
      <c r="E125" t="s">
        <v>326</v>
      </c>
      <c r="F125" t="s">
        <v>191</v>
      </c>
      <c r="G125" s="11" t="s">
        <v>469</v>
      </c>
      <c r="H125">
        <v>5</v>
      </c>
      <c r="I125" s="11" t="s">
        <v>175</v>
      </c>
      <c r="J125" t="s">
        <v>334</v>
      </c>
      <c r="K125" t="s">
        <v>229</v>
      </c>
      <c r="L125" s="11" t="s">
        <v>39</v>
      </c>
      <c r="M125" s="11" t="s">
        <v>39</v>
      </c>
      <c r="N125" s="11" t="s">
        <v>39</v>
      </c>
      <c r="O125" s="11" t="s">
        <v>39</v>
      </c>
      <c r="P125" t="s">
        <v>9</v>
      </c>
      <c r="Q125">
        <v>250</v>
      </c>
      <c r="R125">
        <v>0</v>
      </c>
      <c r="S125">
        <v>0</v>
      </c>
      <c r="T125" t="str">
        <f t="shared" si="11"/>
        <v>-</v>
      </c>
      <c r="U125" t="str">
        <f t="shared" si="12"/>
        <v>-</v>
      </c>
      <c r="V125" t="str">
        <f t="shared" si="13"/>
        <v>-</v>
      </c>
      <c r="W125" t="str">
        <f t="shared" si="14"/>
        <v>-</v>
      </c>
      <c r="X125" t="str">
        <f t="shared" si="15"/>
        <v>-</v>
      </c>
      <c r="Y125" t="str">
        <f t="shared" si="16"/>
        <v>-</v>
      </c>
      <c r="Z125" t="str">
        <f t="shared" si="17"/>
        <v>-</v>
      </c>
      <c r="AA125" t="str">
        <f t="shared" si="18"/>
        <v>-</v>
      </c>
      <c r="AB125" t="str">
        <f>IF(_xlfn.IFNA(VLOOKUP(P125,Set_Ref!$B$6:$B$1048576,1,FALSE),"")&lt;&gt;"","-",FALSE)</f>
        <v>-</v>
      </c>
      <c r="AC125" t="str">
        <f t="shared" si="19"/>
        <v>-</v>
      </c>
      <c r="AD125" t="str">
        <f t="shared" si="20"/>
        <v>-</v>
      </c>
      <c r="AE125" t="b">
        <f t="shared" si="21"/>
        <v>1</v>
      </c>
    </row>
    <row r="126" spans="1:31" x14ac:dyDescent="0.25">
      <c r="A126">
        <v>1</v>
      </c>
      <c r="B126">
        <v>124</v>
      </c>
      <c r="C126">
        <v>261</v>
      </c>
      <c r="D126" s="11" t="s">
        <v>149</v>
      </c>
      <c r="E126" t="s">
        <v>326</v>
      </c>
      <c r="F126" t="s">
        <v>191</v>
      </c>
      <c r="G126" s="11" t="s">
        <v>469</v>
      </c>
      <c r="H126">
        <v>5</v>
      </c>
      <c r="I126" s="11" t="s">
        <v>175</v>
      </c>
      <c r="J126" t="s">
        <v>335</v>
      </c>
      <c r="K126" t="s">
        <v>229</v>
      </c>
      <c r="L126" s="11" t="s">
        <v>39</v>
      </c>
      <c r="M126" s="11" t="s">
        <v>39</v>
      </c>
      <c r="N126" s="11" t="s">
        <v>39</v>
      </c>
      <c r="O126" s="11" t="s">
        <v>39</v>
      </c>
      <c r="P126" t="s">
        <v>9</v>
      </c>
      <c r="Q126">
        <v>110</v>
      </c>
      <c r="R126">
        <v>0</v>
      </c>
      <c r="S126">
        <v>0</v>
      </c>
      <c r="T126" t="str">
        <f t="shared" si="11"/>
        <v>-</v>
      </c>
      <c r="U126" t="str">
        <f t="shared" si="12"/>
        <v>-</v>
      </c>
      <c r="V126" t="str">
        <f t="shared" si="13"/>
        <v>-</v>
      </c>
      <c r="W126" t="str">
        <f t="shared" si="14"/>
        <v>-</v>
      </c>
      <c r="X126" t="str">
        <f t="shared" si="15"/>
        <v>-</v>
      </c>
      <c r="Y126" t="str">
        <f t="shared" si="16"/>
        <v>-</v>
      </c>
      <c r="Z126" t="str">
        <f t="shared" si="17"/>
        <v>-</v>
      </c>
      <c r="AA126" t="str">
        <f t="shared" si="18"/>
        <v>-</v>
      </c>
      <c r="AB126" t="str">
        <f>IF(_xlfn.IFNA(VLOOKUP(P126,Set_Ref!$B$6:$B$1048576,1,FALSE),"")&lt;&gt;"","-",FALSE)</f>
        <v>-</v>
      </c>
      <c r="AC126" t="str">
        <f t="shared" si="19"/>
        <v>-</v>
      </c>
      <c r="AD126" t="str">
        <f t="shared" si="20"/>
        <v>-</v>
      </c>
      <c r="AE126" t="b">
        <f t="shared" si="21"/>
        <v>1</v>
      </c>
    </row>
    <row r="127" spans="1:31" x14ac:dyDescent="0.25">
      <c r="A127">
        <v>1</v>
      </c>
      <c r="B127">
        <v>125</v>
      </c>
      <c r="C127">
        <v>261</v>
      </c>
      <c r="D127" s="11" t="s">
        <v>149</v>
      </c>
      <c r="E127" t="s">
        <v>326</v>
      </c>
      <c r="F127" t="s">
        <v>191</v>
      </c>
      <c r="G127" s="11" t="s">
        <v>469</v>
      </c>
      <c r="H127">
        <v>5</v>
      </c>
      <c r="I127" s="11" t="s">
        <v>175</v>
      </c>
      <c r="J127" t="s">
        <v>336</v>
      </c>
      <c r="K127" t="s">
        <v>229</v>
      </c>
      <c r="L127" s="11" t="s">
        <v>39</v>
      </c>
      <c r="M127" s="11" t="s">
        <v>39</v>
      </c>
      <c r="N127" s="11" t="s">
        <v>39</v>
      </c>
      <c r="O127" s="11" t="s">
        <v>39</v>
      </c>
      <c r="P127" t="s">
        <v>9</v>
      </c>
      <c r="Q127">
        <v>60</v>
      </c>
      <c r="R127">
        <v>0</v>
      </c>
      <c r="S127">
        <v>0</v>
      </c>
      <c r="T127" t="str">
        <f t="shared" si="11"/>
        <v>-</v>
      </c>
      <c r="U127" t="str">
        <f t="shared" si="12"/>
        <v>-</v>
      </c>
      <c r="V127" t="str">
        <f t="shared" si="13"/>
        <v>-</v>
      </c>
      <c r="W127" t="str">
        <f t="shared" si="14"/>
        <v>-</v>
      </c>
      <c r="X127" t="str">
        <f t="shared" si="15"/>
        <v>-</v>
      </c>
      <c r="Y127" t="str">
        <f t="shared" si="16"/>
        <v>-</v>
      </c>
      <c r="Z127" t="str">
        <f t="shared" si="17"/>
        <v>-</v>
      </c>
      <c r="AA127" t="str">
        <f t="shared" si="18"/>
        <v>-</v>
      </c>
      <c r="AB127" t="str">
        <f>IF(_xlfn.IFNA(VLOOKUP(P127,Set_Ref!$B$6:$B$1048576,1,FALSE),"")&lt;&gt;"","-",FALSE)</f>
        <v>-</v>
      </c>
      <c r="AC127" t="str">
        <f t="shared" si="19"/>
        <v>-</v>
      </c>
      <c r="AD127" t="str">
        <f t="shared" si="20"/>
        <v>-</v>
      </c>
      <c r="AE127" t="b">
        <f t="shared" si="21"/>
        <v>1</v>
      </c>
    </row>
    <row r="128" spans="1:31" x14ac:dyDescent="0.25">
      <c r="A128">
        <v>1</v>
      </c>
      <c r="B128">
        <v>126</v>
      </c>
      <c r="C128">
        <v>261</v>
      </c>
      <c r="D128" s="11" t="s">
        <v>149</v>
      </c>
      <c r="E128" t="s">
        <v>326</v>
      </c>
      <c r="F128" t="s">
        <v>191</v>
      </c>
      <c r="G128" s="11" t="s">
        <v>469</v>
      </c>
      <c r="H128">
        <v>5</v>
      </c>
      <c r="I128" s="11" t="s">
        <v>175</v>
      </c>
      <c r="J128" t="s">
        <v>337</v>
      </c>
      <c r="K128" t="s">
        <v>229</v>
      </c>
      <c r="L128" s="11" t="s">
        <v>39</v>
      </c>
      <c r="M128" s="11" t="s">
        <v>39</v>
      </c>
      <c r="N128" s="11" t="s">
        <v>39</v>
      </c>
      <c r="O128" s="11" t="s">
        <v>39</v>
      </c>
      <c r="P128" t="s">
        <v>9</v>
      </c>
      <c r="Q128">
        <v>10</v>
      </c>
      <c r="R128">
        <v>0</v>
      </c>
      <c r="S128">
        <v>0</v>
      </c>
      <c r="T128" t="str">
        <f t="shared" si="11"/>
        <v>-</v>
      </c>
      <c r="U128" t="str">
        <f t="shared" si="12"/>
        <v>-</v>
      </c>
      <c r="V128" t="str">
        <f t="shared" si="13"/>
        <v>-</v>
      </c>
      <c r="W128" t="str">
        <f t="shared" si="14"/>
        <v>-</v>
      </c>
      <c r="X128" t="str">
        <f t="shared" si="15"/>
        <v>-</v>
      </c>
      <c r="Y128" t="str">
        <f t="shared" si="16"/>
        <v>-</v>
      </c>
      <c r="Z128" t="str">
        <f t="shared" si="17"/>
        <v>-</v>
      </c>
      <c r="AA128" t="str">
        <f t="shared" si="18"/>
        <v>-</v>
      </c>
      <c r="AB128" t="str">
        <f>IF(_xlfn.IFNA(VLOOKUP(P128,Set_Ref!$B$6:$B$1048576,1,FALSE),"")&lt;&gt;"","-",FALSE)</f>
        <v>-</v>
      </c>
      <c r="AC128" t="str">
        <f t="shared" si="19"/>
        <v>-</v>
      </c>
      <c r="AD128" t="str">
        <f t="shared" si="20"/>
        <v>-</v>
      </c>
      <c r="AE128" t="b">
        <f t="shared" si="21"/>
        <v>1</v>
      </c>
    </row>
    <row r="129" spans="1:31" x14ac:dyDescent="0.25">
      <c r="A129">
        <v>1</v>
      </c>
      <c r="B129">
        <v>127</v>
      </c>
      <c r="C129">
        <v>261</v>
      </c>
      <c r="D129" s="11" t="s">
        <v>149</v>
      </c>
      <c r="E129" t="s">
        <v>326</v>
      </c>
      <c r="F129" t="s">
        <v>191</v>
      </c>
      <c r="G129" s="11" t="s">
        <v>469</v>
      </c>
      <c r="H129">
        <v>5</v>
      </c>
      <c r="I129" s="11" t="s">
        <v>175</v>
      </c>
      <c r="J129" t="s">
        <v>338</v>
      </c>
      <c r="K129" t="s">
        <v>229</v>
      </c>
      <c r="L129" s="11" t="s">
        <v>39</v>
      </c>
      <c r="M129" s="11" t="s">
        <v>39</v>
      </c>
      <c r="N129" s="11" t="s">
        <v>39</v>
      </c>
      <c r="O129" s="11" t="s">
        <v>39</v>
      </c>
      <c r="P129" t="s">
        <v>9</v>
      </c>
      <c r="Q129">
        <v>20</v>
      </c>
      <c r="R129">
        <v>0</v>
      </c>
      <c r="S129">
        <v>0</v>
      </c>
      <c r="T129" t="str">
        <f t="shared" si="11"/>
        <v>-</v>
      </c>
      <c r="U129" t="str">
        <f t="shared" si="12"/>
        <v>-</v>
      </c>
      <c r="V129" t="str">
        <f t="shared" si="13"/>
        <v>-</v>
      </c>
      <c r="W129" t="str">
        <f t="shared" si="14"/>
        <v>-</v>
      </c>
      <c r="X129" t="str">
        <f t="shared" si="15"/>
        <v>-</v>
      </c>
      <c r="Y129" t="str">
        <f t="shared" si="16"/>
        <v>-</v>
      </c>
      <c r="Z129" t="str">
        <f t="shared" si="17"/>
        <v>-</v>
      </c>
      <c r="AA129" t="str">
        <f t="shared" si="18"/>
        <v>-</v>
      </c>
      <c r="AB129" t="str">
        <f>IF(_xlfn.IFNA(VLOOKUP(P129,Set_Ref!$B$6:$B$1048576,1,FALSE),"")&lt;&gt;"","-",FALSE)</f>
        <v>-</v>
      </c>
      <c r="AC129" t="str">
        <f t="shared" si="19"/>
        <v>-</v>
      </c>
      <c r="AD129" t="str">
        <f t="shared" si="20"/>
        <v>-</v>
      </c>
      <c r="AE129" t="b">
        <f t="shared" si="21"/>
        <v>1</v>
      </c>
    </row>
    <row r="130" spans="1:31" x14ac:dyDescent="0.25">
      <c r="A130">
        <v>1</v>
      </c>
      <c r="B130">
        <v>128</v>
      </c>
      <c r="C130">
        <v>261</v>
      </c>
      <c r="D130" s="11" t="s">
        <v>149</v>
      </c>
      <c r="E130" t="s">
        <v>326</v>
      </c>
      <c r="F130" t="s">
        <v>191</v>
      </c>
      <c r="G130" s="11" t="s">
        <v>469</v>
      </c>
      <c r="H130">
        <v>7</v>
      </c>
      <c r="I130" s="11" t="s">
        <v>427</v>
      </c>
      <c r="J130" t="s">
        <v>285</v>
      </c>
      <c r="K130" t="s">
        <v>226</v>
      </c>
      <c r="L130" s="11" t="s">
        <v>39</v>
      </c>
      <c r="M130" s="11" t="s">
        <v>39</v>
      </c>
      <c r="N130" s="11" t="s">
        <v>39</v>
      </c>
      <c r="O130" s="11" t="s">
        <v>39</v>
      </c>
      <c r="P130" t="s">
        <v>9</v>
      </c>
      <c r="Q130">
        <v>2000</v>
      </c>
      <c r="R130">
        <v>0</v>
      </c>
      <c r="S130">
        <v>0</v>
      </c>
      <c r="T130" t="str">
        <f t="shared" si="11"/>
        <v>-</v>
      </c>
      <c r="U130" t="str">
        <f t="shared" si="12"/>
        <v>-</v>
      </c>
      <c r="V130" t="str">
        <f t="shared" si="13"/>
        <v>-</v>
      </c>
      <c r="W130" t="str">
        <f t="shared" si="14"/>
        <v>-</v>
      </c>
      <c r="X130" t="str">
        <f t="shared" si="15"/>
        <v>-</v>
      </c>
      <c r="Y130" t="str">
        <f t="shared" si="16"/>
        <v>-</v>
      </c>
      <c r="Z130" t="str">
        <f t="shared" si="17"/>
        <v>-</v>
      </c>
      <c r="AA130" t="str">
        <f t="shared" si="18"/>
        <v>-</v>
      </c>
      <c r="AB130" t="str">
        <f>IF(_xlfn.IFNA(VLOOKUP(P130,Set_Ref!$B$6:$B$1048576,1,FALSE),"")&lt;&gt;"","-",FALSE)</f>
        <v>-</v>
      </c>
      <c r="AC130" t="str">
        <f t="shared" si="19"/>
        <v>-</v>
      </c>
      <c r="AD130" t="str">
        <f t="shared" si="20"/>
        <v>-</v>
      </c>
      <c r="AE130" t="b">
        <f t="shared" si="21"/>
        <v>1</v>
      </c>
    </row>
    <row r="131" spans="1:31" x14ac:dyDescent="0.25">
      <c r="A131">
        <v>1</v>
      </c>
      <c r="B131">
        <v>129</v>
      </c>
      <c r="C131">
        <v>261</v>
      </c>
      <c r="D131" s="11" t="s">
        <v>149</v>
      </c>
      <c r="E131" t="s">
        <v>326</v>
      </c>
      <c r="F131" t="s">
        <v>191</v>
      </c>
      <c r="G131" s="11" t="s">
        <v>469</v>
      </c>
      <c r="H131">
        <v>5</v>
      </c>
      <c r="I131" s="11" t="s">
        <v>175</v>
      </c>
      <c r="J131" t="s">
        <v>339</v>
      </c>
      <c r="K131" t="s">
        <v>229</v>
      </c>
      <c r="L131" s="11" t="s">
        <v>39</v>
      </c>
      <c r="M131" s="11" t="s">
        <v>39</v>
      </c>
      <c r="N131" s="11" t="s">
        <v>39</v>
      </c>
      <c r="O131" s="11" t="s">
        <v>39</v>
      </c>
      <c r="P131" t="s">
        <v>9</v>
      </c>
      <c r="Q131">
        <v>4</v>
      </c>
      <c r="R131">
        <v>0</v>
      </c>
      <c r="S131">
        <v>0</v>
      </c>
      <c r="T131" t="str">
        <f t="shared" ref="T131:T194" si="22">IF(OR(A131="",A131&lt;1),FALSE,IF(ISNUMBER(A131), IF(INT(A131) = A131, "-", FALSE), FALSE))</f>
        <v>-</v>
      </c>
      <c r="U131" t="str">
        <f t="shared" ref="U131:U194" si="23">IF(OR(B131="",A131&lt;1),FALSE,IF(ISNUMBER(A131), IF(INT(A131) = A131, "-", FALSE), FALSE))</f>
        <v>-</v>
      </c>
      <c r="V131" t="str">
        <f t="shared" ref="V131:V194" si="24">IF(OR(C131="",C131="PilihSalasatu"),FALSE,"-")</f>
        <v>-</v>
      </c>
      <c r="W131" t="str">
        <f t="shared" ref="W131:W194" si="25">IF(D131="",FALSE,"-")</f>
        <v>-</v>
      </c>
      <c r="X131" t="str">
        <f t="shared" ref="X131:X194" si="26">IF(E131="",FALSE,"-")</f>
        <v>-</v>
      </c>
      <c r="Y131" t="str">
        <f t="shared" ref="Y131:Y194" si="27">IF(F131="",FALSE,"-")</f>
        <v>-</v>
      </c>
      <c r="Z131" t="str">
        <f t="shared" ref="Z131:Z194" si="28">IF(I131="",FALSE,"-")</f>
        <v>-</v>
      </c>
      <c r="AA131" t="str">
        <f t="shared" ref="AA131:AA194" si="29">IF(J131="",FALSE,"-")</f>
        <v>-</v>
      </c>
      <c r="AB131" t="str">
        <f>IF(_xlfn.IFNA(VLOOKUP(P131,Set_Ref!$B$6:$B$1048576,1,FALSE),"")&lt;&gt;"","-",FALSE)</f>
        <v>-</v>
      </c>
      <c r="AC131" t="str">
        <f t="shared" ref="AC131:AC194" si="30">IF(OR(Q131="",Q131&lt;0),FALSE,IF(ISNUMBER(Q131),"-",FALSE))</f>
        <v>-</v>
      </c>
      <c r="AD131" t="str">
        <f t="shared" ref="AD131:AD194" si="31">IF(OR(G131="",H131="",I131="",K131=""),FALSE,"-")</f>
        <v>-</v>
      </c>
      <c r="AE131" t="b">
        <f t="shared" ref="AE131:AE194" si="32">IF(COUNTIF(T131:AD131, "FALSE") &gt; 0, FALSE, TRUE)</f>
        <v>1</v>
      </c>
    </row>
    <row r="132" spans="1:31" x14ac:dyDescent="0.25">
      <c r="A132">
        <v>1</v>
      </c>
      <c r="B132">
        <v>130</v>
      </c>
      <c r="C132">
        <v>261</v>
      </c>
      <c r="D132" s="11" t="s">
        <v>149</v>
      </c>
      <c r="E132" t="s">
        <v>326</v>
      </c>
      <c r="F132" t="s">
        <v>191</v>
      </c>
      <c r="G132" s="11" t="s">
        <v>469</v>
      </c>
      <c r="H132">
        <v>5</v>
      </c>
      <c r="I132" s="11" t="s">
        <v>175</v>
      </c>
      <c r="J132" t="s">
        <v>340</v>
      </c>
      <c r="K132" t="s">
        <v>229</v>
      </c>
      <c r="L132" s="11" t="s">
        <v>39</v>
      </c>
      <c r="M132" s="11" t="s">
        <v>39</v>
      </c>
      <c r="N132" s="11" t="s">
        <v>39</v>
      </c>
      <c r="O132" s="11" t="s">
        <v>39</v>
      </c>
      <c r="P132" t="s">
        <v>9</v>
      </c>
      <c r="Q132">
        <v>4</v>
      </c>
      <c r="R132">
        <v>0</v>
      </c>
      <c r="S132">
        <v>0</v>
      </c>
      <c r="T132" t="str">
        <f t="shared" si="22"/>
        <v>-</v>
      </c>
      <c r="U132" t="str">
        <f t="shared" si="23"/>
        <v>-</v>
      </c>
      <c r="V132" t="str">
        <f t="shared" si="24"/>
        <v>-</v>
      </c>
      <c r="W132" t="str">
        <f t="shared" si="25"/>
        <v>-</v>
      </c>
      <c r="X132" t="str">
        <f t="shared" si="26"/>
        <v>-</v>
      </c>
      <c r="Y132" t="str">
        <f t="shared" si="27"/>
        <v>-</v>
      </c>
      <c r="Z132" t="str">
        <f t="shared" si="28"/>
        <v>-</v>
      </c>
      <c r="AA132" t="str">
        <f t="shared" si="29"/>
        <v>-</v>
      </c>
      <c r="AB132" t="str">
        <f>IF(_xlfn.IFNA(VLOOKUP(P132,Set_Ref!$B$6:$B$1048576,1,FALSE),"")&lt;&gt;"","-",FALSE)</f>
        <v>-</v>
      </c>
      <c r="AC132" t="str">
        <f t="shared" si="30"/>
        <v>-</v>
      </c>
      <c r="AD132" t="str">
        <f t="shared" si="31"/>
        <v>-</v>
      </c>
      <c r="AE132" t="b">
        <f t="shared" si="32"/>
        <v>1</v>
      </c>
    </row>
    <row r="133" spans="1:31" x14ac:dyDescent="0.25">
      <c r="A133">
        <v>1</v>
      </c>
      <c r="B133">
        <v>131</v>
      </c>
      <c r="C133">
        <v>261</v>
      </c>
      <c r="D133" s="11" t="s">
        <v>149</v>
      </c>
      <c r="E133" t="s">
        <v>326</v>
      </c>
      <c r="F133" t="s">
        <v>191</v>
      </c>
      <c r="G133" s="11" t="s">
        <v>469</v>
      </c>
      <c r="H133">
        <v>5</v>
      </c>
      <c r="I133" s="11" t="s">
        <v>175</v>
      </c>
      <c r="J133" t="s">
        <v>341</v>
      </c>
      <c r="K133" t="s">
        <v>229</v>
      </c>
      <c r="L133" s="11" t="s">
        <v>39</v>
      </c>
      <c r="M133" s="11" t="s">
        <v>39</v>
      </c>
      <c r="N133" s="11" t="s">
        <v>39</v>
      </c>
      <c r="O133" s="11" t="s">
        <v>39</v>
      </c>
      <c r="P133" t="s">
        <v>9</v>
      </c>
      <c r="Q133">
        <v>4</v>
      </c>
      <c r="R133">
        <v>0</v>
      </c>
      <c r="S133">
        <v>0</v>
      </c>
      <c r="T133" t="str">
        <f t="shared" si="22"/>
        <v>-</v>
      </c>
      <c r="U133" t="str">
        <f t="shared" si="23"/>
        <v>-</v>
      </c>
      <c r="V133" t="str">
        <f t="shared" si="24"/>
        <v>-</v>
      </c>
      <c r="W133" t="str">
        <f t="shared" si="25"/>
        <v>-</v>
      </c>
      <c r="X133" t="str">
        <f t="shared" si="26"/>
        <v>-</v>
      </c>
      <c r="Y133" t="str">
        <f t="shared" si="27"/>
        <v>-</v>
      </c>
      <c r="Z133" t="str">
        <f t="shared" si="28"/>
        <v>-</v>
      </c>
      <c r="AA133" t="str">
        <f t="shared" si="29"/>
        <v>-</v>
      </c>
      <c r="AB133" t="str">
        <f>IF(_xlfn.IFNA(VLOOKUP(P133,Set_Ref!$B$6:$B$1048576,1,FALSE),"")&lt;&gt;"","-",FALSE)</f>
        <v>-</v>
      </c>
      <c r="AC133" t="str">
        <f t="shared" si="30"/>
        <v>-</v>
      </c>
      <c r="AD133" t="str">
        <f t="shared" si="31"/>
        <v>-</v>
      </c>
      <c r="AE133" t="b">
        <f t="shared" si="32"/>
        <v>1</v>
      </c>
    </row>
    <row r="134" spans="1:31" x14ac:dyDescent="0.25">
      <c r="A134">
        <v>1</v>
      </c>
      <c r="B134">
        <v>132</v>
      </c>
      <c r="C134">
        <v>261</v>
      </c>
      <c r="D134" s="11" t="s">
        <v>149</v>
      </c>
      <c r="E134" t="s">
        <v>326</v>
      </c>
      <c r="F134" t="s">
        <v>191</v>
      </c>
      <c r="G134" s="11" t="s">
        <v>469</v>
      </c>
      <c r="H134">
        <v>5</v>
      </c>
      <c r="I134" s="11" t="s">
        <v>175</v>
      </c>
      <c r="J134" t="s">
        <v>342</v>
      </c>
      <c r="K134" t="s">
        <v>229</v>
      </c>
      <c r="L134" s="11" t="s">
        <v>39</v>
      </c>
      <c r="M134" s="11" t="s">
        <v>39</v>
      </c>
      <c r="N134" s="11" t="s">
        <v>39</v>
      </c>
      <c r="O134" s="11" t="s">
        <v>39</v>
      </c>
      <c r="P134" t="s">
        <v>9</v>
      </c>
      <c r="Q134">
        <v>5</v>
      </c>
      <c r="R134">
        <v>0</v>
      </c>
      <c r="S134">
        <v>0</v>
      </c>
      <c r="T134" t="str">
        <f t="shared" si="22"/>
        <v>-</v>
      </c>
      <c r="U134" t="str">
        <f t="shared" si="23"/>
        <v>-</v>
      </c>
      <c r="V134" t="str">
        <f t="shared" si="24"/>
        <v>-</v>
      </c>
      <c r="W134" t="str">
        <f t="shared" si="25"/>
        <v>-</v>
      </c>
      <c r="X134" t="str">
        <f t="shared" si="26"/>
        <v>-</v>
      </c>
      <c r="Y134" t="str">
        <f t="shared" si="27"/>
        <v>-</v>
      </c>
      <c r="Z134" t="str">
        <f t="shared" si="28"/>
        <v>-</v>
      </c>
      <c r="AA134" t="str">
        <f t="shared" si="29"/>
        <v>-</v>
      </c>
      <c r="AB134" t="str">
        <f>IF(_xlfn.IFNA(VLOOKUP(P134,Set_Ref!$B$6:$B$1048576,1,FALSE),"")&lt;&gt;"","-",FALSE)</f>
        <v>-</v>
      </c>
      <c r="AC134" t="str">
        <f t="shared" si="30"/>
        <v>-</v>
      </c>
      <c r="AD134" t="str">
        <f t="shared" si="31"/>
        <v>-</v>
      </c>
      <c r="AE134" t="b">
        <f t="shared" si="32"/>
        <v>1</v>
      </c>
    </row>
    <row r="135" spans="1:31" x14ac:dyDescent="0.25">
      <c r="A135">
        <v>1</v>
      </c>
      <c r="B135">
        <v>133</v>
      </c>
      <c r="C135">
        <v>261</v>
      </c>
      <c r="D135" s="11" t="s">
        <v>149</v>
      </c>
      <c r="E135" t="s">
        <v>326</v>
      </c>
      <c r="F135" t="s">
        <v>191</v>
      </c>
      <c r="G135" s="11" t="s">
        <v>469</v>
      </c>
      <c r="H135">
        <v>5</v>
      </c>
      <c r="I135" s="11" t="s">
        <v>175</v>
      </c>
      <c r="J135" t="s">
        <v>343</v>
      </c>
      <c r="K135" t="s">
        <v>229</v>
      </c>
      <c r="L135" s="11" t="s">
        <v>39</v>
      </c>
      <c r="M135" s="11" t="s">
        <v>39</v>
      </c>
      <c r="N135" s="11" t="s">
        <v>39</v>
      </c>
      <c r="O135" s="11" t="s">
        <v>39</v>
      </c>
      <c r="P135" t="s">
        <v>9</v>
      </c>
      <c r="Q135">
        <v>14</v>
      </c>
      <c r="R135">
        <v>0</v>
      </c>
      <c r="S135">
        <v>0</v>
      </c>
      <c r="T135" t="str">
        <f t="shared" si="22"/>
        <v>-</v>
      </c>
      <c r="U135" t="str">
        <f t="shared" si="23"/>
        <v>-</v>
      </c>
      <c r="V135" t="str">
        <f t="shared" si="24"/>
        <v>-</v>
      </c>
      <c r="W135" t="str">
        <f t="shared" si="25"/>
        <v>-</v>
      </c>
      <c r="X135" t="str">
        <f t="shared" si="26"/>
        <v>-</v>
      </c>
      <c r="Y135" t="str">
        <f t="shared" si="27"/>
        <v>-</v>
      </c>
      <c r="Z135" t="str">
        <f t="shared" si="28"/>
        <v>-</v>
      </c>
      <c r="AA135" t="str">
        <f t="shared" si="29"/>
        <v>-</v>
      </c>
      <c r="AB135" t="str">
        <f>IF(_xlfn.IFNA(VLOOKUP(P135,Set_Ref!$B$6:$B$1048576,1,FALSE),"")&lt;&gt;"","-",FALSE)</f>
        <v>-</v>
      </c>
      <c r="AC135" t="str">
        <f t="shared" si="30"/>
        <v>-</v>
      </c>
      <c r="AD135" t="str">
        <f t="shared" si="31"/>
        <v>-</v>
      </c>
      <c r="AE135" t="b">
        <f t="shared" si="32"/>
        <v>1</v>
      </c>
    </row>
    <row r="136" spans="1:31" x14ac:dyDescent="0.25">
      <c r="A136">
        <v>1</v>
      </c>
      <c r="B136">
        <v>134</v>
      </c>
      <c r="C136">
        <v>261</v>
      </c>
      <c r="D136" s="11" t="s">
        <v>149</v>
      </c>
      <c r="E136" t="s">
        <v>326</v>
      </c>
      <c r="F136" t="s">
        <v>191</v>
      </c>
      <c r="G136" s="11" t="s">
        <v>469</v>
      </c>
      <c r="H136">
        <v>5</v>
      </c>
      <c r="I136" s="11" t="s">
        <v>175</v>
      </c>
      <c r="J136" t="s">
        <v>344</v>
      </c>
      <c r="K136" t="s">
        <v>229</v>
      </c>
      <c r="L136" s="11" t="s">
        <v>39</v>
      </c>
      <c r="M136" s="11" t="s">
        <v>39</v>
      </c>
      <c r="N136" s="11" t="s">
        <v>39</v>
      </c>
      <c r="O136" s="11" t="s">
        <v>39</v>
      </c>
      <c r="P136" t="s">
        <v>9</v>
      </c>
      <c r="Q136">
        <v>5</v>
      </c>
      <c r="R136">
        <v>0</v>
      </c>
      <c r="S136">
        <v>0</v>
      </c>
      <c r="T136" t="str">
        <f t="shared" si="22"/>
        <v>-</v>
      </c>
      <c r="U136" t="str">
        <f t="shared" si="23"/>
        <v>-</v>
      </c>
      <c r="V136" t="str">
        <f t="shared" si="24"/>
        <v>-</v>
      </c>
      <c r="W136" t="str">
        <f t="shared" si="25"/>
        <v>-</v>
      </c>
      <c r="X136" t="str">
        <f t="shared" si="26"/>
        <v>-</v>
      </c>
      <c r="Y136" t="str">
        <f t="shared" si="27"/>
        <v>-</v>
      </c>
      <c r="Z136" t="str">
        <f t="shared" si="28"/>
        <v>-</v>
      </c>
      <c r="AA136" t="str">
        <f t="shared" si="29"/>
        <v>-</v>
      </c>
      <c r="AB136" t="str">
        <f>IF(_xlfn.IFNA(VLOOKUP(P136,Set_Ref!$B$6:$B$1048576,1,FALSE),"")&lt;&gt;"","-",FALSE)</f>
        <v>-</v>
      </c>
      <c r="AC136" t="str">
        <f t="shared" si="30"/>
        <v>-</v>
      </c>
      <c r="AD136" t="str">
        <f t="shared" si="31"/>
        <v>-</v>
      </c>
      <c r="AE136" t="b">
        <f t="shared" si="32"/>
        <v>1</v>
      </c>
    </row>
    <row r="137" spans="1:31" x14ac:dyDescent="0.25">
      <c r="A137">
        <v>1</v>
      </c>
      <c r="B137">
        <v>135</v>
      </c>
      <c r="C137">
        <v>261</v>
      </c>
      <c r="D137" s="11" t="s">
        <v>149</v>
      </c>
      <c r="E137" t="s">
        <v>326</v>
      </c>
      <c r="F137" t="s">
        <v>191</v>
      </c>
      <c r="G137" s="11" t="s">
        <v>469</v>
      </c>
      <c r="H137">
        <v>5</v>
      </c>
      <c r="I137" s="11" t="s">
        <v>175</v>
      </c>
      <c r="J137" t="s">
        <v>345</v>
      </c>
      <c r="K137" t="s">
        <v>229</v>
      </c>
      <c r="L137" s="11" t="s">
        <v>39</v>
      </c>
      <c r="M137" s="11" t="s">
        <v>39</v>
      </c>
      <c r="N137" s="11" t="s">
        <v>39</v>
      </c>
      <c r="O137" s="11" t="s">
        <v>39</v>
      </c>
      <c r="P137" t="s">
        <v>9</v>
      </c>
      <c r="Q137">
        <v>3</v>
      </c>
      <c r="R137">
        <v>0</v>
      </c>
      <c r="S137">
        <v>0</v>
      </c>
      <c r="T137" t="str">
        <f t="shared" si="22"/>
        <v>-</v>
      </c>
      <c r="U137" t="str">
        <f t="shared" si="23"/>
        <v>-</v>
      </c>
      <c r="V137" t="str">
        <f t="shared" si="24"/>
        <v>-</v>
      </c>
      <c r="W137" t="str">
        <f t="shared" si="25"/>
        <v>-</v>
      </c>
      <c r="X137" t="str">
        <f t="shared" si="26"/>
        <v>-</v>
      </c>
      <c r="Y137" t="str">
        <f t="shared" si="27"/>
        <v>-</v>
      </c>
      <c r="Z137" t="str">
        <f t="shared" si="28"/>
        <v>-</v>
      </c>
      <c r="AA137" t="str">
        <f t="shared" si="29"/>
        <v>-</v>
      </c>
      <c r="AB137" t="str">
        <f>IF(_xlfn.IFNA(VLOOKUP(P137,Set_Ref!$B$6:$B$1048576,1,FALSE),"")&lt;&gt;"","-",FALSE)</f>
        <v>-</v>
      </c>
      <c r="AC137" t="str">
        <f t="shared" si="30"/>
        <v>-</v>
      </c>
      <c r="AD137" t="str">
        <f t="shared" si="31"/>
        <v>-</v>
      </c>
      <c r="AE137" t="b">
        <f t="shared" si="32"/>
        <v>1</v>
      </c>
    </row>
    <row r="138" spans="1:31" x14ac:dyDescent="0.25">
      <c r="A138">
        <v>1</v>
      </c>
      <c r="B138">
        <v>136</v>
      </c>
      <c r="C138">
        <v>261</v>
      </c>
      <c r="D138" s="11" t="s">
        <v>149</v>
      </c>
      <c r="E138" t="s">
        <v>326</v>
      </c>
      <c r="F138" t="s">
        <v>191</v>
      </c>
      <c r="G138" s="11" t="s">
        <v>469</v>
      </c>
      <c r="H138">
        <v>5</v>
      </c>
      <c r="I138" s="11" t="s">
        <v>175</v>
      </c>
      <c r="J138" t="s">
        <v>346</v>
      </c>
      <c r="K138" t="s">
        <v>229</v>
      </c>
      <c r="L138" s="11" t="s">
        <v>39</v>
      </c>
      <c r="M138" s="11" t="s">
        <v>39</v>
      </c>
      <c r="N138" s="11" t="s">
        <v>39</v>
      </c>
      <c r="O138" s="11" t="s">
        <v>39</v>
      </c>
      <c r="P138" t="s">
        <v>9</v>
      </c>
      <c r="Q138">
        <v>2</v>
      </c>
      <c r="R138">
        <v>0</v>
      </c>
      <c r="S138">
        <v>0</v>
      </c>
      <c r="T138" t="str">
        <f t="shared" si="22"/>
        <v>-</v>
      </c>
      <c r="U138" t="str">
        <f t="shared" si="23"/>
        <v>-</v>
      </c>
      <c r="V138" t="str">
        <f t="shared" si="24"/>
        <v>-</v>
      </c>
      <c r="W138" t="str">
        <f t="shared" si="25"/>
        <v>-</v>
      </c>
      <c r="X138" t="str">
        <f t="shared" si="26"/>
        <v>-</v>
      </c>
      <c r="Y138" t="str">
        <f t="shared" si="27"/>
        <v>-</v>
      </c>
      <c r="Z138" t="str">
        <f t="shared" si="28"/>
        <v>-</v>
      </c>
      <c r="AA138" t="str">
        <f t="shared" si="29"/>
        <v>-</v>
      </c>
      <c r="AB138" t="str">
        <f>IF(_xlfn.IFNA(VLOOKUP(P138,Set_Ref!$B$6:$B$1048576,1,FALSE),"")&lt;&gt;"","-",FALSE)</f>
        <v>-</v>
      </c>
      <c r="AC138" t="str">
        <f t="shared" si="30"/>
        <v>-</v>
      </c>
      <c r="AD138" t="str">
        <f t="shared" si="31"/>
        <v>-</v>
      </c>
      <c r="AE138" t="b">
        <f t="shared" si="32"/>
        <v>1</v>
      </c>
    </row>
    <row r="139" spans="1:31" x14ac:dyDescent="0.25">
      <c r="A139">
        <v>1</v>
      </c>
      <c r="B139">
        <v>137</v>
      </c>
      <c r="C139">
        <v>261</v>
      </c>
      <c r="D139" s="11" t="s">
        <v>149</v>
      </c>
      <c r="E139" t="s">
        <v>326</v>
      </c>
      <c r="F139" t="s">
        <v>191</v>
      </c>
      <c r="G139" s="11" t="s">
        <v>469</v>
      </c>
      <c r="H139">
        <v>5</v>
      </c>
      <c r="I139" s="11" t="s">
        <v>175</v>
      </c>
      <c r="J139" t="s">
        <v>347</v>
      </c>
      <c r="K139" t="s">
        <v>229</v>
      </c>
      <c r="L139" s="11" t="s">
        <v>39</v>
      </c>
      <c r="M139" s="11" t="s">
        <v>39</v>
      </c>
      <c r="N139" s="11" t="s">
        <v>39</v>
      </c>
      <c r="O139" s="11" t="s">
        <v>39</v>
      </c>
      <c r="P139" t="s">
        <v>9</v>
      </c>
      <c r="Q139">
        <v>50</v>
      </c>
      <c r="R139">
        <v>0</v>
      </c>
      <c r="S139">
        <v>0</v>
      </c>
      <c r="T139" t="str">
        <f t="shared" si="22"/>
        <v>-</v>
      </c>
      <c r="U139" t="str">
        <f t="shared" si="23"/>
        <v>-</v>
      </c>
      <c r="V139" t="str">
        <f t="shared" si="24"/>
        <v>-</v>
      </c>
      <c r="W139" t="str">
        <f t="shared" si="25"/>
        <v>-</v>
      </c>
      <c r="X139" t="str">
        <f t="shared" si="26"/>
        <v>-</v>
      </c>
      <c r="Y139" t="str">
        <f t="shared" si="27"/>
        <v>-</v>
      </c>
      <c r="Z139" t="str">
        <f t="shared" si="28"/>
        <v>-</v>
      </c>
      <c r="AA139" t="str">
        <f t="shared" si="29"/>
        <v>-</v>
      </c>
      <c r="AB139" t="str">
        <f>IF(_xlfn.IFNA(VLOOKUP(P139,Set_Ref!$B$6:$B$1048576,1,FALSE),"")&lt;&gt;"","-",FALSE)</f>
        <v>-</v>
      </c>
      <c r="AC139" t="str">
        <f t="shared" si="30"/>
        <v>-</v>
      </c>
      <c r="AD139" t="str">
        <f t="shared" si="31"/>
        <v>-</v>
      </c>
      <c r="AE139" t="b">
        <f t="shared" si="32"/>
        <v>1</v>
      </c>
    </row>
    <row r="140" spans="1:31" x14ac:dyDescent="0.25">
      <c r="A140">
        <v>1</v>
      </c>
      <c r="B140">
        <v>138</v>
      </c>
      <c r="C140">
        <v>261</v>
      </c>
      <c r="D140" s="11" t="s">
        <v>149</v>
      </c>
      <c r="E140" t="s">
        <v>326</v>
      </c>
      <c r="F140" t="s">
        <v>191</v>
      </c>
      <c r="G140" s="11" t="s">
        <v>469</v>
      </c>
      <c r="H140">
        <v>5</v>
      </c>
      <c r="I140" s="11" t="s">
        <v>175</v>
      </c>
      <c r="J140" t="s">
        <v>348</v>
      </c>
      <c r="K140" t="s">
        <v>229</v>
      </c>
      <c r="L140" s="11" t="s">
        <v>39</v>
      </c>
      <c r="M140" s="11" t="s">
        <v>39</v>
      </c>
      <c r="N140" s="11" t="s">
        <v>39</v>
      </c>
      <c r="O140" s="11" t="s">
        <v>39</v>
      </c>
      <c r="P140" t="s">
        <v>9</v>
      </c>
      <c r="Q140">
        <v>213</v>
      </c>
      <c r="R140">
        <v>0</v>
      </c>
      <c r="S140">
        <v>0</v>
      </c>
      <c r="T140" t="str">
        <f t="shared" si="22"/>
        <v>-</v>
      </c>
      <c r="U140" t="str">
        <f t="shared" si="23"/>
        <v>-</v>
      </c>
      <c r="V140" t="str">
        <f t="shared" si="24"/>
        <v>-</v>
      </c>
      <c r="W140" t="str">
        <f t="shared" si="25"/>
        <v>-</v>
      </c>
      <c r="X140" t="str">
        <f t="shared" si="26"/>
        <v>-</v>
      </c>
      <c r="Y140" t="str">
        <f t="shared" si="27"/>
        <v>-</v>
      </c>
      <c r="Z140" t="str">
        <f t="shared" si="28"/>
        <v>-</v>
      </c>
      <c r="AA140" t="str">
        <f t="shared" si="29"/>
        <v>-</v>
      </c>
      <c r="AB140" t="str">
        <f>IF(_xlfn.IFNA(VLOOKUP(P140,Set_Ref!$B$6:$B$1048576,1,FALSE),"")&lt;&gt;"","-",FALSE)</f>
        <v>-</v>
      </c>
      <c r="AC140" t="str">
        <f t="shared" si="30"/>
        <v>-</v>
      </c>
      <c r="AD140" t="str">
        <f t="shared" si="31"/>
        <v>-</v>
      </c>
      <c r="AE140" t="b">
        <f t="shared" si="32"/>
        <v>1</v>
      </c>
    </row>
    <row r="141" spans="1:31" x14ac:dyDescent="0.25">
      <c r="A141">
        <v>1</v>
      </c>
      <c r="B141">
        <v>139</v>
      </c>
      <c r="C141">
        <v>261</v>
      </c>
      <c r="D141" s="11" t="s">
        <v>149</v>
      </c>
      <c r="E141" t="s">
        <v>326</v>
      </c>
      <c r="F141" t="s">
        <v>191</v>
      </c>
      <c r="G141" s="11" t="s">
        <v>469</v>
      </c>
      <c r="H141">
        <v>5</v>
      </c>
      <c r="I141" s="11" t="s">
        <v>175</v>
      </c>
      <c r="J141" t="s">
        <v>349</v>
      </c>
      <c r="K141" t="s">
        <v>229</v>
      </c>
      <c r="L141" s="11" t="s">
        <v>39</v>
      </c>
      <c r="M141" s="11" t="s">
        <v>39</v>
      </c>
      <c r="N141" s="11" t="s">
        <v>39</v>
      </c>
      <c r="O141" s="11" t="s">
        <v>39</v>
      </c>
      <c r="P141" t="s">
        <v>9</v>
      </c>
      <c r="Q141">
        <v>310</v>
      </c>
      <c r="R141">
        <v>0</v>
      </c>
      <c r="S141">
        <v>0</v>
      </c>
      <c r="T141" t="str">
        <f t="shared" si="22"/>
        <v>-</v>
      </c>
      <c r="U141" t="str">
        <f t="shared" si="23"/>
        <v>-</v>
      </c>
      <c r="V141" t="str">
        <f t="shared" si="24"/>
        <v>-</v>
      </c>
      <c r="W141" t="str">
        <f t="shared" si="25"/>
        <v>-</v>
      </c>
      <c r="X141" t="str">
        <f t="shared" si="26"/>
        <v>-</v>
      </c>
      <c r="Y141" t="str">
        <f t="shared" si="27"/>
        <v>-</v>
      </c>
      <c r="Z141" t="str">
        <f t="shared" si="28"/>
        <v>-</v>
      </c>
      <c r="AA141" t="str">
        <f t="shared" si="29"/>
        <v>-</v>
      </c>
      <c r="AB141" t="str">
        <f>IF(_xlfn.IFNA(VLOOKUP(P141,Set_Ref!$B$6:$B$1048576,1,FALSE),"")&lt;&gt;"","-",FALSE)</f>
        <v>-</v>
      </c>
      <c r="AC141" t="str">
        <f t="shared" si="30"/>
        <v>-</v>
      </c>
      <c r="AD141" t="str">
        <f t="shared" si="31"/>
        <v>-</v>
      </c>
      <c r="AE141" t="b">
        <f t="shared" si="32"/>
        <v>1</v>
      </c>
    </row>
    <row r="142" spans="1:31" x14ac:dyDescent="0.25">
      <c r="A142">
        <v>1</v>
      </c>
      <c r="B142">
        <v>140</v>
      </c>
      <c r="C142">
        <v>261</v>
      </c>
      <c r="D142" s="11" t="s">
        <v>149</v>
      </c>
      <c r="E142" t="s">
        <v>326</v>
      </c>
      <c r="F142" t="s">
        <v>191</v>
      </c>
      <c r="G142" s="11" t="s">
        <v>469</v>
      </c>
      <c r="H142">
        <v>5</v>
      </c>
      <c r="I142" s="11" t="s">
        <v>175</v>
      </c>
      <c r="J142" t="s">
        <v>350</v>
      </c>
      <c r="K142" t="s">
        <v>229</v>
      </c>
      <c r="L142" s="11" t="s">
        <v>39</v>
      </c>
      <c r="M142" s="11" t="s">
        <v>39</v>
      </c>
      <c r="N142" s="11" t="s">
        <v>39</v>
      </c>
      <c r="O142" s="11" t="s">
        <v>39</v>
      </c>
      <c r="P142" t="s">
        <v>9</v>
      </c>
      <c r="Q142">
        <v>394</v>
      </c>
      <c r="R142">
        <v>0</v>
      </c>
      <c r="S142">
        <v>0</v>
      </c>
      <c r="T142" t="str">
        <f t="shared" si="22"/>
        <v>-</v>
      </c>
      <c r="U142" t="str">
        <f t="shared" si="23"/>
        <v>-</v>
      </c>
      <c r="V142" t="str">
        <f t="shared" si="24"/>
        <v>-</v>
      </c>
      <c r="W142" t="str">
        <f t="shared" si="25"/>
        <v>-</v>
      </c>
      <c r="X142" t="str">
        <f t="shared" si="26"/>
        <v>-</v>
      </c>
      <c r="Y142" t="str">
        <f t="shared" si="27"/>
        <v>-</v>
      </c>
      <c r="Z142" t="str">
        <f t="shared" si="28"/>
        <v>-</v>
      </c>
      <c r="AA142" t="str">
        <f t="shared" si="29"/>
        <v>-</v>
      </c>
      <c r="AB142" t="str">
        <f>IF(_xlfn.IFNA(VLOOKUP(P142,Set_Ref!$B$6:$B$1048576,1,FALSE),"")&lt;&gt;"","-",FALSE)</f>
        <v>-</v>
      </c>
      <c r="AC142" t="str">
        <f t="shared" si="30"/>
        <v>-</v>
      </c>
      <c r="AD142" t="str">
        <f t="shared" si="31"/>
        <v>-</v>
      </c>
      <c r="AE142" t="b">
        <f t="shared" si="32"/>
        <v>1</v>
      </c>
    </row>
    <row r="143" spans="1:31" x14ac:dyDescent="0.25">
      <c r="A143">
        <v>1</v>
      </c>
      <c r="B143">
        <v>141</v>
      </c>
      <c r="C143">
        <v>261</v>
      </c>
      <c r="D143" s="11" t="s">
        <v>149</v>
      </c>
      <c r="E143" t="s">
        <v>326</v>
      </c>
      <c r="F143" t="s">
        <v>191</v>
      </c>
      <c r="G143" s="11" t="s">
        <v>469</v>
      </c>
      <c r="H143">
        <v>5</v>
      </c>
      <c r="I143" s="11" t="s">
        <v>175</v>
      </c>
      <c r="J143" t="s">
        <v>351</v>
      </c>
      <c r="K143" t="s">
        <v>229</v>
      </c>
      <c r="L143" s="11" t="s">
        <v>39</v>
      </c>
      <c r="M143" s="11" t="s">
        <v>39</v>
      </c>
      <c r="N143" s="11" t="s">
        <v>39</v>
      </c>
      <c r="O143" s="11" t="s">
        <v>39</v>
      </c>
      <c r="P143" t="s">
        <v>9</v>
      </c>
      <c r="Q143">
        <v>281</v>
      </c>
      <c r="R143">
        <v>0</v>
      </c>
      <c r="S143">
        <v>0</v>
      </c>
      <c r="T143" t="str">
        <f t="shared" si="22"/>
        <v>-</v>
      </c>
      <c r="U143" t="str">
        <f t="shared" si="23"/>
        <v>-</v>
      </c>
      <c r="V143" t="str">
        <f t="shared" si="24"/>
        <v>-</v>
      </c>
      <c r="W143" t="str">
        <f t="shared" si="25"/>
        <v>-</v>
      </c>
      <c r="X143" t="str">
        <f t="shared" si="26"/>
        <v>-</v>
      </c>
      <c r="Y143" t="str">
        <f t="shared" si="27"/>
        <v>-</v>
      </c>
      <c r="Z143" t="str">
        <f t="shared" si="28"/>
        <v>-</v>
      </c>
      <c r="AA143" t="str">
        <f t="shared" si="29"/>
        <v>-</v>
      </c>
      <c r="AB143" t="str">
        <f>IF(_xlfn.IFNA(VLOOKUP(P143,Set_Ref!$B$6:$B$1048576,1,FALSE),"")&lt;&gt;"","-",FALSE)</f>
        <v>-</v>
      </c>
      <c r="AC143" t="str">
        <f t="shared" si="30"/>
        <v>-</v>
      </c>
      <c r="AD143" t="str">
        <f t="shared" si="31"/>
        <v>-</v>
      </c>
      <c r="AE143" t="b">
        <f t="shared" si="32"/>
        <v>1</v>
      </c>
    </row>
    <row r="144" spans="1:31" x14ac:dyDescent="0.25">
      <c r="A144">
        <v>1</v>
      </c>
      <c r="B144">
        <v>142</v>
      </c>
      <c r="C144">
        <v>261</v>
      </c>
      <c r="D144" s="11" t="s">
        <v>149</v>
      </c>
      <c r="E144" t="s">
        <v>326</v>
      </c>
      <c r="F144" t="s">
        <v>191</v>
      </c>
      <c r="G144" s="11" t="s">
        <v>469</v>
      </c>
      <c r="H144">
        <v>5</v>
      </c>
      <c r="I144" s="11" t="s">
        <v>175</v>
      </c>
      <c r="J144" t="s">
        <v>352</v>
      </c>
      <c r="K144" t="s">
        <v>229</v>
      </c>
      <c r="L144" s="11" t="s">
        <v>39</v>
      </c>
      <c r="M144" s="11" t="s">
        <v>39</v>
      </c>
      <c r="N144" s="11" t="s">
        <v>39</v>
      </c>
      <c r="O144" s="11" t="s">
        <v>39</v>
      </c>
      <c r="P144" t="s">
        <v>9</v>
      </c>
      <c r="Q144">
        <v>202</v>
      </c>
      <c r="R144">
        <v>0</v>
      </c>
      <c r="S144">
        <v>0</v>
      </c>
      <c r="T144" t="str">
        <f t="shared" si="22"/>
        <v>-</v>
      </c>
      <c r="U144" t="str">
        <f t="shared" si="23"/>
        <v>-</v>
      </c>
      <c r="V144" t="str">
        <f t="shared" si="24"/>
        <v>-</v>
      </c>
      <c r="W144" t="str">
        <f t="shared" si="25"/>
        <v>-</v>
      </c>
      <c r="X144" t="str">
        <f t="shared" si="26"/>
        <v>-</v>
      </c>
      <c r="Y144" t="str">
        <f t="shared" si="27"/>
        <v>-</v>
      </c>
      <c r="Z144" t="str">
        <f t="shared" si="28"/>
        <v>-</v>
      </c>
      <c r="AA144" t="str">
        <f t="shared" si="29"/>
        <v>-</v>
      </c>
      <c r="AB144" t="str">
        <f>IF(_xlfn.IFNA(VLOOKUP(P144,Set_Ref!$B$6:$B$1048576,1,FALSE),"")&lt;&gt;"","-",FALSE)</f>
        <v>-</v>
      </c>
      <c r="AC144" t="str">
        <f t="shared" si="30"/>
        <v>-</v>
      </c>
      <c r="AD144" t="str">
        <f t="shared" si="31"/>
        <v>-</v>
      </c>
      <c r="AE144" t="b">
        <f t="shared" si="32"/>
        <v>1</v>
      </c>
    </row>
    <row r="145" spans="1:31" x14ac:dyDescent="0.25">
      <c r="A145">
        <v>1</v>
      </c>
      <c r="B145">
        <v>143</v>
      </c>
      <c r="C145">
        <v>261</v>
      </c>
      <c r="D145" s="11" t="s">
        <v>149</v>
      </c>
      <c r="E145" t="s">
        <v>326</v>
      </c>
      <c r="F145" t="s">
        <v>191</v>
      </c>
      <c r="G145" s="11" t="s">
        <v>469</v>
      </c>
      <c r="H145">
        <v>5</v>
      </c>
      <c r="I145" s="11" t="s">
        <v>175</v>
      </c>
      <c r="J145" t="s">
        <v>353</v>
      </c>
      <c r="K145" t="s">
        <v>229</v>
      </c>
      <c r="L145" s="11" t="s">
        <v>39</v>
      </c>
      <c r="M145" s="11" t="s">
        <v>39</v>
      </c>
      <c r="N145" s="11" t="s">
        <v>39</v>
      </c>
      <c r="O145" s="11" t="s">
        <v>39</v>
      </c>
      <c r="P145" t="s">
        <v>9</v>
      </c>
      <c r="Q145">
        <v>67</v>
      </c>
      <c r="R145">
        <v>0</v>
      </c>
      <c r="S145">
        <v>0</v>
      </c>
      <c r="T145" t="str">
        <f t="shared" si="22"/>
        <v>-</v>
      </c>
      <c r="U145" t="str">
        <f t="shared" si="23"/>
        <v>-</v>
      </c>
      <c r="V145" t="str">
        <f t="shared" si="24"/>
        <v>-</v>
      </c>
      <c r="W145" t="str">
        <f t="shared" si="25"/>
        <v>-</v>
      </c>
      <c r="X145" t="str">
        <f t="shared" si="26"/>
        <v>-</v>
      </c>
      <c r="Y145" t="str">
        <f t="shared" si="27"/>
        <v>-</v>
      </c>
      <c r="Z145" t="str">
        <f t="shared" si="28"/>
        <v>-</v>
      </c>
      <c r="AA145" t="str">
        <f t="shared" si="29"/>
        <v>-</v>
      </c>
      <c r="AB145" t="str">
        <f>IF(_xlfn.IFNA(VLOOKUP(P145,Set_Ref!$B$6:$B$1048576,1,FALSE),"")&lt;&gt;"","-",FALSE)</f>
        <v>-</v>
      </c>
      <c r="AC145" t="str">
        <f t="shared" si="30"/>
        <v>-</v>
      </c>
      <c r="AD145" t="str">
        <f t="shared" si="31"/>
        <v>-</v>
      </c>
      <c r="AE145" t="b">
        <f t="shared" si="32"/>
        <v>1</v>
      </c>
    </row>
    <row r="146" spans="1:31" x14ac:dyDescent="0.25">
      <c r="A146">
        <v>1</v>
      </c>
      <c r="B146">
        <v>144</v>
      </c>
      <c r="C146">
        <v>261</v>
      </c>
      <c r="D146" s="11" t="s">
        <v>149</v>
      </c>
      <c r="E146" t="s">
        <v>326</v>
      </c>
      <c r="F146" t="s">
        <v>191</v>
      </c>
      <c r="G146" s="11" t="s">
        <v>469</v>
      </c>
      <c r="H146">
        <v>5</v>
      </c>
      <c r="I146" s="11" t="s">
        <v>175</v>
      </c>
      <c r="J146" t="s">
        <v>354</v>
      </c>
      <c r="K146" t="s">
        <v>229</v>
      </c>
      <c r="L146" s="11" t="s">
        <v>39</v>
      </c>
      <c r="M146" s="11" t="s">
        <v>39</v>
      </c>
      <c r="N146" s="11" t="s">
        <v>39</v>
      </c>
      <c r="O146" s="11" t="s">
        <v>39</v>
      </c>
      <c r="P146" t="s">
        <v>9</v>
      </c>
      <c r="Q146">
        <v>60</v>
      </c>
      <c r="R146">
        <v>0</v>
      </c>
      <c r="S146">
        <v>0</v>
      </c>
      <c r="T146" t="str">
        <f t="shared" si="22"/>
        <v>-</v>
      </c>
      <c r="U146" t="str">
        <f t="shared" si="23"/>
        <v>-</v>
      </c>
      <c r="V146" t="str">
        <f t="shared" si="24"/>
        <v>-</v>
      </c>
      <c r="W146" t="str">
        <f t="shared" si="25"/>
        <v>-</v>
      </c>
      <c r="X146" t="str">
        <f t="shared" si="26"/>
        <v>-</v>
      </c>
      <c r="Y146" t="str">
        <f t="shared" si="27"/>
        <v>-</v>
      </c>
      <c r="Z146" t="str">
        <f t="shared" si="28"/>
        <v>-</v>
      </c>
      <c r="AA146" t="str">
        <f t="shared" si="29"/>
        <v>-</v>
      </c>
      <c r="AB146" t="str">
        <f>IF(_xlfn.IFNA(VLOOKUP(P146,Set_Ref!$B$6:$B$1048576,1,FALSE),"")&lt;&gt;"","-",FALSE)</f>
        <v>-</v>
      </c>
      <c r="AC146" t="str">
        <f t="shared" si="30"/>
        <v>-</v>
      </c>
      <c r="AD146" t="str">
        <f t="shared" si="31"/>
        <v>-</v>
      </c>
      <c r="AE146" t="b">
        <f t="shared" si="32"/>
        <v>1</v>
      </c>
    </row>
    <row r="147" spans="1:31" x14ac:dyDescent="0.25">
      <c r="A147">
        <v>1</v>
      </c>
      <c r="B147">
        <v>145</v>
      </c>
      <c r="C147">
        <v>261</v>
      </c>
      <c r="D147" s="11" t="s">
        <v>149</v>
      </c>
      <c r="E147" t="s">
        <v>326</v>
      </c>
      <c r="F147" t="s">
        <v>191</v>
      </c>
      <c r="G147" s="11" t="s">
        <v>469</v>
      </c>
      <c r="H147">
        <v>5</v>
      </c>
      <c r="I147" s="11" t="s">
        <v>175</v>
      </c>
      <c r="J147" t="s">
        <v>355</v>
      </c>
      <c r="K147" t="s">
        <v>229</v>
      </c>
      <c r="L147" s="11" t="s">
        <v>39</v>
      </c>
      <c r="M147" s="11" t="s">
        <v>39</v>
      </c>
      <c r="N147" s="11" t="s">
        <v>39</v>
      </c>
      <c r="O147" s="11" t="s">
        <v>39</v>
      </c>
      <c r="P147" t="s">
        <v>9</v>
      </c>
      <c r="Q147">
        <v>29</v>
      </c>
      <c r="R147">
        <v>0</v>
      </c>
      <c r="S147">
        <v>0</v>
      </c>
      <c r="T147" t="str">
        <f t="shared" si="22"/>
        <v>-</v>
      </c>
      <c r="U147" t="str">
        <f t="shared" si="23"/>
        <v>-</v>
      </c>
      <c r="V147" t="str">
        <f t="shared" si="24"/>
        <v>-</v>
      </c>
      <c r="W147" t="str">
        <f t="shared" si="25"/>
        <v>-</v>
      </c>
      <c r="X147" t="str">
        <f t="shared" si="26"/>
        <v>-</v>
      </c>
      <c r="Y147" t="str">
        <f t="shared" si="27"/>
        <v>-</v>
      </c>
      <c r="Z147" t="str">
        <f t="shared" si="28"/>
        <v>-</v>
      </c>
      <c r="AA147" t="str">
        <f t="shared" si="29"/>
        <v>-</v>
      </c>
      <c r="AB147" t="str">
        <f>IF(_xlfn.IFNA(VLOOKUP(P147,Set_Ref!$B$6:$B$1048576,1,FALSE),"")&lt;&gt;"","-",FALSE)</f>
        <v>-</v>
      </c>
      <c r="AC147" t="str">
        <f t="shared" si="30"/>
        <v>-</v>
      </c>
      <c r="AD147" t="str">
        <f t="shared" si="31"/>
        <v>-</v>
      </c>
      <c r="AE147" t="b">
        <f t="shared" si="32"/>
        <v>1</v>
      </c>
    </row>
    <row r="148" spans="1:31" x14ac:dyDescent="0.25">
      <c r="A148">
        <v>1</v>
      </c>
      <c r="B148">
        <v>146</v>
      </c>
      <c r="C148">
        <v>261</v>
      </c>
      <c r="D148" s="11" t="s">
        <v>149</v>
      </c>
      <c r="E148" t="s">
        <v>326</v>
      </c>
      <c r="F148" t="s">
        <v>191</v>
      </c>
      <c r="G148" s="11" t="s">
        <v>469</v>
      </c>
      <c r="H148">
        <v>5</v>
      </c>
      <c r="I148" s="11" t="s">
        <v>175</v>
      </c>
      <c r="J148" t="s">
        <v>356</v>
      </c>
      <c r="K148" t="s">
        <v>229</v>
      </c>
      <c r="L148" s="11" t="s">
        <v>39</v>
      </c>
      <c r="M148" s="11" t="s">
        <v>39</v>
      </c>
      <c r="N148" s="11" t="s">
        <v>39</v>
      </c>
      <c r="O148" s="11" t="s">
        <v>39</v>
      </c>
      <c r="P148" t="s">
        <v>9</v>
      </c>
      <c r="Q148">
        <v>30</v>
      </c>
      <c r="R148">
        <v>0</v>
      </c>
      <c r="S148">
        <v>0</v>
      </c>
      <c r="T148" t="str">
        <f t="shared" si="22"/>
        <v>-</v>
      </c>
      <c r="U148" t="str">
        <f t="shared" si="23"/>
        <v>-</v>
      </c>
      <c r="V148" t="str">
        <f t="shared" si="24"/>
        <v>-</v>
      </c>
      <c r="W148" t="str">
        <f t="shared" si="25"/>
        <v>-</v>
      </c>
      <c r="X148" t="str">
        <f t="shared" si="26"/>
        <v>-</v>
      </c>
      <c r="Y148" t="str">
        <f t="shared" si="27"/>
        <v>-</v>
      </c>
      <c r="Z148" t="str">
        <f t="shared" si="28"/>
        <v>-</v>
      </c>
      <c r="AA148" t="str">
        <f t="shared" si="29"/>
        <v>-</v>
      </c>
      <c r="AB148" t="str">
        <f>IF(_xlfn.IFNA(VLOOKUP(P148,Set_Ref!$B$6:$B$1048576,1,FALSE),"")&lt;&gt;"","-",FALSE)</f>
        <v>-</v>
      </c>
      <c r="AC148" t="str">
        <f t="shared" si="30"/>
        <v>-</v>
      </c>
      <c r="AD148" t="str">
        <f t="shared" si="31"/>
        <v>-</v>
      </c>
      <c r="AE148" t="b">
        <f t="shared" si="32"/>
        <v>1</v>
      </c>
    </row>
    <row r="149" spans="1:31" x14ac:dyDescent="0.25">
      <c r="A149">
        <v>1</v>
      </c>
      <c r="B149">
        <v>147</v>
      </c>
      <c r="C149">
        <v>261</v>
      </c>
      <c r="D149" s="11" t="s">
        <v>149</v>
      </c>
      <c r="E149" t="s">
        <v>326</v>
      </c>
      <c r="F149" t="s">
        <v>191</v>
      </c>
      <c r="G149" s="11" t="s">
        <v>469</v>
      </c>
      <c r="H149">
        <v>5</v>
      </c>
      <c r="I149" s="11" t="s">
        <v>175</v>
      </c>
      <c r="J149" t="s">
        <v>357</v>
      </c>
      <c r="K149" t="s">
        <v>229</v>
      </c>
      <c r="L149" s="11" t="s">
        <v>39</v>
      </c>
      <c r="M149" s="11" t="s">
        <v>39</v>
      </c>
      <c r="N149" s="11" t="s">
        <v>39</v>
      </c>
      <c r="O149" s="11" t="s">
        <v>39</v>
      </c>
      <c r="P149" t="s">
        <v>9</v>
      </c>
      <c r="Q149">
        <v>13</v>
      </c>
      <c r="R149">
        <v>0</v>
      </c>
      <c r="S149">
        <v>0</v>
      </c>
      <c r="T149" t="str">
        <f t="shared" si="22"/>
        <v>-</v>
      </c>
      <c r="U149" t="str">
        <f t="shared" si="23"/>
        <v>-</v>
      </c>
      <c r="V149" t="str">
        <f t="shared" si="24"/>
        <v>-</v>
      </c>
      <c r="W149" t="str">
        <f t="shared" si="25"/>
        <v>-</v>
      </c>
      <c r="X149" t="str">
        <f t="shared" si="26"/>
        <v>-</v>
      </c>
      <c r="Y149" t="str">
        <f t="shared" si="27"/>
        <v>-</v>
      </c>
      <c r="Z149" t="str">
        <f t="shared" si="28"/>
        <v>-</v>
      </c>
      <c r="AA149" t="str">
        <f t="shared" si="29"/>
        <v>-</v>
      </c>
      <c r="AB149" t="str">
        <f>IF(_xlfn.IFNA(VLOOKUP(P149,Set_Ref!$B$6:$B$1048576,1,FALSE),"")&lt;&gt;"","-",FALSE)</f>
        <v>-</v>
      </c>
      <c r="AC149" t="str">
        <f t="shared" si="30"/>
        <v>-</v>
      </c>
      <c r="AD149" t="str">
        <f t="shared" si="31"/>
        <v>-</v>
      </c>
      <c r="AE149" t="b">
        <f t="shared" si="32"/>
        <v>1</v>
      </c>
    </row>
    <row r="150" spans="1:31" x14ac:dyDescent="0.25">
      <c r="A150">
        <v>1</v>
      </c>
      <c r="B150">
        <v>148</v>
      </c>
      <c r="C150">
        <v>261</v>
      </c>
      <c r="D150" s="11" t="s">
        <v>149</v>
      </c>
      <c r="E150" t="s">
        <v>326</v>
      </c>
      <c r="F150" t="s">
        <v>191</v>
      </c>
      <c r="G150" s="11" t="s">
        <v>469</v>
      </c>
      <c r="H150">
        <v>5</v>
      </c>
      <c r="I150" s="11" t="s">
        <v>175</v>
      </c>
      <c r="J150" t="s">
        <v>358</v>
      </c>
      <c r="K150" t="s">
        <v>229</v>
      </c>
      <c r="L150" s="11" t="s">
        <v>39</v>
      </c>
      <c r="M150" s="11" t="s">
        <v>39</v>
      </c>
      <c r="N150" s="11" t="s">
        <v>39</v>
      </c>
      <c r="O150" s="11" t="s">
        <v>39</v>
      </c>
      <c r="P150" t="s">
        <v>9</v>
      </c>
      <c r="Q150">
        <v>11</v>
      </c>
      <c r="R150">
        <v>0</v>
      </c>
      <c r="S150">
        <v>0</v>
      </c>
      <c r="T150" t="str">
        <f t="shared" si="22"/>
        <v>-</v>
      </c>
      <c r="U150" t="str">
        <f t="shared" si="23"/>
        <v>-</v>
      </c>
      <c r="V150" t="str">
        <f t="shared" si="24"/>
        <v>-</v>
      </c>
      <c r="W150" t="str">
        <f t="shared" si="25"/>
        <v>-</v>
      </c>
      <c r="X150" t="str">
        <f t="shared" si="26"/>
        <v>-</v>
      </c>
      <c r="Y150" t="str">
        <f t="shared" si="27"/>
        <v>-</v>
      </c>
      <c r="Z150" t="str">
        <f t="shared" si="28"/>
        <v>-</v>
      </c>
      <c r="AA150" t="str">
        <f t="shared" si="29"/>
        <v>-</v>
      </c>
      <c r="AB150" t="str">
        <f>IF(_xlfn.IFNA(VLOOKUP(P150,Set_Ref!$B$6:$B$1048576,1,FALSE),"")&lt;&gt;"","-",FALSE)</f>
        <v>-</v>
      </c>
      <c r="AC150" t="str">
        <f t="shared" si="30"/>
        <v>-</v>
      </c>
      <c r="AD150" t="str">
        <f t="shared" si="31"/>
        <v>-</v>
      </c>
      <c r="AE150" t="b">
        <f t="shared" si="32"/>
        <v>1</v>
      </c>
    </row>
    <row r="151" spans="1:31" x14ac:dyDescent="0.25">
      <c r="A151">
        <v>1</v>
      </c>
      <c r="B151">
        <v>149</v>
      </c>
      <c r="C151">
        <v>261</v>
      </c>
      <c r="D151" s="11" t="s">
        <v>149</v>
      </c>
      <c r="E151" t="s">
        <v>326</v>
      </c>
      <c r="F151" t="s">
        <v>191</v>
      </c>
      <c r="G151" s="11" t="s">
        <v>469</v>
      </c>
      <c r="H151">
        <v>5</v>
      </c>
      <c r="I151" s="11" t="s">
        <v>175</v>
      </c>
      <c r="J151" t="s">
        <v>359</v>
      </c>
      <c r="K151" t="s">
        <v>229</v>
      </c>
      <c r="L151" s="11" t="s">
        <v>39</v>
      </c>
      <c r="M151" s="11" t="s">
        <v>39</v>
      </c>
      <c r="N151" s="11" t="s">
        <v>39</v>
      </c>
      <c r="O151" s="11" t="s">
        <v>39</v>
      </c>
      <c r="P151" t="s">
        <v>9</v>
      </c>
      <c r="Q151">
        <v>6</v>
      </c>
      <c r="R151">
        <v>0</v>
      </c>
      <c r="S151">
        <v>0</v>
      </c>
      <c r="T151" t="str">
        <f t="shared" si="22"/>
        <v>-</v>
      </c>
      <c r="U151" t="str">
        <f t="shared" si="23"/>
        <v>-</v>
      </c>
      <c r="V151" t="str">
        <f t="shared" si="24"/>
        <v>-</v>
      </c>
      <c r="W151" t="str">
        <f t="shared" si="25"/>
        <v>-</v>
      </c>
      <c r="X151" t="str">
        <f t="shared" si="26"/>
        <v>-</v>
      </c>
      <c r="Y151" t="str">
        <f t="shared" si="27"/>
        <v>-</v>
      </c>
      <c r="Z151" t="str">
        <f t="shared" si="28"/>
        <v>-</v>
      </c>
      <c r="AA151" t="str">
        <f t="shared" si="29"/>
        <v>-</v>
      </c>
      <c r="AB151" t="str">
        <f>IF(_xlfn.IFNA(VLOOKUP(P151,Set_Ref!$B$6:$B$1048576,1,FALSE),"")&lt;&gt;"","-",FALSE)</f>
        <v>-</v>
      </c>
      <c r="AC151" t="str">
        <f t="shared" si="30"/>
        <v>-</v>
      </c>
      <c r="AD151" t="str">
        <f t="shared" si="31"/>
        <v>-</v>
      </c>
      <c r="AE151" t="b">
        <f t="shared" si="32"/>
        <v>1</v>
      </c>
    </row>
    <row r="152" spans="1:31" x14ac:dyDescent="0.25">
      <c r="A152">
        <v>1</v>
      </c>
      <c r="B152">
        <v>150</v>
      </c>
      <c r="C152">
        <v>261</v>
      </c>
      <c r="D152" s="11" t="s">
        <v>149</v>
      </c>
      <c r="E152" t="s">
        <v>326</v>
      </c>
      <c r="F152" t="s">
        <v>191</v>
      </c>
      <c r="G152" s="11" t="s">
        <v>469</v>
      </c>
      <c r="H152">
        <v>5</v>
      </c>
      <c r="I152" s="11" t="s">
        <v>175</v>
      </c>
      <c r="J152" t="s">
        <v>360</v>
      </c>
      <c r="K152" t="s">
        <v>229</v>
      </c>
      <c r="L152" s="11" t="s">
        <v>39</v>
      </c>
      <c r="M152" s="11" t="s">
        <v>39</v>
      </c>
      <c r="N152" s="11" t="s">
        <v>39</v>
      </c>
      <c r="O152" s="11" t="s">
        <v>39</v>
      </c>
      <c r="P152" t="s">
        <v>9</v>
      </c>
      <c r="Q152">
        <v>3</v>
      </c>
      <c r="R152">
        <v>0</v>
      </c>
      <c r="S152">
        <v>0</v>
      </c>
      <c r="T152" t="str">
        <f t="shared" si="22"/>
        <v>-</v>
      </c>
      <c r="U152" t="str">
        <f t="shared" si="23"/>
        <v>-</v>
      </c>
      <c r="V152" t="str">
        <f t="shared" si="24"/>
        <v>-</v>
      </c>
      <c r="W152" t="str">
        <f t="shared" si="25"/>
        <v>-</v>
      </c>
      <c r="X152" t="str">
        <f t="shared" si="26"/>
        <v>-</v>
      </c>
      <c r="Y152" t="str">
        <f t="shared" si="27"/>
        <v>-</v>
      </c>
      <c r="Z152" t="str">
        <f t="shared" si="28"/>
        <v>-</v>
      </c>
      <c r="AA152" t="str">
        <f t="shared" si="29"/>
        <v>-</v>
      </c>
      <c r="AB152" t="str">
        <f>IF(_xlfn.IFNA(VLOOKUP(P152,Set_Ref!$B$6:$B$1048576,1,FALSE),"")&lt;&gt;"","-",FALSE)</f>
        <v>-</v>
      </c>
      <c r="AC152" t="str">
        <f t="shared" si="30"/>
        <v>-</v>
      </c>
      <c r="AD152" t="str">
        <f t="shared" si="31"/>
        <v>-</v>
      </c>
      <c r="AE152" t="b">
        <f t="shared" si="32"/>
        <v>1</v>
      </c>
    </row>
    <row r="153" spans="1:31" x14ac:dyDescent="0.25">
      <c r="A153">
        <v>1</v>
      </c>
      <c r="B153">
        <v>151</v>
      </c>
      <c r="C153">
        <v>261</v>
      </c>
      <c r="D153" s="11" t="s">
        <v>149</v>
      </c>
      <c r="E153" t="s">
        <v>326</v>
      </c>
      <c r="F153" t="s">
        <v>191</v>
      </c>
      <c r="G153" s="11" t="s">
        <v>469</v>
      </c>
      <c r="H153">
        <v>5</v>
      </c>
      <c r="I153" s="11" t="s">
        <v>175</v>
      </c>
      <c r="J153" t="s">
        <v>361</v>
      </c>
      <c r="K153" t="s">
        <v>229</v>
      </c>
      <c r="L153" s="11" t="s">
        <v>39</v>
      </c>
      <c r="M153" s="11" t="s">
        <v>39</v>
      </c>
      <c r="N153" s="11" t="s">
        <v>39</v>
      </c>
      <c r="O153" s="11" t="s">
        <v>39</v>
      </c>
      <c r="P153" t="s">
        <v>9</v>
      </c>
      <c r="Q153">
        <v>6</v>
      </c>
      <c r="R153">
        <v>0</v>
      </c>
      <c r="S153">
        <v>0</v>
      </c>
      <c r="T153" t="str">
        <f t="shared" si="22"/>
        <v>-</v>
      </c>
      <c r="U153" t="str">
        <f t="shared" si="23"/>
        <v>-</v>
      </c>
      <c r="V153" t="str">
        <f t="shared" si="24"/>
        <v>-</v>
      </c>
      <c r="W153" t="str">
        <f t="shared" si="25"/>
        <v>-</v>
      </c>
      <c r="X153" t="str">
        <f t="shared" si="26"/>
        <v>-</v>
      </c>
      <c r="Y153" t="str">
        <f t="shared" si="27"/>
        <v>-</v>
      </c>
      <c r="Z153" t="str">
        <f t="shared" si="28"/>
        <v>-</v>
      </c>
      <c r="AA153" t="str">
        <f t="shared" si="29"/>
        <v>-</v>
      </c>
      <c r="AB153" t="str">
        <f>IF(_xlfn.IFNA(VLOOKUP(P153,Set_Ref!$B$6:$B$1048576,1,FALSE),"")&lt;&gt;"","-",FALSE)</f>
        <v>-</v>
      </c>
      <c r="AC153" t="str">
        <f t="shared" si="30"/>
        <v>-</v>
      </c>
      <c r="AD153" t="str">
        <f t="shared" si="31"/>
        <v>-</v>
      </c>
      <c r="AE153" t="b">
        <f t="shared" si="32"/>
        <v>1</v>
      </c>
    </row>
    <row r="154" spans="1:31" x14ac:dyDescent="0.25">
      <c r="A154">
        <v>1</v>
      </c>
      <c r="B154">
        <v>152</v>
      </c>
      <c r="C154">
        <v>261</v>
      </c>
      <c r="D154" s="11" t="s">
        <v>149</v>
      </c>
      <c r="E154" t="s">
        <v>326</v>
      </c>
      <c r="F154" t="s">
        <v>191</v>
      </c>
      <c r="G154" s="11" t="s">
        <v>469</v>
      </c>
      <c r="H154">
        <v>5</v>
      </c>
      <c r="I154" s="11" t="s">
        <v>175</v>
      </c>
      <c r="J154" t="s">
        <v>362</v>
      </c>
      <c r="K154" t="s">
        <v>229</v>
      </c>
      <c r="L154" s="11" t="s">
        <v>39</v>
      </c>
      <c r="M154" s="11" t="s">
        <v>39</v>
      </c>
      <c r="N154" s="11" t="s">
        <v>39</v>
      </c>
      <c r="O154" s="11" t="s">
        <v>39</v>
      </c>
      <c r="P154" t="s">
        <v>9</v>
      </c>
      <c r="Q154">
        <v>34</v>
      </c>
      <c r="R154">
        <v>0</v>
      </c>
      <c r="S154">
        <v>0</v>
      </c>
      <c r="T154" t="str">
        <f t="shared" si="22"/>
        <v>-</v>
      </c>
      <c r="U154" t="str">
        <f t="shared" si="23"/>
        <v>-</v>
      </c>
      <c r="V154" t="str">
        <f t="shared" si="24"/>
        <v>-</v>
      </c>
      <c r="W154" t="str">
        <f t="shared" si="25"/>
        <v>-</v>
      </c>
      <c r="X154" t="str">
        <f t="shared" si="26"/>
        <v>-</v>
      </c>
      <c r="Y154" t="str">
        <f t="shared" si="27"/>
        <v>-</v>
      </c>
      <c r="Z154" t="str">
        <f t="shared" si="28"/>
        <v>-</v>
      </c>
      <c r="AA154" t="str">
        <f t="shared" si="29"/>
        <v>-</v>
      </c>
      <c r="AB154" t="str">
        <f>IF(_xlfn.IFNA(VLOOKUP(P154,Set_Ref!$B$6:$B$1048576,1,FALSE),"")&lt;&gt;"","-",FALSE)</f>
        <v>-</v>
      </c>
      <c r="AC154" t="str">
        <f t="shared" si="30"/>
        <v>-</v>
      </c>
      <c r="AD154" t="str">
        <f t="shared" si="31"/>
        <v>-</v>
      </c>
      <c r="AE154" t="b">
        <f t="shared" si="32"/>
        <v>1</v>
      </c>
    </row>
    <row r="155" spans="1:31" x14ac:dyDescent="0.25">
      <c r="A155">
        <v>1</v>
      </c>
      <c r="B155">
        <v>153</v>
      </c>
      <c r="C155">
        <v>261</v>
      </c>
      <c r="D155" s="11" t="s">
        <v>149</v>
      </c>
      <c r="E155" t="s">
        <v>326</v>
      </c>
      <c r="F155" t="s">
        <v>191</v>
      </c>
      <c r="G155" s="11" t="s">
        <v>469</v>
      </c>
      <c r="H155">
        <v>5</v>
      </c>
      <c r="I155" s="11" t="s">
        <v>175</v>
      </c>
      <c r="J155" t="s">
        <v>363</v>
      </c>
      <c r="K155" t="s">
        <v>229</v>
      </c>
      <c r="L155" s="11" t="s">
        <v>39</v>
      </c>
      <c r="M155" s="11" t="s">
        <v>39</v>
      </c>
      <c r="N155" s="11" t="s">
        <v>39</v>
      </c>
      <c r="O155" s="11" t="s">
        <v>39</v>
      </c>
      <c r="P155" t="s">
        <v>9</v>
      </c>
      <c r="Q155">
        <v>34</v>
      </c>
      <c r="R155">
        <v>0</v>
      </c>
      <c r="S155">
        <v>0</v>
      </c>
      <c r="T155" t="str">
        <f t="shared" si="22"/>
        <v>-</v>
      </c>
      <c r="U155" t="str">
        <f t="shared" si="23"/>
        <v>-</v>
      </c>
      <c r="V155" t="str">
        <f t="shared" si="24"/>
        <v>-</v>
      </c>
      <c r="W155" t="str">
        <f t="shared" si="25"/>
        <v>-</v>
      </c>
      <c r="X155" t="str">
        <f t="shared" si="26"/>
        <v>-</v>
      </c>
      <c r="Y155" t="str">
        <f t="shared" si="27"/>
        <v>-</v>
      </c>
      <c r="Z155" t="str">
        <f t="shared" si="28"/>
        <v>-</v>
      </c>
      <c r="AA155" t="str">
        <f t="shared" si="29"/>
        <v>-</v>
      </c>
      <c r="AB155" t="str">
        <f>IF(_xlfn.IFNA(VLOOKUP(P155,Set_Ref!$B$6:$B$1048576,1,FALSE),"")&lt;&gt;"","-",FALSE)</f>
        <v>-</v>
      </c>
      <c r="AC155" t="str">
        <f t="shared" si="30"/>
        <v>-</v>
      </c>
      <c r="AD155" t="str">
        <f t="shared" si="31"/>
        <v>-</v>
      </c>
      <c r="AE155" t="b">
        <f t="shared" si="32"/>
        <v>1</v>
      </c>
    </row>
    <row r="156" spans="1:31" x14ac:dyDescent="0.25">
      <c r="A156">
        <v>1</v>
      </c>
      <c r="B156">
        <v>154</v>
      </c>
      <c r="C156">
        <v>261</v>
      </c>
      <c r="D156" s="11" t="s">
        <v>149</v>
      </c>
      <c r="E156" t="s">
        <v>326</v>
      </c>
      <c r="F156" t="s">
        <v>191</v>
      </c>
      <c r="G156" s="11" t="s">
        <v>469</v>
      </c>
      <c r="H156">
        <v>5</v>
      </c>
      <c r="I156" s="11" t="s">
        <v>175</v>
      </c>
      <c r="J156" t="s">
        <v>364</v>
      </c>
      <c r="K156" t="s">
        <v>229</v>
      </c>
      <c r="L156" s="11" t="s">
        <v>39</v>
      </c>
      <c r="M156" s="11" t="s">
        <v>39</v>
      </c>
      <c r="N156" s="11" t="s">
        <v>39</v>
      </c>
      <c r="O156" s="11" t="s">
        <v>39</v>
      </c>
      <c r="P156" t="s">
        <v>9</v>
      </c>
      <c r="Q156">
        <v>50</v>
      </c>
      <c r="R156">
        <v>0</v>
      </c>
      <c r="S156">
        <v>0</v>
      </c>
      <c r="T156" t="str">
        <f t="shared" si="22"/>
        <v>-</v>
      </c>
      <c r="U156" t="str">
        <f t="shared" si="23"/>
        <v>-</v>
      </c>
      <c r="V156" t="str">
        <f t="shared" si="24"/>
        <v>-</v>
      </c>
      <c r="W156" t="str">
        <f t="shared" si="25"/>
        <v>-</v>
      </c>
      <c r="X156" t="str">
        <f t="shared" si="26"/>
        <v>-</v>
      </c>
      <c r="Y156" t="str">
        <f t="shared" si="27"/>
        <v>-</v>
      </c>
      <c r="Z156" t="str">
        <f t="shared" si="28"/>
        <v>-</v>
      </c>
      <c r="AA156" t="str">
        <f t="shared" si="29"/>
        <v>-</v>
      </c>
      <c r="AB156" t="str">
        <f>IF(_xlfn.IFNA(VLOOKUP(P156,Set_Ref!$B$6:$B$1048576,1,FALSE),"")&lt;&gt;"","-",FALSE)</f>
        <v>-</v>
      </c>
      <c r="AC156" t="str">
        <f t="shared" si="30"/>
        <v>-</v>
      </c>
      <c r="AD156" t="str">
        <f t="shared" si="31"/>
        <v>-</v>
      </c>
      <c r="AE156" t="b">
        <f t="shared" si="32"/>
        <v>1</v>
      </c>
    </row>
    <row r="157" spans="1:31" x14ac:dyDescent="0.25">
      <c r="A157">
        <v>1</v>
      </c>
      <c r="B157">
        <v>155</v>
      </c>
      <c r="C157">
        <v>261</v>
      </c>
      <c r="D157" s="11" t="s">
        <v>149</v>
      </c>
      <c r="E157" t="s">
        <v>326</v>
      </c>
      <c r="F157" t="s">
        <v>191</v>
      </c>
      <c r="G157" s="11" t="s">
        <v>469</v>
      </c>
      <c r="H157">
        <v>5</v>
      </c>
      <c r="I157" s="11" t="s">
        <v>175</v>
      </c>
      <c r="J157" t="s">
        <v>365</v>
      </c>
      <c r="K157" t="s">
        <v>229</v>
      </c>
      <c r="L157" s="11" t="s">
        <v>39</v>
      </c>
      <c r="M157" s="11" t="s">
        <v>39</v>
      </c>
      <c r="N157" s="11" t="s">
        <v>39</v>
      </c>
      <c r="O157" s="11" t="s">
        <v>39</v>
      </c>
      <c r="P157" t="s">
        <v>9</v>
      </c>
      <c r="Q157">
        <v>25</v>
      </c>
      <c r="R157">
        <v>0</v>
      </c>
      <c r="S157">
        <v>0</v>
      </c>
      <c r="T157" t="str">
        <f t="shared" si="22"/>
        <v>-</v>
      </c>
      <c r="U157" t="str">
        <f t="shared" si="23"/>
        <v>-</v>
      </c>
      <c r="V157" t="str">
        <f t="shared" si="24"/>
        <v>-</v>
      </c>
      <c r="W157" t="str">
        <f t="shared" si="25"/>
        <v>-</v>
      </c>
      <c r="X157" t="str">
        <f t="shared" si="26"/>
        <v>-</v>
      </c>
      <c r="Y157" t="str">
        <f t="shared" si="27"/>
        <v>-</v>
      </c>
      <c r="Z157" t="str">
        <f t="shared" si="28"/>
        <v>-</v>
      </c>
      <c r="AA157" t="str">
        <f t="shared" si="29"/>
        <v>-</v>
      </c>
      <c r="AB157" t="str">
        <f>IF(_xlfn.IFNA(VLOOKUP(P157,Set_Ref!$B$6:$B$1048576,1,FALSE),"")&lt;&gt;"","-",FALSE)</f>
        <v>-</v>
      </c>
      <c r="AC157" t="str">
        <f t="shared" si="30"/>
        <v>-</v>
      </c>
      <c r="AD157" t="str">
        <f t="shared" si="31"/>
        <v>-</v>
      </c>
      <c r="AE157" t="b">
        <f t="shared" si="32"/>
        <v>1</v>
      </c>
    </row>
    <row r="158" spans="1:31" x14ac:dyDescent="0.25">
      <c r="A158">
        <v>1</v>
      </c>
      <c r="B158">
        <v>156</v>
      </c>
      <c r="C158">
        <v>261</v>
      </c>
      <c r="D158" s="11" t="s">
        <v>149</v>
      </c>
      <c r="E158" t="s">
        <v>326</v>
      </c>
      <c r="F158" t="s">
        <v>191</v>
      </c>
      <c r="G158" s="11" t="s">
        <v>469</v>
      </c>
      <c r="H158">
        <v>5</v>
      </c>
      <c r="I158" s="11" t="s">
        <v>175</v>
      </c>
      <c r="J158" t="s">
        <v>366</v>
      </c>
      <c r="K158" t="s">
        <v>229</v>
      </c>
      <c r="L158" s="11" t="s">
        <v>39</v>
      </c>
      <c r="M158" s="11" t="s">
        <v>39</v>
      </c>
      <c r="N158" s="11" t="s">
        <v>39</v>
      </c>
      <c r="O158" s="11" t="s">
        <v>39</v>
      </c>
      <c r="P158" t="s">
        <v>9</v>
      </c>
      <c r="Q158">
        <v>26</v>
      </c>
      <c r="R158">
        <v>0</v>
      </c>
      <c r="S158">
        <v>0</v>
      </c>
      <c r="T158" t="str">
        <f t="shared" si="22"/>
        <v>-</v>
      </c>
      <c r="U158" t="str">
        <f t="shared" si="23"/>
        <v>-</v>
      </c>
      <c r="V158" t="str">
        <f t="shared" si="24"/>
        <v>-</v>
      </c>
      <c r="W158" t="str">
        <f t="shared" si="25"/>
        <v>-</v>
      </c>
      <c r="X158" t="str">
        <f t="shared" si="26"/>
        <v>-</v>
      </c>
      <c r="Y158" t="str">
        <f t="shared" si="27"/>
        <v>-</v>
      </c>
      <c r="Z158" t="str">
        <f t="shared" si="28"/>
        <v>-</v>
      </c>
      <c r="AA158" t="str">
        <f t="shared" si="29"/>
        <v>-</v>
      </c>
      <c r="AB158" t="str">
        <f>IF(_xlfn.IFNA(VLOOKUP(P158,Set_Ref!$B$6:$B$1048576,1,FALSE),"")&lt;&gt;"","-",FALSE)</f>
        <v>-</v>
      </c>
      <c r="AC158" t="str">
        <f t="shared" si="30"/>
        <v>-</v>
      </c>
      <c r="AD158" t="str">
        <f t="shared" si="31"/>
        <v>-</v>
      </c>
      <c r="AE158" t="b">
        <f t="shared" si="32"/>
        <v>1</v>
      </c>
    </row>
    <row r="159" spans="1:31" x14ac:dyDescent="0.25">
      <c r="A159">
        <v>1</v>
      </c>
      <c r="B159">
        <v>157</v>
      </c>
      <c r="C159">
        <v>261</v>
      </c>
      <c r="D159" s="11" t="s">
        <v>149</v>
      </c>
      <c r="E159" t="s">
        <v>326</v>
      </c>
      <c r="F159" t="s">
        <v>191</v>
      </c>
      <c r="G159" s="11" t="s">
        <v>469</v>
      </c>
      <c r="H159">
        <v>5</v>
      </c>
      <c r="I159" s="11" t="s">
        <v>175</v>
      </c>
      <c r="J159" t="s">
        <v>367</v>
      </c>
      <c r="K159" t="s">
        <v>229</v>
      </c>
      <c r="L159" s="11" t="s">
        <v>39</v>
      </c>
      <c r="M159" s="11" t="s">
        <v>39</v>
      </c>
      <c r="N159" s="11" t="s">
        <v>39</v>
      </c>
      <c r="O159" s="11" t="s">
        <v>39</v>
      </c>
      <c r="P159" t="s">
        <v>9</v>
      </c>
      <c r="Q159">
        <v>10</v>
      </c>
      <c r="R159">
        <v>0</v>
      </c>
      <c r="S159">
        <v>0</v>
      </c>
      <c r="T159" t="str">
        <f t="shared" si="22"/>
        <v>-</v>
      </c>
      <c r="U159" t="str">
        <f t="shared" si="23"/>
        <v>-</v>
      </c>
      <c r="V159" t="str">
        <f t="shared" si="24"/>
        <v>-</v>
      </c>
      <c r="W159" t="str">
        <f t="shared" si="25"/>
        <v>-</v>
      </c>
      <c r="X159" t="str">
        <f t="shared" si="26"/>
        <v>-</v>
      </c>
      <c r="Y159" t="str">
        <f t="shared" si="27"/>
        <v>-</v>
      </c>
      <c r="Z159" t="str">
        <f t="shared" si="28"/>
        <v>-</v>
      </c>
      <c r="AA159" t="str">
        <f t="shared" si="29"/>
        <v>-</v>
      </c>
      <c r="AB159" t="str">
        <f>IF(_xlfn.IFNA(VLOOKUP(P159,Set_Ref!$B$6:$B$1048576,1,FALSE),"")&lt;&gt;"","-",FALSE)</f>
        <v>-</v>
      </c>
      <c r="AC159" t="str">
        <f t="shared" si="30"/>
        <v>-</v>
      </c>
      <c r="AD159" t="str">
        <f t="shared" si="31"/>
        <v>-</v>
      </c>
      <c r="AE159" t="b">
        <f t="shared" si="32"/>
        <v>1</v>
      </c>
    </row>
    <row r="160" spans="1:31" x14ac:dyDescent="0.25">
      <c r="A160">
        <v>1</v>
      </c>
      <c r="B160">
        <v>158</v>
      </c>
      <c r="C160">
        <v>261</v>
      </c>
      <c r="D160" s="11" t="s">
        <v>149</v>
      </c>
      <c r="E160" t="s">
        <v>326</v>
      </c>
      <c r="F160" t="s">
        <v>191</v>
      </c>
      <c r="G160" s="11" t="s">
        <v>469</v>
      </c>
      <c r="H160">
        <v>5</v>
      </c>
      <c r="I160" s="11" t="s">
        <v>175</v>
      </c>
      <c r="J160" t="s">
        <v>368</v>
      </c>
      <c r="K160" t="s">
        <v>229</v>
      </c>
      <c r="L160" s="11" t="s">
        <v>39</v>
      </c>
      <c r="M160" s="11" t="s">
        <v>39</v>
      </c>
      <c r="N160" s="11" t="s">
        <v>39</v>
      </c>
      <c r="O160" s="11" t="s">
        <v>39</v>
      </c>
      <c r="P160" t="s">
        <v>9</v>
      </c>
      <c r="Q160">
        <v>4</v>
      </c>
      <c r="R160">
        <v>0</v>
      </c>
      <c r="S160">
        <v>0</v>
      </c>
      <c r="T160" t="str">
        <f t="shared" si="22"/>
        <v>-</v>
      </c>
      <c r="U160" t="str">
        <f t="shared" si="23"/>
        <v>-</v>
      </c>
      <c r="V160" t="str">
        <f t="shared" si="24"/>
        <v>-</v>
      </c>
      <c r="W160" t="str">
        <f t="shared" si="25"/>
        <v>-</v>
      </c>
      <c r="X160" t="str">
        <f t="shared" si="26"/>
        <v>-</v>
      </c>
      <c r="Y160" t="str">
        <f t="shared" si="27"/>
        <v>-</v>
      </c>
      <c r="Z160" t="str">
        <f t="shared" si="28"/>
        <v>-</v>
      </c>
      <c r="AA160" t="str">
        <f t="shared" si="29"/>
        <v>-</v>
      </c>
      <c r="AB160" t="str">
        <f>IF(_xlfn.IFNA(VLOOKUP(P160,Set_Ref!$B$6:$B$1048576,1,FALSE),"")&lt;&gt;"","-",FALSE)</f>
        <v>-</v>
      </c>
      <c r="AC160" t="str">
        <f t="shared" si="30"/>
        <v>-</v>
      </c>
      <c r="AD160" t="str">
        <f t="shared" si="31"/>
        <v>-</v>
      </c>
      <c r="AE160" t="b">
        <f t="shared" si="32"/>
        <v>1</v>
      </c>
    </row>
    <row r="161" spans="1:31" x14ac:dyDescent="0.25">
      <c r="A161">
        <v>1</v>
      </c>
      <c r="B161">
        <v>159</v>
      </c>
      <c r="C161">
        <v>261</v>
      </c>
      <c r="D161" s="11" t="s">
        <v>149</v>
      </c>
      <c r="E161" t="s">
        <v>326</v>
      </c>
      <c r="F161" t="s">
        <v>191</v>
      </c>
      <c r="G161" s="11" t="s">
        <v>469</v>
      </c>
      <c r="H161">
        <v>5</v>
      </c>
      <c r="I161" s="11" t="s">
        <v>175</v>
      </c>
      <c r="J161" t="s">
        <v>369</v>
      </c>
      <c r="K161" t="s">
        <v>229</v>
      </c>
      <c r="L161" s="11" t="s">
        <v>39</v>
      </c>
      <c r="M161" s="11" t="s">
        <v>39</v>
      </c>
      <c r="N161" s="11" t="s">
        <v>39</v>
      </c>
      <c r="O161" s="11" t="s">
        <v>39</v>
      </c>
      <c r="P161" t="s">
        <v>9</v>
      </c>
      <c r="Q161">
        <v>6</v>
      </c>
      <c r="R161">
        <v>0</v>
      </c>
      <c r="S161">
        <v>0</v>
      </c>
      <c r="T161" t="str">
        <f t="shared" si="22"/>
        <v>-</v>
      </c>
      <c r="U161" t="str">
        <f t="shared" si="23"/>
        <v>-</v>
      </c>
      <c r="V161" t="str">
        <f t="shared" si="24"/>
        <v>-</v>
      </c>
      <c r="W161" t="str">
        <f t="shared" si="25"/>
        <v>-</v>
      </c>
      <c r="X161" t="str">
        <f t="shared" si="26"/>
        <v>-</v>
      </c>
      <c r="Y161" t="str">
        <f t="shared" si="27"/>
        <v>-</v>
      </c>
      <c r="Z161" t="str">
        <f t="shared" si="28"/>
        <v>-</v>
      </c>
      <c r="AA161" t="str">
        <f t="shared" si="29"/>
        <v>-</v>
      </c>
      <c r="AB161" t="str">
        <f>IF(_xlfn.IFNA(VLOOKUP(P161,Set_Ref!$B$6:$B$1048576,1,FALSE),"")&lt;&gt;"","-",FALSE)</f>
        <v>-</v>
      </c>
      <c r="AC161" t="str">
        <f t="shared" si="30"/>
        <v>-</v>
      </c>
      <c r="AD161" t="str">
        <f t="shared" si="31"/>
        <v>-</v>
      </c>
      <c r="AE161" t="b">
        <f t="shared" si="32"/>
        <v>1</v>
      </c>
    </row>
    <row r="162" spans="1:31" x14ac:dyDescent="0.25">
      <c r="A162">
        <v>1</v>
      </c>
      <c r="B162">
        <v>160</v>
      </c>
      <c r="C162">
        <v>261</v>
      </c>
      <c r="D162" s="11" t="s">
        <v>149</v>
      </c>
      <c r="E162" t="s">
        <v>326</v>
      </c>
      <c r="F162" t="s">
        <v>191</v>
      </c>
      <c r="G162" s="11" t="s">
        <v>469</v>
      </c>
      <c r="H162">
        <v>5</v>
      </c>
      <c r="I162" s="11" t="s">
        <v>175</v>
      </c>
      <c r="J162" t="s">
        <v>370</v>
      </c>
      <c r="K162" t="s">
        <v>229</v>
      </c>
      <c r="L162" s="11" t="s">
        <v>39</v>
      </c>
      <c r="M162" s="11" t="s">
        <v>39</v>
      </c>
      <c r="N162" s="11" t="s">
        <v>39</v>
      </c>
      <c r="O162" s="11" t="s">
        <v>39</v>
      </c>
      <c r="P162" t="s">
        <v>9</v>
      </c>
      <c r="Q162">
        <v>3</v>
      </c>
      <c r="R162">
        <v>0</v>
      </c>
      <c r="S162">
        <v>0</v>
      </c>
      <c r="T162" t="str">
        <f t="shared" si="22"/>
        <v>-</v>
      </c>
      <c r="U162" t="str">
        <f t="shared" si="23"/>
        <v>-</v>
      </c>
      <c r="V162" t="str">
        <f t="shared" si="24"/>
        <v>-</v>
      </c>
      <c r="W162" t="str">
        <f t="shared" si="25"/>
        <v>-</v>
      </c>
      <c r="X162" t="str">
        <f t="shared" si="26"/>
        <v>-</v>
      </c>
      <c r="Y162" t="str">
        <f t="shared" si="27"/>
        <v>-</v>
      </c>
      <c r="Z162" t="str">
        <f t="shared" si="28"/>
        <v>-</v>
      </c>
      <c r="AA162" t="str">
        <f t="shared" si="29"/>
        <v>-</v>
      </c>
      <c r="AB162" t="str">
        <f>IF(_xlfn.IFNA(VLOOKUP(P162,Set_Ref!$B$6:$B$1048576,1,FALSE),"")&lt;&gt;"","-",FALSE)</f>
        <v>-</v>
      </c>
      <c r="AC162" t="str">
        <f t="shared" si="30"/>
        <v>-</v>
      </c>
      <c r="AD162" t="str">
        <f t="shared" si="31"/>
        <v>-</v>
      </c>
      <c r="AE162" t="b">
        <f t="shared" si="32"/>
        <v>1</v>
      </c>
    </row>
    <row r="163" spans="1:31" x14ac:dyDescent="0.25">
      <c r="A163">
        <v>1</v>
      </c>
      <c r="B163">
        <v>161</v>
      </c>
      <c r="C163">
        <v>261</v>
      </c>
      <c r="D163" s="11" t="s">
        <v>149</v>
      </c>
      <c r="E163" t="s">
        <v>326</v>
      </c>
      <c r="F163" t="s">
        <v>191</v>
      </c>
      <c r="G163" s="11" t="s">
        <v>469</v>
      </c>
      <c r="H163">
        <v>5</v>
      </c>
      <c r="I163" s="11" t="s">
        <v>175</v>
      </c>
      <c r="J163" t="s">
        <v>371</v>
      </c>
      <c r="K163" t="s">
        <v>229</v>
      </c>
      <c r="L163" s="11" t="s">
        <v>39</v>
      </c>
      <c r="M163" s="11" t="s">
        <v>39</v>
      </c>
      <c r="N163" s="11" t="s">
        <v>39</v>
      </c>
      <c r="O163" s="11" t="s">
        <v>39</v>
      </c>
      <c r="P163" t="s">
        <v>9</v>
      </c>
      <c r="Q163">
        <v>3</v>
      </c>
      <c r="R163">
        <v>0</v>
      </c>
      <c r="S163">
        <v>0</v>
      </c>
      <c r="T163" t="str">
        <f t="shared" si="22"/>
        <v>-</v>
      </c>
      <c r="U163" t="str">
        <f t="shared" si="23"/>
        <v>-</v>
      </c>
      <c r="V163" t="str">
        <f t="shared" si="24"/>
        <v>-</v>
      </c>
      <c r="W163" t="str">
        <f t="shared" si="25"/>
        <v>-</v>
      </c>
      <c r="X163" t="str">
        <f t="shared" si="26"/>
        <v>-</v>
      </c>
      <c r="Y163" t="str">
        <f t="shared" si="27"/>
        <v>-</v>
      </c>
      <c r="Z163" t="str">
        <f t="shared" si="28"/>
        <v>-</v>
      </c>
      <c r="AA163" t="str">
        <f t="shared" si="29"/>
        <v>-</v>
      </c>
      <c r="AB163" t="str">
        <f>IF(_xlfn.IFNA(VLOOKUP(P163,Set_Ref!$B$6:$B$1048576,1,FALSE),"")&lt;&gt;"","-",FALSE)</f>
        <v>-</v>
      </c>
      <c r="AC163" t="str">
        <f t="shared" si="30"/>
        <v>-</v>
      </c>
      <c r="AD163" t="str">
        <f t="shared" si="31"/>
        <v>-</v>
      </c>
      <c r="AE163" t="b">
        <f t="shared" si="32"/>
        <v>1</v>
      </c>
    </row>
    <row r="164" spans="1:31" x14ac:dyDescent="0.25">
      <c r="A164">
        <v>1</v>
      </c>
      <c r="B164">
        <v>162</v>
      </c>
      <c r="C164">
        <v>261</v>
      </c>
      <c r="D164" s="11" t="s">
        <v>149</v>
      </c>
      <c r="E164" t="s">
        <v>326</v>
      </c>
      <c r="F164" t="s">
        <v>191</v>
      </c>
      <c r="G164" s="11" t="s">
        <v>469</v>
      </c>
      <c r="H164">
        <v>1</v>
      </c>
      <c r="I164" s="11" t="s">
        <v>172</v>
      </c>
      <c r="J164" t="s">
        <v>315</v>
      </c>
      <c r="K164" t="s">
        <v>243</v>
      </c>
      <c r="L164" s="11" t="s">
        <v>39</v>
      </c>
      <c r="M164" s="11" t="s">
        <v>39</v>
      </c>
      <c r="N164" s="11" t="s">
        <v>39</v>
      </c>
      <c r="O164" s="11" t="s">
        <v>39</v>
      </c>
      <c r="P164" t="s">
        <v>11</v>
      </c>
      <c r="Q164">
        <v>3</v>
      </c>
      <c r="R164">
        <v>0</v>
      </c>
      <c r="S164">
        <v>0</v>
      </c>
      <c r="T164" t="str">
        <f t="shared" si="22"/>
        <v>-</v>
      </c>
      <c r="U164" t="str">
        <f t="shared" si="23"/>
        <v>-</v>
      </c>
      <c r="V164" t="str">
        <f t="shared" si="24"/>
        <v>-</v>
      </c>
      <c r="W164" t="str">
        <f t="shared" si="25"/>
        <v>-</v>
      </c>
      <c r="X164" t="str">
        <f t="shared" si="26"/>
        <v>-</v>
      </c>
      <c r="Y164" t="str">
        <f t="shared" si="27"/>
        <v>-</v>
      </c>
      <c r="Z164" t="str">
        <f t="shared" si="28"/>
        <v>-</v>
      </c>
      <c r="AA164" t="str">
        <f t="shared" si="29"/>
        <v>-</v>
      </c>
      <c r="AB164" t="str">
        <f>IF(_xlfn.IFNA(VLOOKUP(P164,Set_Ref!$B$6:$B$1048576,1,FALSE),"")&lt;&gt;"","-",FALSE)</f>
        <v>-</v>
      </c>
      <c r="AC164" t="str">
        <f t="shared" si="30"/>
        <v>-</v>
      </c>
      <c r="AD164" t="str">
        <f t="shared" si="31"/>
        <v>-</v>
      </c>
      <c r="AE164" t="b">
        <f t="shared" si="32"/>
        <v>1</v>
      </c>
    </row>
    <row r="165" spans="1:31" x14ac:dyDescent="0.25">
      <c r="A165">
        <v>1</v>
      </c>
      <c r="B165">
        <v>163</v>
      </c>
      <c r="C165">
        <v>261</v>
      </c>
      <c r="D165" s="11" t="s">
        <v>149</v>
      </c>
      <c r="E165" t="s">
        <v>326</v>
      </c>
      <c r="F165" t="s">
        <v>191</v>
      </c>
      <c r="G165" s="11" t="s">
        <v>469</v>
      </c>
      <c r="H165">
        <v>2</v>
      </c>
      <c r="I165" s="11" t="s">
        <v>427</v>
      </c>
      <c r="J165" t="s">
        <v>372</v>
      </c>
      <c r="K165" t="s">
        <v>253</v>
      </c>
      <c r="L165" s="11" t="s">
        <v>39</v>
      </c>
      <c r="M165" s="11" t="s">
        <v>39</v>
      </c>
      <c r="N165" s="11" t="s">
        <v>39</v>
      </c>
      <c r="O165" s="11" t="s">
        <v>39</v>
      </c>
      <c r="P165" t="s">
        <v>9</v>
      </c>
      <c r="Q165">
        <v>200</v>
      </c>
      <c r="R165">
        <v>0</v>
      </c>
      <c r="S165">
        <v>0</v>
      </c>
      <c r="T165" t="str">
        <f t="shared" si="22"/>
        <v>-</v>
      </c>
      <c r="U165" t="str">
        <f t="shared" si="23"/>
        <v>-</v>
      </c>
      <c r="V165" t="str">
        <f t="shared" si="24"/>
        <v>-</v>
      </c>
      <c r="W165" t="str">
        <f t="shared" si="25"/>
        <v>-</v>
      </c>
      <c r="X165" t="str">
        <f t="shared" si="26"/>
        <v>-</v>
      </c>
      <c r="Y165" t="str">
        <f t="shared" si="27"/>
        <v>-</v>
      </c>
      <c r="Z165" t="str">
        <f t="shared" si="28"/>
        <v>-</v>
      </c>
      <c r="AA165" t="str">
        <f t="shared" si="29"/>
        <v>-</v>
      </c>
      <c r="AB165" t="str">
        <f>IF(_xlfn.IFNA(VLOOKUP(P165,Set_Ref!$B$6:$B$1048576,1,FALSE),"")&lt;&gt;"","-",FALSE)</f>
        <v>-</v>
      </c>
      <c r="AC165" t="str">
        <f t="shared" si="30"/>
        <v>-</v>
      </c>
      <c r="AD165" t="str">
        <f t="shared" si="31"/>
        <v>-</v>
      </c>
      <c r="AE165" t="b">
        <f t="shared" si="32"/>
        <v>1</v>
      </c>
    </row>
    <row r="166" spans="1:31" x14ac:dyDescent="0.25">
      <c r="A166">
        <v>1</v>
      </c>
      <c r="B166">
        <v>164</v>
      </c>
      <c r="C166">
        <v>261</v>
      </c>
      <c r="D166" s="11" t="s">
        <v>149</v>
      </c>
      <c r="E166" t="s">
        <v>326</v>
      </c>
      <c r="F166" t="s">
        <v>191</v>
      </c>
      <c r="G166" s="11" t="s">
        <v>469</v>
      </c>
      <c r="H166">
        <v>3</v>
      </c>
      <c r="I166" s="11" t="s">
        <v>175</v>
      </c>
      <c r="J166" t="s">
        <v>286</v>
      </c>
      <c r="K166" t="s">
        <v>227</v>
      </c>
      <c r="L166" s="11" t="s">
        <v>39</v>
      </c>
      <c r="M166" s="11" t="s">
        <v>39</v>
      </c>
      <c r="N166" s="11" t="s">
        <v>39</v>
      </c>
      <c r="O166" s="11" t="s">
        <v>39</v>
      </c>
      <c r="P166" t="s">
        <v>9</v>
      </c>
      <c r="Q166">
        <v>4200</v>
      </c>
      <c r="R166">
        <v>0</v>
      </c>
      <c r="S166">
        <v>0</v>
      </c>
      <c r="T166" t="str">
        <f t="shared" si="22"/>
        <v>-</v>
      </c>
      <c r="U166" t="str">
        <f t="shared" si="23"/>
        <v>-</v>
      </c>
      <c r="V166" t="str">
        <f t="shared" si="24"/>
        <v>-</v>
      </c>
      <c r="W166" t="str">
        <f t="shared" si="25"/>
        <v>-</v>
      </c>
      <c r="X166" t="str">
        <f t="shared" si="26"/>
        <v>-</v>
      </c>
      <c r="Y166" t="str">
        <f t="shared" si="27"/>
        <v>-</v>
      </c>
      <c r="Z166" t="str">
        <f t="shared" si="28"/>
        <v>-</v>
      </c>
      <c r="AA166" t="str">
        <f t="shared" si="29"/>
        <v>-</v>
      </c>
      <c r="AB166" t="str">
        <f>IF(_xlfn.IFNA(VLOOKUP(P166,Set_Ref!$B$6:$B$1048576,1,FALSE),"")&lt;&gt;"","-",FALSE)</f>
        <v>-</v>
      </c>
      <c r="AC166" t="str">
        <f t="shared" si="30"/>
        <v>-</v>
      </c>
      <c r="AD166" t="str">
        <f t="shared" si="31"/>
        <v>-</v>
      </c>
      <c r="AE166" t="b">
        <f t="shared" si="32"/>
        <v>1</v>
      </c>
    </row>
    <row r="167" spans="1:31" x14ac:dyDescent="0.25">
      <c r="A167">
        <v>1</v>
      </c>
      <c r="B167">
        <v>165</v>
      </c>
      <c r="C167">
        <v>261</v>
      </c>
      <c r="D167" s="11" t="s">
        <v>149</v>
      </c>
      <c r="E167" t="s">
        <v>326</v>
      </c>
      <c r="F167" t="s">
        <v>191</v>
      </c>
      <c r="G167" s="11" t="s">
        <v>469</v>
      </c>
      <c r="H167">
        <v>4</v>
      </c>
      <c r="I167" s="11" t="s">
        <v>175</v>
      </c>
      <c r="J167" t="s">
        <v>436</v>
      </c>
      <c r="K167" t="s">
        <v>228</v>
      </c>
      <c r="L167" s="11" t="s">
        <v>39</v>
      </c>
      <c r="M167" s="11" t="s">
        <v>39</v>
      </c>
      <c r="N167" s="11" t="s">
        <v>39</v>
      </c>
      <c r="O167" s="11" t="s">
        <v>39</v>
      </c>
      <c r="P167" t="s">
        <v>9</v>
      </c>
      <c r="Q167">
        <v>4200</v>
      </c>
      <c r="R167">
        <v>0</v>
      </c>
      <c r="S167">
        <v>0</v>
      </c>
      <c r="T167" t="str">
        <f t="shared" si="22"/>
        <v>-</v>
      </c>
      <c r="U167" t="str">
        <f t="shared" si="23"/>
        <v>-</v>
      </c>
      <c r="V167" t="str">
        <f t="shared" si="24"/>
        <v>-</v>
      </c>
      <c r="W167" t="str">
        <f t="shared" si="25"/>
        <v>-</v>
      </c>
      <c r="X167" t="str">
        <f t="shared" si="26"/>
        <v>-</v>
      </c>
      <c r="Y167" t="str">
        <f t="shared" si="27"/>
        <v>-</v>
      </c>
      <c r="Z167" t="str">
        <f t="shared" si="28"/>
        <v>-</v>
      </c>
      <c r="AA167" t="str">
        <f t="shared" si="29"/>
        <v>-</v>
      </c>
      <c r="AB167" t="str">
        <f>IF(_xlfn.IFNA(VLOOKUP(P167,Set_Ref!$B$6:$B$1048576,1,FALSE),"")&lt;&gt;"","-",FALSE)</f>
        <v>-</v>
      </c>
      <c r="AC167" t="str">
        <f t="shared" si="30"/>
        <v>-</v>
      </c>
      <c r="AD167" t="str">
        <f t="shared" si="31"/>
        <v>-</v>
      </c>
      <c r="AE167" t="b">
        <f t="shared" si="32"/>
        <v>1</v>
      </c>
    </row>
    <row r="168" spans="1:31" x14ac:dyDescent="0.25">
      <c r="A168">
        <v>1</v>
      </c>
      <c r="B168">
        <v>166</v>
      </c>
      <c r="C168">
        <v>261</v>
      </c>
      <c r="D168" s="11" t="s">
        <v>149</v>
      </c>
      <c r="E168" t="s">
        <v>326</v>
      </c>
      <c r="F168" t="s">
        <v>191</v>
      </c>
      <c r="G168" s="11" t="s">
        <v>469</v>
      </c>
      <c r="H168">
        <v>5</v>
      </c>
      <c r="I168" s="11" t="s">
        <v>175</v>
      </c>
      <c r="J168" t="s">
        <v>470</v>
      </c>
      <c r="K168" t="s">
        <v>229</v>
      </c>
      <c r="L168" s="11" t="s">
        <v>39</v>
      </c>
      <c r="M168" s="11" t="s">
        <v>39</v>
      </c>
      <c r="N168" s="11" t="s">
        <v>39</v>
      </c>
      <c r="O168" s="11" t="s">
        <v>39</v>
      </c>
      <c r="P168" t="s">
        <v>9</v>
      </c>
      <c r="Q168">
        <v>10</v>
      </c>
      <c r="R168">
        <v>0</v>
      </c>
      <c r="S168">
        <v>0</v>
      </c>
      <c r="T168" t="str">
        <f t="shared" si="22"/>
        <v>-</v>
      </c>
      <c r="U168" t="str">
        <f t="shared" si="23"/>
        <v>-</v>
      </c>
      <c r="V168" t="str">
        <f t="shared" si="24"/>
        <v>-</v>
      </c>
      <c r="W168" t="str">
        <f t="shared" si="25"/>
        <v>-</v>
      </c>
      <c r="X168" t="str">
        <f t="shared" si="26"/>
        <v>-</v>
      </c>
      <c r="Y168" t="str">
        <f t="shared" si="27"/>
        <v>-</v>
      </c>
      <c r="Z168" t="str">
        <f t="shared" si="28"/>
        <v>-</v>
      </c>
      <c r="AA168" t="str">
        <f t="shared" si="29"/>
        <v>-</v>
      </c>
      <c r="AB168" t="str">
        <f>IF(_xlfn.IFNA(VLOOKUP(P168,Set_Ref!$B$6:$B$1048576,1,FALSE),"")&lt;&gt;"","-",FALSE)</f>
        <v>-</v>
      </c>
      <c r="AC168" t="str">
        <f t="shared" si="30"/>
        <v>-</v>
      </c>
      <c r="AD168" t="str">
        <f t="shared" si="31"/>
        <v>-</v>
      </c>
      <c r="AE168" t="b">
        <f t="shared" si="32"/>
        <v>1</v>
      </c>
    </row>
    <row r="169" spans="1:31" x14ac:dyDescent="0.25">
      <c r="A169">
        <v>1</v>
      </c>
      <c r="B169">
        <v>167</v>
      </c>
      <c r="C169">
        <v>261</v>
      </c>
      <c r="D169" s="11" t="s">
        <v>149</v>
      </c>
      <c r="E169" t="s">
        <v>326</v>
      </c>
      <c r="F169" t="s">
        <v>191</v>
      </c>
      <c r="G169" s="11" t="s">
        <v>469</v>
      </c>
      <c r="H169">
        <v>5</v>
      </c>
      <c r="I169" s="11" t="s">
        <v>175</v>
      </c>
      <c r="J169" t="s">
        <v>470</v>
      </c>
      <c r="K169" t="s">
        <v>229</v>
      </c>
      <c r="L169" s="11" t="s">
        <v>39</v>
      </c>
      <c r="M169" s="11" t="s">
        <v>39</v>
      </c>
      <c r="N169" s="11" t="s">
        <v>39</v>
      </c>
      <c r="O169" s="11" t="s">
        <v>39</v>
      </c>
      <c r="P169" t="s">
        <v>9</v>
      </c>
      <c r="Q169">
        <v>14</v>
      </c>
      <c r="R169">
        <v>0</v>
      </c>
      <c r="S169">
        <v>0</v>
      </c>
      <c r="T169" t="str">
        <f t="shared" si="22"/>
        <v>-</v>
      </c>
      <c r="U169" t="str">
        <f t="shared" si="23"/>
        <v>-</v>
      </c>
      <c r="V169" t="str">
        <f t="shared" si="24"/>
        <v>-</v>
      </c>
      <c r="W169" t="str">
        <f t="shared" si="25"/>
        <v>-</v>
      </c>
      <c r="X169" t="str">
        <f t="shared" si="26"/>
        <v>-</v>
      </c>
      <c r="Y169" t="str">
        <f t="shared" si="27"/>
        <v>-</v>
      </c>
      <c r="Z169" t="str">
        <f t="shared" si="28"/>
        <v>-</v>
      </c>
      <c r="AA169" t="str">
        <f t="shared" si="29"/>
        <v>-</v>
      </c>
      <c r="AB169" t="str">
        <f>IF(_xlfn.IFNA(VLOOKUP(P169,Set_Ref!$B$6:$B$1048576,1,FALSE),"")&lt;&gt;"","-",FALSE)</f>
        <v>-</v>
      </c>
      <c r="AC169" t="str">
        <f t="shared" si="30"/>
        <v>-</v>
      </c>
      <c r="AD169" t="str">
        <f t="shared" si="31"/>
        <v>-</v>
      </c>
      <c r="AE169" t="b">
        <f t="shared" si="32"/>
        <v>1</v>
      </c>
    </row>
    <row r="170" spans="1:31" x14ac:dyDescent="0.25">
      <c r="A170">
        <v>1</v>
      </c>
      <c r="B170">
        <v>168</v>
      </c>
      <c r="C170">
        <v>261</v>
      </c>
      <c r="D170" s="11" t="s">
        <v>149</v>
      </c>
      <c r="E170" t="s">
        <v>326</v>
      </c>
      <c r="F170" t="s">
        <v>191</v>
      </c>
      <c r="G170" s="11" t="s">
        <v>469</v>
      </c>
      <c r="H170">
        <v>5</v>
      </c>
      <c r="I170" s="11" t="s">
        <v>175</v>
      </c>
      <c r="J170" t="s">
        <v>470</v>
      </c>
      <c r="K170" t="s">
        <v>229</v>
      </c>
      <c r="L170" s="11" t="s">
        <v>39</v>
      </c>
      <c r="M170" s="11" t="s">
        <v>39</v>
      </c>
      <c r="N170" s="11" t="s">
        <v>39</v>
      </c>
      <c r="O170" s="11" t="s">
        <v>39</v>
      </c>
      <c r="P170" t="s">
        <v>9</v>
      </c>
      <c r="Q170">
        <v>47</v>
      </c>
      <c r="R170">
        <v>0</v>
      </c>
      <c r="S170">
        <v>0</v>
      </c>
      <c r="T170" t="str">
        <f t="shared" si="22"/>
        <v>-</v>
      </c>
      <c r="U170" t="str">
        <f t="shared" si="23"/>
        <v>-</v>
      </c>
      <c r="V170" t="str">
        <f t="shared" si="24"/>
        <v>-</v>
      </c>
      <c r="W170" t="str">
        <f t="shared" si="25"/>
        <v>-</v>
      </c>
      <c r="X170" t="str">
        <f t="shared" si="26"/>
        <v>-</v>
      </c>
      <c r="Y170" t="str">
        <f t="shared" si="27"/>
        <v>-</v>
      </c>
      <c r="Z170" t="str">
        <f t="shared" si="28"/>
        <v>-</v>
      </c>
      <c r="AA170" t="str">
        <f t="shared" si="29"/>
        <v>-</v>
      </c>
      <c r="AB170" t="str">
        <f>IF(_xlfn.IFNA(VLOOKUP(P170,Set_Ref!$B$6:$B$1048576,1,FALSE),"")&lt;&gt;"","-",FALSE)</f>
        <v>-</v>
      </c>
      <c r="AC170" t="str">
        <f t="shared" si="30"/>
        <v>-</v>
      </c>
      <c r="AD170" t="str">
        <f t="shared" si="31"/>
        <v>-</v>
      </c>
      <c r="AE170" t="b">
        <f t="shared" si="32"/>
        <v>1</v>
      </c>
    </row>
    <row r="171" spans="1:31" x14ac:dyDescent="0.25">
      <c r="A171">
        <v>1</v>
      </c>
      <c r="B171">
        <v>169</v>
      </c>
      <c r="C171">
        <v>261</v>
      </c>
      <c r="D171" s="11" t="s">
        <v>149</v>
      </c>
      <c r="E171" t="s">
        <v>326</v>
      </c>
      <c r="F171" t="s">
        <v>191</v>
      </c>
      <c r="G171" s="11" t="s">
        <v>469</v>
      </c>
      <c r="H171">
        <v>5</v>
      </c>
      <c r="I171" s="11" t="s">
        <v>175</v>
      </c>
      <c r="J171" t="s">
        <v>470</v>
      </c>
      <c r="K171" t="s">
        <v>229</v>
      </c>
      <c r="L171" s="11" t="s">
        <v>39</v>
      </c>
      <c r="M171" s="11" t="s">
        <v>39</v>
      </c>
      <c r="N171" s="11" t="s">
        <v>39</v>
      </c>
      <c r="O171" s="11" t="s">
        <v>39</v>
      </c>
      <c r="P171" t="s">
        <v>9</v>
      </c>
      <c r="Q171">
        <v>41</v>
      </c>
      <c r="R171">
        <v>0</v>
      </c>
      <c r="S171">
        <v>0</v>
      </c>
      <c r="T171" t="str">
        <f t="shared" si="22"/>
        <v>-</v>
      </c>
      <c r="U171" t="str">
        <f t="shared" si="23"/>
        <v>-</v>
      </c>
      <c r="V171" t="str">
        <f t="shared" si="24"/>
        <v>-</v>
      </c>
      <c r="W171" t="str">
        <f t="shared" si="25"/>
        <v>-</v>
      </c>
      <c r="X171" t="str">
        <f t="shared" si="26"/>
        <v>-</v>
      </c>
      <c r="Y171" t="str">
        <f t="shared" si="27"/>
        <v>-</v>
      </c>
      <c r="Z171" t="str">
        <f t="shared" si="28"/>
        <v>-</v>
      </c>
      <c r="AA171" t="str">
        <f t="shared" si="29"/>
        <v>-</v>
      </c>
      <c r="AB171" t="str">
        <f>IF(_xlfn.IFNA(VLOOKUP(P171,Set_Ref!$B$6:$B$1048576,1,FALSE),"")&lt;&gt;"","-",FALSE)</f>
        <v>-</v>
      </c>
      <c r="AC171" t="str">
        <f t="shared" si="30"/>
        <v>-</v>
      </c>
      <c r="AD171" t="str">
        <f t="shared" si="31"/>
        <v>-</v>
      </c>
      <c r="AE171" t="b">
        <f t="shared" si="32"/>
        <v>1</v>
      </c>
    </row>
    <row r="172" spans="1:31" x14ac:dyDescent="0.25">
      <c r="A172">
        <v>1</v>
      </c>
      <c r="B172">
        <v>170</v>
      </c>
      <c r="C172">
        <v>261</v>
      </c>
      <c r="D172" s="11" t="s">
        <v>149</v>
      </c>
      <c r="E172" t="s">
        <v>326</v>
      </c>
      <c r="F172" t="s">
        <v>191</v>
      </c>
      <c r="G172" s="11" t="s">
        <v>469</v>
      </c>
      <c r="H172">
        <v>5</v>
      </c>
      <c r="I172" s="11" t="s">
        <v>175</v>
      </c>
      <c r="J172" t="s">
        <v>470</v>
      </c>
      <c r="K172" t="s">
        <v>229</v>
      </c>
      <c r="L172" s="11" t="s">
        <v>39</v>
      </c>
      <c r="M172" s="11" t="s">
        <v>39</v>
      </c>
      <c r="N172" s="11" t="s">
        <v>39</v>
      </c>
      <c r="O172" s="11" t="s">
        <v>39</v>
      </c>
      <c r="P172" t="s">
        <v>9</v>
      </c>
      <c r="Q172">
        <v>58</v>
      </c>
      <c r="R172">
        <v>0</v>
      </c>
      <c r="S172">
        <v>0</v>
      </c>
      <c r="T172" t="str">
        <f t="shared" si="22"/>
        <v>-</v>
      </c>
      <c r="U172" t="str">
        <f t="shared" si="23"/>
        <v>-</v>
      </c>
      <c r="V172" t="str">
        <f t="shared" si="24"/>
        <v>-</v>
      </c>
      <c r="W172" t="str">
        <f t="shared" si="25"/>
        <v>-</v>
      </c>
      <c r="X172" t="str">
        <f t="shared" si="26"/>
        <v>-</v>
      </c>
      <c r="Y172" t="str">
        <f t="shared" si="27"/>
        <v>-</v>
      </c>
      <c r="Z172" t="str">
        <f t="shared" si="28"/>
        <v>-</v>
      </c>
      <c r="AA172" t="str">
        <f t="shared" si="29"/>
        <v>-</v>
      </c>
      <c r="AB172" t="str">
        <f>IF(_xlfn.IFNA(VLOOKUP(P172,Set_Ref!$B$6:$B$1048576,1,FALSE),"")&lt;&gt;"","-",FALSE)</f>
        <v>-</v>
      </c>
      <c r="AC172" t="str">
        <f t="shared" si="30"/>
        <v>-</v>
      </c>
      <c r="AD172" t="str">
        <f t="shared" si="31"/>
        <v>-</v>
      </c>
      <c r="AE172" t="b">
        <f t="shared" si="32"/>
        <v>1</v>
      </c>
    </row>
    <row r="173" spans="1:31" x14ac:dyDescent="0.25">
      <c r="A173">
        <v>1</v>
      </c>
      <c r="B173">
        <v>171</v>
      </c>
      <c r="C173">
        <v>261</v>
      </c>
      <c r="D173" s="11" t="s">
        <v>149</v>
      </c>
      <c r="E173" t="s">
        <v>326</v>
      </c>
      <c r="F173" t="s">
        <v>191</v>
      </c>
      <c r="G173" s="11" t="s">
        <v>469</v>
      </c>
      <c r="H173">
        <v>5</v>
      </c>
      <c r="I173" s="11" t="s">
        <v>175</v>
      </c>
      <c r="J173" t="s">
        <v>470</v>
      </c>
      <c r="K173" t="s">
        <v>229</v>
      </c>
      <c r="L173" s="11" t="s">
        <v>39</v>
      </c>
      <c r="M173" s="11" t="s">
        <v>39</v>
      </c>
      <c r="N173" s="11" t="s">
        <v>39</v>
      </c>
      <c r="O173" s="11" t="s">
        <v>39</v>
      </c>
      <c r="P173" t="s">
        <v>9</v>
      </c>
      <c r="Q173">
        <v>45</v>
      </c>
      <c r="R173">
        <v>0</v>
      </c>
      <c r="S173">
        <v>0</v>
      </c>
      <c r="T173" t="str">
        <f t="shared" si="22"/>
        <v>-</v>
      </c>
      <c r="U173" t="str">
        <f t="shared" si="23"/>
        <v>-</v>
      </c>
      <c r="V173" t="str">
        <f t="shared" si="24"/>
        <v>-</v>
      </c>
      <c r="W173" t="str">
        <f t="shared" si="25"/>
        <v>-</v>
      </c>
      <c r="X173" t="str">
        <f t="shared" si="26"/>
        <v>-</v>
      </c>
      <c r="Y173" t="str">
        <f t="shared" si="27"/>
        <v>-</v>
      </c>
      <c r="Z173" t="str">
        <f t="shared" si="28"/>
        <v>-</v>
      </c>
      <c r="AA173" t="str">
        <f t="shared" si="29"/>
        <v>-</v>
      </c>
      <c r="AB173" t="str">
        <f>IF(_xlfn.IFNA(VLOOKUP(P173,Set_Ref!$B$6:$B$1048576,1,FALSE),"")&lt;&gt;"","-",FALSE)</f>
        <v>-</v>
      </c>
      <c r="AC173" t="str">
        <f t="shared" si="30"/>
        <v>-</v>
      </c>
      <c r="AD173" t="str">
        <f t="shared" si="31"/>
        <v>-</v>
      </c>
      <c r="AE173" t="b">
        <f t="shared" si="32"/>
        <v>1</v>
      </c>
    </row>
    <row r="174" spans="1:31" x14ac:dyDescent="0.25">
      <c r="A174">
        <v>1</v>
      </c>
      <c r="B174">
        <v>172</v>
      </c>
      <c r="C174">
        <v>261</v>
      </c>
      <c r="D174" s="11" t="s">
        <v>149</v>
      </c>
      <c r="E174" t="s">
        <v>326</v>
      </c>
      <c r="F174" t="s">
        <v>191</v>
      </c>
      <c r="G174" s="11" t="s">
        <v>469</v>
      </c>
      <c r="H174">
        <v>5</v>
      </c>
      <c r="I174" s="11" t="s">
        <v>175</v>
      </c>
      <c r="J174" t="s">
        <v>470</v>
      </c>
      <c r="K174" t="s">
        <v>229</v>
      </c>
      <c r="L174" s="11" t="s">
        <v>39</v>
      </c>
      <c r="M174" s="11" t="s">
        <v>39</v>
      </c>
      <c r="N174" s="11" t="s">
        <v>39</v>
      </c>
      <c r="O174" s="11" t="s">
        <v>39</v>
      </c>
      <c r="P174" t="s">
        <v>9</v>
      </c>
      <c r="Q174">
        <v>30</v>
      </c>
      <c r="R174">
        <v>0</v>
      </c>
      <c r="S174">
        <v>0</v>
      </c>
      <c r="T174" t="str">
        <f t="shared" si="22"/>
        <v>-</v>
      </c>
      <c r="U174" t="str">
        <f t="shared" si="23"/>
        <v>-</v>
      </c>
      <c r="V174" t="str">
        <f t="shared" si="24"/>
        <v>-</v>
      </c>
      <c r="W174" t="str">
        <f t="shared" si="25"/>
        <v>-</v>
      </c>
      <c r="X174" t="str">
        <f t="shared" si="26"/>
        <v>-</v>
      </c>
      <c r="Y174" t="str">
        <f t="shared" si="27"/>
        <v>-</v>
      </c>
      <c r="Z174" t="str">
        <f t="shared" si="28"/>
        <v>-</v>
      </c>
      <c r="AA174" t="str">
        <f t="shared" si="29"/>
        <v>-</v>
      </c>
      <c r="AB174" t="str">
        <f>IF(_xlfn.IFNA(VLOOKUP(P174,Set_Ref!$B$6:$B$1048576,1,FALSE),"")&lt;&gt;"","-",FALSE)</f>
        <v>-</v>
      </c>
      <c r="AC174" t="str">
        <f t="shared" si="30"/>
        <v>-</v>
      </c>
      <c r="AD174" t="str">
        <f t="shared" si="31"/>
        <v>-</v>
      </c>
      <c r="AE174" t="b">
        <f t="shared" si="32"/>
        <v>1</v>
      </c>
    </row>
    <row r="175" spans="1:31" x14ac:dyDescent="0.25">
      <c r="A175">
        <v>1</v>
      </c>
      <c r="B175">
        <v>173</v>
      </c>
      <c r="C175">
        <v>261</v>
      </c>
      <c r="D175" s="11" t="s">
        <v>149</v>
      </c>
      <c r="E175" t="s">
        <v>326</v>
      </c>
      <c r="F175" t="s">
        <v>191</v>
      </c>
      <c r="G175" s="11" t="s">
        <v>469</v>
      </c>
      <c r="H175">
        <v>5</v>
      </c>
      <c r="I175" s="11" t="s">
        <v>175</v>
      </c>
      <c r="J175" t="s">
        <v>470</v>
      </c>
      <c r="K175" t="s">
        <v>229</v>
      </c>
      <c r="L175" s="11" t="s">
        <v>39</v>
      </c>
      <c r="M175" s="11" t="s">
        <v>39</v>
      </c>
      <c r="N175" s="11" t="s">
        <v>39</v>
      </c>
      <c r="O175" s="11" t="s">
        <v>39</v>
      </c>
      <c r="P175" t="s">
        <v>9</v>
      </c>
      <c r="Q175">
        <v>17</v>
      </c>
      <c r="R175">
        <v>0</v>
      </c>
      <c r="S175">
        <v>0</v>
      </c>
      <c r="T175" t="str">
        <f t="shared" si="22"/>
        <v>-</v>
      </c>
      <c r="U175" t="str">
        <f t="shared" si="23"/>
        <v>-</v>
      </c>
      <c r="V175" t="str">
        <f t="shared" si="24"/>
        <v>-</v>
      </c>
      <c r="W175" t="str">
        <f t="shared" si="25"/>
        <v>-</v>
      </c>
      <c r="X175" t="str">
        <f t="shared" si="26"/>
        <v>-</v>
      </c>
      <c r="Y175" t="str">
        <f t="shared" si="27"/>
        <v>-</v>
      </c>
      <c r="Z175" t="str">
        <f t="shared" si="28"/>
        <v>-</v>
      </c>
      <c r="AA175" t="str">
        <f t="shared" si="29"/>
        <v>-</v>
      </c>
      <c r="AB175" t="str">
        <f>IF(_xlfn.IFNA(VLOOKUP(P175,Set_Ref!$B$6:$B$1048576,1,FALSE),"")&lt;&gt;"","-",FALSE)</f>
        <v>-</v>
      </c>
      <c r="AC175" t="str">
        <f t="shared" si="30"/>
        <v>-</v>
      </c>
      <c r="AD175" t="str">
        <f t="shared" si="31"/>
        <v>-</v>
      </c>
      <c r="AE175" t="b">
        <f t="shared" si="32"/>
        <v>1</v>
      </c>
    </row>
    <row r="176" spans="1:31" x14ac:dyDescent="0.25">
      <c r="A176">
        <v>1</v>
      </c>
      <c r="B176">
        <v>174</v>
      </c>
      <c r="C176">
        <v>261</v>
      </c>
      <c r="D176" s="11" t="s">
        <v>149</v>
      </c>
      <c r="E176" t="s">
        <v>326</v>
      </c>
      <c r="F176" t="s">
        <v>191</v>
      </c>
      <c r="G176" s="11" t="s">
        <v>469</v>
      </c>
      <c r="H176">
        <v>5</v>
      </c>
      <c r="I176" s="11" t="s">
        <v>175</v>
      </c>
      <c r="J176" t="s">
        <v>470</v>
      </c>
      <c r="K176" t="s">
        <v>229</v>
      </c>
      <c r="L176" s="11" t="s">
        <v>39</v>
      </c>
      <c r="M176" s="11" t="s">
        <v>39</v>
      </c>
      <c r="N176" s="11" t="s">
        <v>39</v>
      </c>
      <c r="O176" s="11" t="s">
        <v>39</v>
      </c>
      <c r="P176" t="s">
        <v>9</v>
      </c>
      <c r="Q176">
        <v>10</v>
      </c>
      <c r="R176">
        <v>0</v>
      </c>
      <c r="S176">
        <v>0</v>
      </c>
      <c r="T176" t="str">
        <f t="shared" si="22"/>
        <v>-</v>
      </c>
      <c r="U176" t="str">
        <f t="shared" si="23"/>
        <v>-</v>
      </c>
      <c r="V176" t="str">
        <f t="shared" si="24"/>
        <v>-</v>
      </c>
      <c r="W176" t="str">
        <f t="shared" si="25"/>
        <v>-</v>
      </c>
      <c r="X176" t="str">
        <f t="shared" si="26"/>
        <v>-</v>
      </c>
      <c r="Y176" t="str">
        <f t="shared" si="27"/>
        <v>-</v>
      </c>
      <c r="Z176" t="str">
        <f t="shared" si="28"/>
        <v>-</v>
      </c>
      <c r="AA176" t="str">
        <f t="shared" si="29"/>
        <v>-</v>
      </c>
      <c r="AB176" t="str">
        <f>IF(_xlfn.IFNA(VLOOKUP(P176,Set_Ref!$B$6:$B$1048576,1,FALSE),"")&lt;&gt;"","-",FALSE)</f>
        <v>-</v>
      </c>
      <c r="AC176" t="str">
        <f t="shared" si="30"/>
        <v>-</v>
      </c>
      <c r="AD176" t="str">
        <f t="shared" si="31"/>
        <v>-</v>
      </c>
      <c r="AE176" t="b">
        <f t="shared" si="32"/>
        <v>1</v>
      </c>
    </row>
    <row r="177" spans="1:31" x14ac:dyDescent="0.25">
      <c r="A177">
        <v>1</v>
      </c>
      <c r="B177">
        <v>175</v>
      </c>
      <c r="C177">
        <v>261</v>
      </c>
      <c r="D177" s="11" t="s">
        <v>149</v>
      </c>
      <c r="E177" t="s">
        <v>373</v>
      </c>
      <c r="F177" t="s">
        <v>191</v>
      </c>
      <c r="G177" s="11" t="s">
        <v>471</v>
      </c>
      <c r="H177">
        <v>1</v>
      </c>
      <c r="I177" s="11" t="s">
        <v>427</v>
      </c>
      <c r="J177" t="s">
        <v>296</v>
      </c>
      <c r="K177" t="s">
        <v>238</v>
      </c>
      <c r="L177" s="11" t="s">
        <v>39</v>
      </c>
      <c r="M177" s="11" t="s">
        <v>39</v>
      </c>
      <c r="N177" s="11" t="s">
        <v>39</v>
      </c>
      <c r="O177" s="11" t="s">
        <v>39</v>
      </c>
      <c r="P177" t="s">
        <v>9</v>
      </c>
      <c r="Q177">
        <v>2000</v>
      </c>
      <c r="R177">
        <v>0</v>
      </c>
      <c r="S177">
        <v>0</v>
      </c>
      <c r="T177" t="str">
        <f t="shared" si="22"/>
        <v>-</v>
      </c>
      <c r="U177" t="str">
        <f t="shared" si="23"/>
        <v>-</v>
      </c>
      <c r="V177" t="str">
        <f t="shared" si="24"/>
        <v>-</v>
      </c>
      <c r="W177" t="str">
        <f t="shared" si="25"/>
        <v>-</v>
      </c>
      <c r="X177" t="str">
        <f t="shared" si="26"/>
        <v>-</v>
      </c>
      <c r="Y177" t="str">
        <f t="shared" si="27"/>
        <v>-</v>
      </c>
      <c r="Z177" t="str">
        <f t="shared" si="28"/>
        <v>-</v>
      </c>
      <c r="AA177" t="str">
        <f t="shared" si="29"/>
        <v>-</v>
      </c>
      <c r="AB177" t="str">
        <f>IF(_xlfn.IFNA(VLOOKUP(P177,Set_Ref!$B$6:$B$1048576,1,FALSE),"")&lt;&gt;"","-",FALSE)</f>
        <v>-</v>
      </c>
      <c r="AC177" t="str">
        <f t="shared" si="30"/>
        <v>-</v>
      </c>
      <c r="AD177" t="str">
        <f t="shared" si="31"/>
        <v>-</v>
      </c>
      <c r="AE177" t="b">
        <f t="shared" si="32"/>
        <v>1</v>
      </c>
    </row>
    <row r="178" spans="1:31" x14ac:dyDescent="0.25">
      <c r="A178">
        <v>1</v>
      </c>
      <c r="B178">
        <v>176</v>
      </c>
      <c r="C178">
        <v>261</v>
      </c>
      <c r="D178" s="11" t="s">
        <v>149</v>
      </c>
      <c r="E178" t="s">
        <v>374</v>
      </c>
      <c r="F178" t="s">
        <v>191</v>
      </c>
      <c r="G178" s="11" t="s">
        <v>472</v>
      </c>
      <c r="H178">
        <v>3</v>
      </c>
      <c r="I178" s="11" t="s">
        <v>433</v>
      </c>
      <c r="J178" t="s">
        <v>375</v>
      </c>
      <c r="K178" t="s">
        <v>254</v>
      </c>
      <c r="L178" s="11" t="s">
        <v>39</v>
      </c>
      <c r="M178" s="11" t="s">
        <v>39</v>
      </c>
      <c r="N178" s="11" t="s">
        <v>39</v>
      </c>
      <c r="O178" s="11" t="s">
        <v>39</v>
      </c>
      <c r="P178" t="s">
        <v>10</v>
      </c>
      <c r="Q178">
        <v>526</v>
      </c>
      <c r="R178">
        <v>0</v>
      </c>
      <c r="S178">
        <v>0</v>
      </c>
      <c r="T178" t="str">
        <f t="shared" si="22"/>
        <v>-</v>
      </c>
      <c r="U178" t="str">
        <f t="shared" si="23"/>
        <v>-</v>
      </c>
      <c r="V178" t="str">
        <f t="shared" si="24"/>
        <v>-</v>
      </c>
      <c r="W178" t="str">
        <f t="shared" si="25"/>
        <v>-</v>
      </c>
      <c r="X178" t="str">
        <f t="shared" si="26"/>
        <v>-</v>
      </c>
      <c r="Y178" t="str">
        <f t="shared" si="27"/>
        <v>-</v>
      </c>
      <c r="Z178" t="str">
        <f t="shared" si="28"/>
        <v>-</v>
      </c>
      <c r="AA178" t="str">
        <f t="shared" si="29"/>
        <v>-</v>
      </c>
      <c r="AB178" t="str">
        <f>IF(_xlfn.IFNA(VLOOKUP(P178,Set_Ref!$B$6:$B$1048576,1,FALSE),"")&lt;&gt;"","-",FALSE)</f>
        <v>-</v>
      </c>
      <c r="AC178" t="str">
        <f t="shared" si="30"/>
        <v>-</v>
      </c>
      <c r="AD178" t="str">
        <f t="shared" si="31"/>
        <v>-</v>
      </c>
      <c r="AE178" t="b">
        <f t="shared" si="32"/>
        <v>1</v>
      </c>
    </row>
    <row r="179" spans="1:31" x14ac:dyDescent="0.25">
      <c r="A179">
        <v>1</v>
      </c>
      <c r="B179">
        <v>177</v>
      </c>
      <c r="C179">
        <v>261</v>
      </c>
      <c r="D179" s="11" t="s">
        <v>149</v>
      </c>
      <c r="E179" t="s">
        <v>374</v>
      </c>
      <c r="F179" t="s">
        <v>191</v>
      </c>
      <c r="G179" s="11" t="s">
        <v>472</v>
      </c>
      <c r="H179">
        <v>1</v>
      </c>
      <c r="I179" s="11" t="s">
        <v>177</v>
      </c>
      <c r="J179" t="s">
        <v>473</v>
      </c>
      <c r="K179" t="s">
        <v>250</v>
      </c>
      <c r="L179" s="11" t="s">
        <v>39</v>
      </c>
      <c r="M179" s="11" t="s">
        <v>39</v>
      </c>
      <c r="N179" s="11" t="s">
        <v>39</v>
      </c>
      <c r="O179" s="11" t="s">
        <v>39</v>
      </c>
      <c r="P179" t="s">
        <v>9</v>
      </c>
      <c r="Q179">
        <v>1720</v>
      </c>
      <c r="R179">
        <v>0</v>
      </c>
      <c r="S179">
        <v>0</v>
      </c>
      <c r="T179" t="str">
        <f t="shared" si="22"/>
        <v>-</v>
      </c>
      <c r="U179" t="str">
        <f t="shared" si="23"/>
        <v>-</v>
      </c>
      <c r="V179" t="str">
        <f t="shared" si="24"/>
        <v>-</v>
      </c>
      <c r="W179" t="str">
        <f t="shared" si="25"/>
        <v>-</v>
      </c>
      <c r="X179" t="str">
        <f t="shared" si="26"/>
        <v>-</v>
      </c>
      <c r="Y179" t="str">
        <f t="shared" si="27"/>
        <v>-</v>
      </c>
      <c r="Z179" t="str">
        <f t="shared" si="28"/>
        <v>-</v>
      </c>
      <c r="AA179" t="str">
        <f t="shared" si="29"/>
        <v>-</v>
      </c>
      <c r="AB179" t="str">
        <f>IF(_xlfn.IFNA(VLOOKUP(P179,Set_Ref!$B$6:$B$1048576,1,FALSE),"")&lt;&gt;"","-",FALSE)</f>
        <v>-</v>
      </c>
      <c r="AC179" t="str">
        <f t="shared" si="30"/>
        <v>-</v>
      </c>
      <c r="AD179" t="str">
        <f t="shared" si="31"/>
        <v>-</v>
      </c>
      <c r="AE179" t="b">
        <f t="shared" si="32"/>
        <v>1</v>
      </c>
    </row>
    <row r="180" spans="1:31" x14ac:dyDescent="0.25">
      <c r="A180">
        <v>1</v>
      </c>
      <c r="B180">
        <v>178</v>
      </c>
      <c r="C180">
        <v>261</v>
      </c>
      <c r="D180" s="11" t="s">
        <v>149</v>
      </c>
      <c r="E180" t="s">
        <v>374</v>
      </c>
      <c r="F180" t="s">
        <v>191</v>
      </c>
      <c r="G180" s="11" t="s">
        <v>472</v>
      </c>
      <c r="H180">
        <v>2</v>
      </c>
      <c r="I180" s="11" t="s">
        <v>177</v>
      </c>
      <c r="J180" t="s">
        <v>468</v>
      </c>
      <c r="K180" t="s">
        <v>251</v>
      </c>
      <c r="L180" s="11" t="s">
        <v>39</v>
      </c>
      <c r="M180" s="11" t="s">
        <v>39</v>
      </c>
      <c r="N180" s="11" t="s">
        <v>39</v>
      </c>
      <c r="O180" s="11" t="s">
        <v>39</v>
      </c>
      <c r="P180" t="s">
        <v>9</v>
      </c>
      <c r="Q180">
        <v>3280</v>
      </c>
      <c r="R180">
        <v>0</v>
      </c>
      <c r="S180">
        <v>0</v>
      </c>
      <c r="T180" t="str">
        <f t="shared" si="22"/>
        <v>-</v>
      </c>
      <c r="U180" t="str">
        <f t="shared" si="23"/>
        <v>-</v>
      </c>
      <c r="V180" t="str">
        <f t="shared" si="24"/>
        <v>-</v>
      </c>
      <c r="W180" t="str">
        <f t="shared" si="25"/>
        <v>-</v>
      </c>
      <c r="X180" t="str">
        <f t="shared" si="26"/>
        <v>-</v>
      </c>
      <c r="Y180" t="str">
        <f t="shared" si="27"/>
        <v>-</v>
      </c>
      <c r="Z180" t="str">
        <f t="shared" si="28"/>
        <v>-</v>
      </c>
      <c r="AA180" t="str">
        <f t="shared" si="29"/>
        <v>-</v>
      </c>
      <c r="AB180" t="str">
        <f>IF(_xlfn.IFNA(VLOOKUP(P180,Set_Ref!$B$6:$B$1048576,1,FALSE),"")&lt;&gt;"","-",FALSE)</f>
        <v>-</v>
      </c>
      <c r="AC180" t="str">
        <f t="shared" si="30"/>
        <v>-</v>
      </c>
      <c r="AD180" t="str">
        <f t="shared" si="31"/>
        <v>-</v>
      </c>
      <c r="AE180" t="b">
        <f t="shared" si="32"/>
        <v>1</v>
      </c>
    </row>
    <row r="181" spans="1:31" x14ac:dyDescent="0.25">
      <c r="A181">
        <v>1</v>
      </c>
      <c r="B181">
        <v>179</v>
      </c>
      <c r="C181">
        <v>261</v>
      </c>
      <c r="D181" s="11" t="s">
        <v>149</v>
      </c>
      <c r="E181" t="s">
        <v>374</v>
      </c>
      <c r="F181" t="s">
        <v>191</v>
      </c>
      <c r="G181" s="11" t="s">
        <v>472</v>
      </c>
      <c r="H181">
        <v>1</v>
      </c>
      <c r="I181" s="11" t="s">
        <v>177</v>
      </c>
      <c r="J181" t="s">
        <v>473</v>
      </c>
      <c r="K181" t="s">
        <v>250</v>
      </c>
      <c r="L181" s="11" t="s">
        <v>39</v>
      </c>
      <c r="M181" s="11" t="s">
        <v>39</v>
      </c>
      <c r="N181" s="11" t="s">
        <v>39</v>
      </c>
      <c r="O181" s="11" t="s">
        <v>39</v>
      </c>
      <c r="P181" t="s">
        <v>9</v>
      </c>
      <c r="Q181">
        <v>670</v>
      </c>
      <c r="R181">
        <v>0</v>
      </c>
      <c r="S181">
        <v>0</v>
      </c>
      <c r="T181" t="str">
        <f t="shared" si="22"/>
        <v>-</v>
      </c>
      <c r="U181" t="str">
        <f t="shared" si="23"/>
        <v>-</v>
      </c>
      <c r="V181" t="str">
        <f t="shared" si="24"/>
        <v>-</v>
      </c>
      <c r="W181" t="str">
        <f t="shared" si="25"/>
        <v>-</v>
      </c>
      <c r="X181" t="str">
        <f t="shared" si="26"/>
        <v>-</v>
      </c>
      <c r="Y181" t="str">
        <f t="shared" si="27"/>
        <v>-</v>
      </c>
      <c r="Z181" t="str">
        <f t="shared" si="28"/>
        <v>-</v>
      </c>
      <c r="AA181" t="str">
        <f t="shared" si="29"/>
        <v>-</v>
      </c>
      <c r="AB181" t="str">
        <f>IF(_xlfn.IFNA(VLOOKUP(P181,Set_Ref!$B$6:$B$1048576,1,FALSE),"")&lt;&gt;"","-",FALSE)</f>
        <v>-</v>
      </c>
      <c r="AC181" t="str">
        <f t="shared" si="30"/>
        <v>-</v>
      </c>
      <c r="AD181" t="str">
        <f t="shared" si="31"/>
        <v>-</v>
      </c>
      <c r="AE181" t="b">
        <f t="shared" si="32"/>
        <v>1</v>
      </c>
    </row>
    <row r="182" spans="1:31" x14ac:dyDescent="0.25">
      <c r="A182">
        <v>1</v>
      </c>
      <c r="B182">
        <v>180</v>
      </c>
      <c r="C182">
        <v>261</v>
      </c>
      <c r="D182" s="11" t="s">
        <v>149</v>
      </c>
      <c r="E182" t="s">
        <v>374</v>
      </c>
      <c r="F182" t="s">
        <v>191</v>
      </c>
      <c r="G182" s="11" t="s">
        <v>472</v>
      </c>
      <c r="H182">
        <v>2</v>
      </c>
      <c r="I182" s="11" t="s">
        <v>177</v>
      </c>
      <c r="J182" t="s">
        <v>468</v>
      </c>
      <c r="K182" t="s">
        <v>251</v>
      </c>
      <c r="L182" s="11" t="s">
        <v>39</v>
      </c>
      <c r="M182" s="11" t="s">
        <v>39</v>
      </c>
      <c r="N182" s="11" t="s">
        <v>39</v>
      </c>
      <c r="O182" s="11" t="s">
        <v>39</v>
      </c>
      <c r="P182" t="s">
        <v>9</v>
      </c>
      <c r="Q182">
        <v>460</v>
      </c>
      <c r="R182">
        <v>0</v>
      </c>
      <c r="S182">
        <v>0</v>
      </c>
      <c r="T182" t="str">
        <f t="shared" si="22"/>
        <v>-</v>
      </c>
      <c r="U182" t="str">
        <f t="shared" si="23"/>
        <v>-</v>
      </c>
      <c r="V182" t="str">
        <f t="shared" si="24"/>
        <v>-</v>
      </c>
      <c r="W182" t="str">
        <f t="shared" si="25"/>
        <v>-</v>
      </c>
      <c r="X182" t="str">
        <f t="shared" si="26"/>
        <v>-</v>
      </c>
      <c r="Y182" t="str">
        <f t="shared" si="27"/>
        <v>-</v>
      </c>
      <c r="Z182" t="str">
        <f t="shared" si="28"/>
        <v>-</v>
      </c>
      <c r="AA182" t="str">
        <f t="shared" si="29"/>
        <v>-</v>
      </c>
      <c r="AB182" t="str">
        <f>IF(_xlfn.IFNA(VLOOKUP(P182,Set_Ref!$B$6:$B$1048576,1,FALSE),"")&lt;&gt;"","-",FALSE)</f>
        <v>-</v>
      </c>
      <c r="AC182" t="str">
        <f t="shared" si="30"/>
        <v>-</v>
      </c>
      <c r="AD182" t="str">
        <f t="shared" si="31"/>
        <v>-</v>
      </c>
      <c r="AE182" t="b">
        <f t="shared" si="32"/>
        <v>1</v>
      </c>
    </row>
    <row r="183" spans="1:31" x14ac:dyDescent="0.25">
      <c r="A183">
        <v>1</v>
      </c>
      <c r="B183">
        <v>181</v>
      </c>
      <c r="C183">
        <v>261</v>
      </c>
      <c r="D183" s="11" t="s">
        <v>149</v>
      </c>
      <c r="E183" t="s">
        <v>376</v>
      </c>
      <c r="F183" t="s">
        <v>192</v>
      </c>
      <c r="G183" s="11" t="s">
        <v>474</v>
      </c>
      <c r="H183">
        <v>1</v>
      </c>
      <c r="I183" s="11" t="s">
        <v>430</v>
      </c>
      <c r="J183" t="s">
        <v>278</v>
      </c>
      <c r="K183" t="s">
        <v>218</v>
      </c>
      <c r="L183" s="11" t="s">
        <v>39</v>
      </c>
      <c r="M183" s="11" t="s">
        <v>39</v>
      </c>
      <c r="N183" s="11" t="s">
        <v>39</v>
      </c>
      <c r="O183" s="11" t="s">
        <v>39</v>
      </c>
      <c r="P183" t="s">
        <v>58</v>
      </c>
      <c r="Q183">
        <v>4.38</v>
      </c>
      <c r="R183">
        <v>0</v>
      </c>
      <c r="S183">
        <v>0</v>
      </c>
      <c r="T183" t="str">
        <f t="shared" si="22"/>
        <v>-</v>
      </c>
      <c r="U183" t="str">
        <f t="shared" si="23"/>
        <v>-</v>
      </c>
      <c r="V183" t="str">
        <f t="shared" si="24"/>
        <v>-</v>
      </c>
      <c r="W183" t="str">
        <f t="shared" si="25"/>
        <v>-</v>
      </c>
      <c r="X183" t="str">
        <f t="shared" si="26"/>
        <v>-</v>
      </c>
      <c r="Y183" t="str">
        <f t="shared" si="27"/>
        <v>-</v>
      </c>
      <c r="Z183" t="str">
        <f t="shared" si="28"/>
        <v>-</v>
      </c>
      <c r="AA183" t="str">
        <f t="shared" si="29"/>
        <v>-</v>
      </c>
      <c r="AB183" t="str">
        <f>IF(_xlfn.IFNA(VLOOKUP(P183,Set_Ref!$B$6:$B$1048576,1,FALSE),"")&lt;&gt;"","-",FALSE)</f>
        <v>-</v>
      </c>
      <c r="AC183" t="str">
        <f t="shared" si="30"/>
        <v>-</v>
      </c>
      <c r="AD183" t="str">
        <f t="shared" si="31"/>
        <v>-</v>
      </c>
      <c r="AE183" t="b">
        <f t="shared" si="32"/>
        <v>1</v>
      </c>
    </row>
    <row r="184" spans="1:31" x14ac:dyDescent="0.25">
      <c r="A184">
        <v>1</v>
      </c>
      <c r="B184">
        <v>182</v>
      </c>
      <c r="C184">
        <v>261</v>
      </c>
      <c r="D184" s="11" t="s">
        <v>149</v>
      </c>
      <c r="E184" t="s">
        <v>377</v>
      </c>
      <c r="F184" t="s">
        <v>193</v>
      </c>
      <c r="G184" s="11" t="s">
        <v>475</v>
      </c>
      <c r="H184">
        <v>1</v>
      </c>
      <c r="I184" s="11" t="s">
        <v>433</v>
      </c>
      <c r="J184" t="s">
        <v>281</v>
      </c>
      <c r="K184" t="s">
        <v>222</v>
      </c>
      <c r="L184" s="11" t="s">
        <v>39</v>
      </c>
      <c r="M184" s="11" t="s">
        <v>39</v>
      </c>
      <c r="N184" s="11" t="s">
        <v>39</v>
      </c>
      <c r="O184" s="11" t="s">
        <v>39</v>
      </c>
      <c r="P184" t="s">
        <v>10</v>
      </c>
      <c r="Q184">
        <v>1946</v>
      </c>
      <c r="R184">
        <v>0</v>
      </c>
      <c r="S184">
        <v>0</v>
      </c>
      <c r="T184" t="str">
        <f t="shared" si="22"/>
        <v>-</v>
      </c>
      <c r="U184" t="str">
        <f t="shared" si="23"/>
        <v>-</v>
      </c>
      <c r="V184" t="str">
        <f t="shared" si="24"/>
        <v>-</v>
      </c>
      <c r="W184" t="str">
        <f t="shared" si="25"/>
        <v>-</v>
      </c>
      <c r="X184" t="str">
        <f t="shared" si="26"/>
        <v>-</v>
      </c>
      <c r="Y184" t="str">
        <f t="shared" si="27"/>
        <v>-</v>
      </c>
      <c r="Z184" t="str">
        <f t="shared" si="28"/>
        <v>-</v>
      </c>
      <c r="AA184" t="str">
        <f t="shared" si="29"/>
        <v>-</v>
      </c>
      <c r="AB184" t="str">
        <f>IF(_xlfn.IFNA(VLOOKUP(P184,Set_Ref!$B$6:$B$1048576,1,FALSE),"")&lt;&gt;"","-",FALSE)</f>
        <v>-</v>
      </c>
      <c r="AC184" t="str">
        <f t="shared" si="30"/>
        <v>-</v>
      </c>
      <c r="AD184" t="str">
        <f t="shared" si="31"/>
        <v>-</v>
      </c>
      <c r="AE184" t="b">
        <f t="shared" si="32"/>
        <v>1</v>
      </c>
    </row>
    <row r="185" spans="1:31" x14ac:dyDescent="0.25">
      <c r="A185">
        <v>1</v>
      </c>
      <c r="B185">
        <v>183</v>
      </c>
      <c r="C185">
        <v>261</v>
      </c>
      <c r="D185" s="11" t="s">
        <v>149</v>
      </c>
      <c r="E185" t="s">
        <v>377</v>
      </c>
      <c r="F185" t="s">
        <v>193</v>
      </c>
      <c r="G185" s="11" t="s">
        <v>475</v>
      </c>
      <c r="H185">
        <v>2</v>
      </c>
      <c r="I185" s="11" t="s">
        <v>431</v>
      </c>
      <c r="J185" t="s">
        <v>284</v>
      </c>
      <c r="K185" t="s">
        <v>221</v>
      </c>
      <c r="L185" s="11" t="s">
        <v>39</v>
      </c>
      <c r="M185" s="11" t="s">
        <v>39</v>
      </c>
      <c r="N185" s="11" t="s">
        <v>39</v>
      </c>
      <c r="O185" s="11" t="s">
        <v>39</v>
      </c>
      <c r="P185" t="s">
        <v>9</v>
      </c>
      <c r="Q185">
        <v>5995</v>
      </c>
      <c r="R185">
        <v>0</v>
      </c>
      <c r="S185">
        <v>0</v>
      </c>
      <c r="T185" t="str">
        <f t="shared" si="22"/>
        <v>-</v>
      </c>
      <c r="U185" t="str">
        <f t="shared" si="23"/>
        <v>-</v>
      </c>
      <c r="V185" t="str">
        <f t="shared" si="24"/>
        <v>-</v>
      </c>
      <c r="W185" t="str">
        <f t="shared" si="25"/>
        <v>-</v>
      </c>
      <c r="X185" t="str">
        <f t="shared" si="26"/>
        <v>-</v>
      </c>
      <c r="Y185" t="str">
        <f t="shared" si="27"/>
        <v>-</v>
      </c>
      <c r="Z185" t="str">
        <f t="shared" si="28"/>
        <v>-</v>
      </c>
      <c r="AA185" t="str">
        <f t="shared" si="29"/>
        <v>-</v>
      </c>
      <c r="AB185" t="str">
        <f>IF(_xlfn.IFNA(VLOOKUP(P185,Set_Ref!$B$6:$B$1048576,1,FALSE),"")&lt;&gt;"","-",FALSE)</f>
        <v>-</v>
      </c>
      <c r="AC185" t="str">
        <f t="shared" si="30"/>
        <v>-</v>
      </c>
      <c r="AD185" t="str">
        <f t="shared" si="31"/>
        <v>-</v>
      </c>
      <c r="AE185" t="b">
        <f t="shared" si="32"/>
        <v>1</v>
      </c>
    </row>
    <row r="186" spans="1:31" x14ac:dyDescent="0.25">
      <c r="A186">
        <v>1</v>
      </c>
      <c r="B186">
        <v>184</v>
      </c>
      <c r="C186">
        <v>261</v>
      </c>
      <c r="D186" s="11" t="s">
        <v>149</v>
      </c>
      <c r="E186" t="s">
        <v>378</v>
      </c>
      <c r="F186" t="s">
        <v>193</v>
      </c>
      <c r="G186" s="11" t="s">
        <v>476</v>
      </c>
      <c r="H186">
        <v>1</v>
      </c>
      <c r="I186" s="11" t="s">
        <v>177</v>
      </c>
      <c r="J186" t="s">
        <v>477</v>
      </c>
      <c r="K186" t="s">
        <v>251</v>
      </c>
      <c r="L186" s="11" t="s">
        <v>39</v>
      </c>
      <c r="M186" s="11" t="s">
        <v>39</v>
      </c>
      <c r="N186" s="11" t="s">
        <v>39</v>
      </c>
      <c r="O186" s="11" t="s">
        <v>39</v>
      </c>
      <c r="P186" t="s">
        <v>9</v>
      </c>
      <c r="Q186">
        <v>1080</v>
      </c>
      <c r="R186">
        <v>0</v>
      </c>
      <c r="S186">
        <v>0</v>
      </c>
      <c r="T186" t="str">
        <f t="shared" si="22"/>
        <v>-</v>
      </c>
      <c r="U186" t="str">
        <f t="shared" si="23"/>
        <v>-</v>
      </c>
      <c r="V186" t="str">
        <f t="shared" si="24"/>
        <v>-</v>
      </c>
      <c r="W186" t="str">
        <f t="shared" si="25"/>
        <v>-</v>
      </c>
      <c r="X186" t="str">
        <f t="shared" si="26"/>
        <v>-</v>
      </c>
      <c r="Y186" t="str">
        <f t="shared" si="27"/>
        <v>-</v>
      </c>
      <c r="Z186" t="str">
        <f t="shared" si="28"/>
        <v>-</v>
      </c>
      <c r="AA186" t="str">
        <f t="shared" si="29"/>
        <v>-</v>
      </c>
      <c r="AB186" t="str">
        <f>IF(_xlfn.IFNA(VLOOKUP(P186,Set_Ref!$B$6:$B$1048576,1,FALSE),"")&lt;&gt;"","-",FALSE)</f>
        <v>-</v>
      </c>
      <c r="AC186" t="str">
        <f t="shared" si="30"/>
        <v>-</v>
      </c>
      <c r="AD186" t="str">
        <f t="shared" si="31"/>
        <v>-</v>
      </c>
      <c r="AE186" t="b">
        <f t="shared" si="32"/>
        <v>1</v>
      </c>
    </row>
    <row r="187" spans="1:31" x14ac:dyDescent="0.25">
      <c r="A187">
        <v>1</v>
      </c>
      <c r="B187">
        <v>185</v>
      </c>
      <c r="C187">
        <v>261</v>
      </c>
      <c r="D187" s="11" t="s">
        <v>149</v>
      </c>
      <c r="E187" t="s">
        <v>378</v>
      </c>
      <c r="F187" t="s">
        <v>193</v>
      </c>
      <c r="G187" s="11" t="s">
        <v>476</v>
      </c>
      <c r="H187">
        <v>2</v>
      </c>
      <c r="I187" s="11" t="s">
        <v>177</v>
      </c>
      <c r="J187" t="s">
        <v>379</v>
      </c>
      <c r="K187" t="s">
        <v>255</v>
      </c>
      <c r="L187" s="11" t="s">
        <v>39</v>
      </c>
      <c r="M187" s="11" t="s">
        <v>39</v>
      </c>
      <c r="N187" s="11" t="s">
        <v>39</v>
      </c>
      <c r="O187" s="11" t="s">
        <v>39</v>
      </c>
      <c r="P187" t="s">
        <v>9</v>
      </c>
      <c r="Q187">
        <v>40</v>
      </c>
      <c r="R187">
        <v>0</v>
      </c>
      <c r="S187">
        <v>0</v>
      </c>
      <c r="T187" t="str">
        <f t="shared" si="22"/>
        <v>-</v>
      </c>
      <c r="U187" t="str">
        <f t="shared" si="23"/>
        <v>-</v>
      </c>
      <c r="V187" t="str">
        <f t="shared" si="24"/>
        <v>-</v>
      </c>
      <c r="W187" t="str">
        <f t="shared" si="25"/>
        <v>-</v>
      </c>
      <c r="X187" t="str">
        <f t="shared" si="26"/>
        <v>-</v>
      </c>
      <c r="Y187" t="str">
        <f t="shared" si="27"/>
        <v>-</v>
      </c>
      <c r="Z187" t="str">
        <f t="shared" si="28"/>
        <v>-</v>
      </c>
      <c r="AA187" t="str">
        <f t="shared" si="29"/>
        <v>-</v>
      </c>
      <c r="AB187" t="str">
        <f>IF(_xlfn.IFNA(VLOOKUP(P187,Set_Ref!$B$6:$B$1048576,1,FALSE),"")&lt;&gt;"","-",FALSE)</f>
        <v>-</v>
      </c>
      <c r="AC187" t="str">
        <f t="shared" si="30"/>
        <v>-</v>
      </c>
      <c r="AD187" t="str">
        <f t="shared" si="31"/>
        <v>-</v>
      </c>
      <c r="AE187" t="b">
        <f t="shared" si="32"/>
        <v>1</v>
      </c>
    </row>
    <row r="188" spans="1:31" x14ac:dyDescent="0.25">
      <c r="A188">
        <v>1</v>
      </c>
      <c r="B188">
        <v>186</v>
      </c>
      <c r="C188">
        <v>261</v>
      </c>
      <c r="D188" s="11" t="s">
        <v>149</v>
      </c>
      <c r="E188" t="s">
        <v>378</v>
      </c>
      <c r="F188" t="s">
        <v>193</v>
      </c>
      <c r="G188" s="11" t="s">
        <v>476</v>
      </c>
      <c r="H188">
        <v>3</v>
      </c>
      <c r="I188" s="11" t="s">
        <v>177</v>
      </c>
      <c r="J188" t="s">
        <v>380</v>
      </c>
      <c r="K188" t="s">
        <v>256</v>
      </c>
      <c r="L188" s="11" t="s">
        <v>39</v>
      </c>
      <c r="M188" s="11" t="s">
        <v>39</v>
      </c>
      <c r="N188" s="11" t="s">
        <v>39</v>
      </c>
      <c r="O188" s="11" t="s">
        <v>39</v>
      </c>
      <c r="P188" t="s">
        <v>9</v>
      </c>
      <c r="Q188">
        <v>60</v>
      </c>
      <c r="R188">
        <v>0</v>
      </c>
      <c r="S188">
        <v>0</v>
      </c>
      <c r="T188" t="str">
        <f t="shared" si="22"/>
        <v>-</v>
      </c>
      <c r="U188" t="str">
        <f t="shared" si="23"/>
        <v>-</v>
      </c>
      <c r="V188" t="str">
        <f t="shared" si="24"/>
        <v>-</v>
      </c>
      <c r="W188" t="str">
        <f t="shared" si="25"/>
        <v>-</v>
      </c>
      <c r="X188" t="str">
        <f t="shared" si="26"/>
        <v>-</v>
      </c>
      <c r="Y188" t="str">
        <f t="shared" si="27"/>
        <v>-</v>
      </c>
      <c r="Z188" t="str">
        <f t="shared" si="28"/>
        <v>-</v>
      </c>
      <c r="AA188" t="str">
        <f t="shared" si="29"/>
        <v>-</v>
      </c>
      <c r="AB188" t="str">
        <f>IF(_xlfn.IFNA(VLOOKUP(P188,Set_Ref!$B$6:$B$1048576,1,FALSE),"")&lt;&gt;"","-",FALSE)</f>
        <v>-</v>
      </c>
      <c r="AC188" t="str">
        <f t="shared" si="30"/>
        <v>-</v>
      </c>
      <c r="AD188" t="str">
        <f t="shared" si="31"/>
        <v>-</v>
      </c>
      <c r="AE188" t="b">
        <f t="shared" si="32"/>
        <v>1</v>
      </c>
    </row>
    <row r="189" spans="1:31" x14ac:dyDescent="0.25">
      <c r="A189">
        <v>1</v>
      </c>
      <c r="B189">
        <v>187</v>
      </c>
      <c r="C189">
        <v>261</v>
      </c>
      <c r="D189" s="11" t="s">
        <v>149</v>
      </c>
      <c r="E189" t="s">
        <v>378</v>
      </c>
      <c r="F189" t="s">
        <v>193</v>
      </c>
      <c r="G189" s="11" t="s">
        <v>476</v>
      </c>
      <c r="H189">
        <v>4</v>
      </c>
      <c r="I189" s="11" t="s">
        <v>177</v>
      </c>
      <c r="J189" t="s">
        <v>381</v>
      </c>
      <c r="K189" t="s">
        <v>257</v>
      </c>
      <c r="L189" s="11" t="s">
        <v>39</v>
      </c>
      <c r="M189" s="11" t="s">
        <v>39</v>
      </c>
      <c r="N189" s="11" t="s">
        <v>39</v>
      </c>
      <c r="O189" s="11" t="s">
        <v>39</v>
      </c>
      <c r="P189" t="s">
        <v>9</v>
      </c>
      <c r="Q189">
        <v>160</v>
      </c>
      <c r="R189">
        <v>0</v>
      </c>
      <c r="S189">
        <v>0</v>
      </c>
      <c r="T189" t="str">
        <f t="shared" si="22"/>
        <v>-</v>
      </c>
      <c r="U189" t="str">
        <f t="shared" si="23"/>
        <v>-</v>
      </c>
      <c r="V189" t="str">
        <f t="shared" si="24"/>
        <v>-</v>
      </c>
      <c r="W189" t="str">
        <f t="shared" si="25"/>
        <v>-</v>
      </c>
      <c r="X189" t="str">
        <f t="shared" si="26"/>
        <v>-</v>
      </c>
      <c r="Y189" t="str">
        <f t="shared" si="27"/>
        <v>-</v>
      </c>
      <c r="Z189" t="str">
        <f t="shared" si="28"/>
        <v>-</v>
      </c>
      <c r="AA189" t="str">
        <f t="shared" si="29"/>
        <v>-</v>
      </c>
      <c r="AB189" t="str">
        <f>IF(_xlfn.IFNA(VLOOKUP(P189,Set_Ref!$B$6:$B$1048576,1,FALSE),"")&lt;&gt;"","-",FALSE)</f>
        <v>-</v>
      </c>
      <c r="AC189" t="str">
        <f t="shared" si="30"/>
        <v>-</v>
      </c>
      <c r="AD189" t="str">
        <f t="shared" si="31"/>
        <v>-</v>
      </c>
      <c r="AE189" t="b">
        <f t="shared" si="32"/>
        <v>1</v>
      </c>
    </row>
    <row r="190" spans="1:31" x14ac:dyDescent="0.25">
      <c r="A190">
        <v>1</v>
      </c>
      <c r="B190">
        <v>188</v>
      </c>
      <c r="C190">
        <v>261</v>
      </c>
      <c r="D190" s="11" t="s">
        <v>149</v>
      </c>
      <c r="E190" t="s">
        <v>378</v>
      </c>
      <c r="F190" t="s">
        <v>193</v>
      </c>
      <c r="G190" s="11" t="s">
        <v>476</v>
      </c>
      <c r="H190">
        <v>5</v>
      </c>
      <c r="I190" s="11" t="s">
        <v>177</v>
      </c>
      <c r="J190" t="s">
        <v>324</v>
      </c>
      <c r="K190" t="s">
        <v>250</v>
      </c>
      <c r="L190" s="11" t="s">
        <v>39</v>
      </c>
      <c r="M190" s="11" t="s">
        <v>39</v>
      </c>
      <c r="N190" s="11" t="s">
        <v>39</v>
      </c>
      <c r="O190" s="11" t="s">
        <v>39</v>
      </c>
      <c r="P190" t="s">
        <v>9</v>
      </c>
      <c r="Q190">
        <v>410</v>
      </c>
      <c r="R190">
        <v>0</v>
      </c>
      <c r="S190">
        <v>0</v>
      </c>
      <c r="T190" t="str">
        <f t="shared" si="22"/>
        <v>-</v>
      </c>
      <c r="U190" t="str">
        <f t="shared" si="23"/>
        <v>-</v>
      </c>
      <c r="V190" t="str">
        <f t="shared" si="24"/>
        <v>-</v>
      </c>
      <c r="W190" t="str">
        <f t="shared" si="25"/>
        <v>-</v>
      </c>
      <c r="X190" t="str">
        <f t="shared" si="26"/>
        <v>-</v>
      </c>
      <c r="Y190" t="str">
        <f t="shared" si="27"/>
        <v>-</v>
      </c>
      <c r="Z190" t="str">
        <f t="shared" si="28"/>
        <v>-</v>
      </c>
      <c r="AA190" t="str">
        <f t="shared" si="29"/>
        <v>-</v>
      </c>
      <c r="AB190" t="str">
        <f>IF(_xlfn.IFNA(VLOOKUP(P190,Set_Ref!$B$6:$B$1048576,1,FALSE),"")&lt;&gt;"","-",FALSE)</f>
        <v>-</v>
      </c>
      <c r="AC190" t="str">
        <f t="shared" si="30"/>
        <v>-</v>
      </c>
      <c r="AD190" t="str">
        <f t="shared" si="31"/>
        <v>-</v>
      </c>
      <c r="AE190" t="b">
        <f t="shared" si="32"/>
        <v>1</v>
      </c>
    </row>
    <row r="191" spans="1:31" x14ac:dyDescent="0.25">
      <c r="A191">
        <v>1</v>
      </c>
      <c r="B191">
        <v>189</v>
      </c>
      <c r="C191">
        <v>261</v>
      </c>
      <c r="D191" s="11" t="s">
        <v>149</v>
      </c>
      <c r="E191" t="s">
        <v>378</v>
      </c>
      <c r="F191" t="s">
        <v>193</v>
      </c>
      <c r="G191" s="11" t="s">
        <v>476</v>
      </c>
      <c r="H191">
        <v>1</v>
      </c>
      <c r="I191" s="11" t="s">
        <v>177</v>
      </c>
      <c r="J191" t="s">
        <v>477</v>
      </c>
      <c r="K191" t="s">
        <v>251</v>
      </c>
      <c r="L191" s="11" t="s">
        <v>39</v>
      </c>
      <c r="M191" s="11" t="s">
        <v>39</v>
      </c>
      <c r="N191" s="11" t="s">
        <v>39</v>
      </c>
      <c r="O191" s="11" t="s">
        <v>39</v>
      </c>
      <c r="P191" t="s">
        <v>9</v>
      </c>
      <c r="Q191">
        <v>670</v>
      </c>
      <c r="R191">
        <v>0</v>
      </c>
      <c r="S191">
        <v>0</v>
      </c>
      <c r="T191" t="str">
        <f t="shared" si="22"/>
        <v>-</v>
      </c>
      <c r="U191" t="str">
        <f t="shared" si="23"/>
        <v>-</v>
      </c>
      <c r="V191" t="str">
        <f t="shared" si="24"/>
        <v>-</v>
      </c>
      <c r="W191" t="str">
        <f t="shared" si="25"/>
        <v>-</v>
      </c>
      <c r="X191" t="str">
        <f t="shared" si="26"/>
        <v>-</v>
      </c>
      <c r="Y191" t="str">
        <f t="shared" si="27"/>
        <v>-</v>
      </c>
      <c r="Z191" t="str">
        <f t="shared" si="28"/>
        <v>-</v>
      </c>
      <c r="AA191" t="str">
        <f t="shared" si="29"/>
        <v>-</v>
      </c>
      <c r="AB191" t="str">
        <f>IF(_xlfn.IFNA(VLOOKUP(P191,Set_Ref!$B$6:$B$1048576,1,FALSE),"")&lt;&gt;"","-",FALSE)</f>
        <v>-</v>
      </c>
      <c r="AC191" t="str">
        <f t="shared" si="30"/>
        <v>-</v>
      </c>
      <c r="AD191" t="str">
        <f t="shared" si="31"/>
        <v>-</v>
      </c>
      <c r="AE191" t="b">
        <f t="shared" si="32"/>
        <v>1</v>
      </c>
    </row>
    <row r="192" spans="1:31" x14ac:dyDescent="0.25">
      <c r="A192">
        <v>1</v>
      </c>
      <c r="B192">
        <v>190</v>
      </c>
      <c r="C192">
        <v>261</v>
      </c>
      <c r="D192" s="11" t="s">
        <v>149</v>
      </c>
      <c r="E192" t="s">
        <v>378</v>
      </c>
      <c r="F192" t="s">
        <v>193</v>
      </c>
      <c r="G192" s="11" t="s">
        <v>476</v>
      </c>
      <c r="H192">
        <v>6</v>
      </c>
      <c r="I192" s="11" t="s">
        <v>177</v>
      </c>
      <c r="J192" t="s">
        <v>478</v>
      </c>
      <c r="K192" t="s">
        <v>258</v>
      </c>
      <c r="L192" s="11" t="s">
        <v>39</v>
      </c>
      <c r="M192" s="11" t="s">
        <v>39</v>
      </c>
      <c r="N192" s="11" t="s">
        <v>39</v>
      </c>
      <c r="O192" s="11" t="s">
        <v>39</v>
      </c>
      <c r="P192" t="s">
        <v>9</v>
      </c>
      <c r="Q192">
        <v>20</v>
      </c>
      <c r="R192">
        <v>0</v>
      </c>
      <c r="S192">
        <v>0</v>
      </c>
      <c r="T192" t="str">
        <f t="shared" si="22"/>
        <v>-</v>
      </c>
      <c r="U192" t="str">
        <f t="shared" si="23"/>
        <v>-</v>
      </c>
      <c r="V192" t="str">
        <f t="shared" si="24"/>
        <v>-</v>
      </c>
      <c r="W192" t="str">
        <f t="shared" si="25"/>
        <v>-</v>
      </c>
      <c r="X192" t="str">
        <f t="shared" si="26"/>
        <v>-</v>
      </c>
      <c r="Y192" t="str">
        <f t="shared" si="27"/>
        <v>-</v>
      </c>
      <c r="Z192" t="str">
        <f t="shared" si="28"/>
        <v>-</v>
      </c>
      <c r="AA192" t="str">
        <f t="shared" si="29"/>
        <v>-</v>
      </c>
      <c r="AB192" t="str">
        <f>IF(_xlfn.IFNA(VLOOKUP(P192,Set_Ref!$B$6:$B$1048576,1,FALSE),"")&lt;&gt;"","-",FALSE)</f>
        <v>-</v>
      </c>
      <c r="AC192" t="str">
        <f t="shared" si="30"/>
        <v>-</v>
      </c>
      <c r="AD192" t="str">
        <f t="shared" si="31"/>
        <v>-</v>
      </c>
      <c r="AE192" t="b">
        <f t="shared" si="32"/>
        <v>1</v>
      </c>
    </row>
    <row r="193" spans="1:31" x14ac:dyDescent="0.25">
      <c r="A193">
        <v>1</v>
      </c>
      <c r="B193">
        <v>191</v>
      </c>
      <c r="C193">
        <v>261</v>
      </c>
      <c r="D193" s="11" t="s">
        <v>149</v>
      </c>
      <c r="E193" t="s">
        <v>378</v>
      </c>
      <c r="F193" t="s">
        <v>193</v>
      </c>
      <c r="G193" s="11" t="s">
        <v>476</v>
      </c>
      <c r="H193">
        <v>6</v>
      </c>
      <c r="I193" s="11" t="s">
        <v>177</v>
      </c>
      <c r="J193" t="s">
        <v>478</v>
      </c>
      <c r="K193" t="s">
        <v>258</v>
      </c>
      <c r="L193" s="11" t="s">
        <v>39</v>
      </c>
      <c r="M193" s="11" t="s">
        <v>39</v>
      </c>
      <c r="N193" s="11" t="s">
        <v>39</v>
      </c>
      <c r="O193" s="11" t="s">
        <v>39</v>
      </c>
      <c r="P193" t="s">
        <v>9</v>
      </c>
      <c r="Q193">
        <v>30</v>
      </c>
      <c r="R193">
        <v>0</v>
      </c>
      <c r="S193">
        <v>0</v>
      </c>
      <c r="T193" t="str">
        <f t="shared" si="22"/>
        <v>-</v>
      </c>
      <c r="U193" t="str">
        <f t="shared" si="23"/>
        <v>-</v>
      </c>
      <c r="V193" t="str">
        <f t="shared" si="24"/>
        <v>-</v>
      </c>
      <c r="W193" t="str">
        <f t="shared" si="25"/>
        <v>-</v>
      </c>
      <c r="X193" t="str">
        <f t="shared" si="26"/>
        <v>-</v>
      </c>
      <c r="Y193" t="str">
        <f t="shared" si="27"/>
        <v>-</v>
      </c>
      <c r="Z193" t="str">
        <f t="shared" si="28"/>
        <v>-</v>
      </c>
      <c r="AA193" t="str">
        <f t="shared" si="29"/>
        <v>-</v>
      </c>
      <c r="AB193" t="str">
        <f>IF(_xlfn.IFNA(VLOOKUP(P193,Set_Ref!$B$6:$B$1048576,1,FALSE),"")&lt;&gt;"","-",FALSE)</f>
        <v>-</v>
      </c>
      <c r="AC193" t="str">
        <f t="shared" si="30"/>
        <v>-</v>
      </c>
      <c r="AD193" t="str">
        <f t="shared" si="31"/>
        <v>-</v>
      </c>
      <c r="AE193" t="b">
        <f t="shared" si="32"/>
        <v>1</v>
      </c>
    </row>
    <row r="194" spans="1:31" x14ac:dyDescent="0.25">
      <c r="A194">
        <v>1</v>
      </c>
      <c r="B194">
        <v>192</v>
      </c>
      <c r="C194">
        <v>261</v>
      </c>
      <c r="D194" s="11" t="s">
        <v>149</v>
      </c>
      <c r="E194" t="s">
        <v>378</v>
      </c>
      <c r="F194" t="s">
        <v>193</v>
      </c>
      <c r="G194" s="11" t="s">
        <v>476</v>
      </c>
      <c r="H194">
        <v>6</v>
      </c>
      <c r="I194" s="11" t="s">
        <v>177</v>
      </c>
      <c r="J194" t="s">
        <v>478</v>
      </c>
      <c r="K194" t="s">
        <v>258</v>
      </c>
      <c r="L194" s="11" t="s">
        <v>39</v>
      </c>
      <c r="M194" s="11" t="s">
        <v>39</v>
      </c>
      <c r="N194" s="11" t="s">
        <v>39</v>
      </c>
      <c r="O194" s="11" t="s">
        <v>39</v>
      </c>
      <c r="P194" t="s">
        <v>9</v>
      </c>
      <c r="Q194">
        <v>40</v>
      </c>
      <c r="R194">
        <v>0</v>
      </c>
      <c r="S194">
        <v>0</v>
      </c>
      <c r="T194" t="str">
        <f t="shared" si="22"/>
        <v>-</v>
      </c>
      <c r="U194" t="str">
        <f t="shared" si="23"/>
        <v>-</v>
      </c>
      <c r="V194" t="str">
        <f t="shared" si="24"/>
        <v>-</v>
      </c>
      <c r="W194" t="str">
        <f t="shared" si="25"/>
        <v>-</v>
      </c>
      <c r="X194" t="str">
        <f t="shared" si="26"/>
        <v>-</v>
      </c>
      <c r="Y194" t="str">
        <f t="shared" si="27"/>
        <v>-</v>
      </c>
      <c r="Z194" t="str">
        <f t="shared" si="28"/>
        <v>-</v>
      </c>
      <c r="AA194" t="str">
        <f t="shared" si="29"/>
        <v>-</v>
      </c>
      <c r="AB194" t="str">
        <f>IF(_xlfn.IFNA(VLOOKUP(P194,Set_Ref!$B$6:$B$1048576,1,FALSE),"")&lt;&gt;"","-",FALSE)</f>
        <v>-</v>
      </c>
      <c r="AC194" t="str">
        <f t="shared" si="30"/>
        <v>-</v>
      </c>
      <c r="AD194" t="str">
        <f t="shared" si="31"/>
        <v>-</v>
      </c>
      <c r="AE194" t="b">
        <f t="shared" si="32"/>
        <v>1</v>
      </c>
    </row>
    <row r="195" spans="1:31" x14ac:dyDescent="0.25">
      <c r="A195">
        <v>1</v>
      </c>
      <c r="B195">
        <v>193</v>
      </c>
      <c r="C195">
        <v>261</v>
      </c>
      <c r="D195" s="11" t="s">
        <v>149</v>
      </c>
      <c r="E195" t="s">
        <v>378</v>
      </c>
      <c r="F195" t="s">
        <v>193</v>
      </c>
      <c r="G195" s="11" t="s">
        <v>476</v>
      </c>
      <c r="H195">
        <v>6</v>
      </c>
      <c r="I195" s="11" t="s">
        <v>177</v>
      </c>
      <c r="J195" t="s">
        <v>478</v>
      </c>
      <c r="K195" t="s">
        <v>258</v>
      </c>
      <c r="L195" s="11" t="s">
        <v>39</v>
      </c>
      <c r="M195" s="11" t="s">
        <v>39</v>
      </c>
      <c r="N195" s="11" t="s">
        <v>39</v>
      </c>
      <c r="O195" s="11" t="s">
        <v>39</v>
      </c>
      <c r="P195" t="s">
        <v>9</v>
      </c>
      <c r="Q195">
        <v>40</v>
      </c>
      <c r="R195">
        <v>0</v>
      </c>
      <c r="S195">
        <v>0</v>
      </c>
      <c r="T195" t="str">
        <f t="shared" ref="T195:T258" si="33">IF(OR(A195="",A195&lt;1),FALSE,IF(ISNUMBER(A195), IF(INT(A195) = A195, "-", FALSE), FALSE))</f>
        <v>-</v>
      </c>
      <c r="U195" t="str">
        <f t="shared" ref="U195:U258" si="34">IF(OR(B195="",A195&lt;1),FALSE,IF(ISNUMBER(A195), IF(INT(A195) = A195, "-", FALSE), FALSE))</f>
        <v>-</v>
      </c>
      <c r="V195" t="str">
        <f t="shared" ref="V195:V258" si="35">IF(OR(C195="",C195="PilihSalasatu"),FALSE,"-")</f>
        <v>-</v>
      </c>
      <c r="W195" t="str">
        <f t="shared" ref="W195:W258" si="36">IF(D195="",FALSE,"-")</f>
        <v>-</v>
      </c>
      <c r="X195" t="str">
        <f t="shared" ref="X195:X258" si="37">IF(E195="",FALSE,"-")</f>
        <v>-</v>
      </c>
      <c r="Y195" t="str">
        <f t="shared" ref="Y195:Y258" si="38">IF(F195="",FALSE,"-")</f>
        <v>-</v>
      </c>
      <c r="Z195" t="str">
        <f t="shared" ref="Z195:Z258" si="39">IF(I195="",FALSE,"-")</f>
        <v>-</v>
      </c>
      <c r="AA195" t="str">
        <f t="shared" ref="AA195:AA258" si="40">IF(J195="",FALSE,"-")</f>
        <v>-</v>
      </c>
      <c r="AB195" t="str">
        <f>IF(_xlfn.IFNA(VLOOKUP(P195,Set_Ref!$B$6:$B$1048576,1,FALSE),"")&lt;&gt;"","-",FALSE)</f>
        <v>-</v>
      </c>
      <c r="AC195" t="str">
        <f t="shared" ref="AC195:AC258" si="41">IF(OR(Q195="",Q195&lt;0),FALSE,IF(ISNUMBER(Q195),"-",FALSE))</f>
        <v>-</v>
      </c>
      <c r="AD195" t="str">
        <f t="shared" ref="AD195:AD258" si="42">IF(OR(G195="",H195="",I195="",K195=""),FALSE,"-")</f>
        <v>-</v>
      </c>
      <c r="AE195" t="b">
        <f t="shared" ref="AE195:AE258" si="43">IF(COUNTIF(T195:AD195, "FALSE") &gt; 0, FALSE, TRUE)</f>
        <v>1</v>
      </c>
    </row>
    <row r="196" spans="1:31" x14ac:dyDescent="0.25">
      <c r="A196">
        <v>1</v>
      </c>
      <c r="B196">
        <v>194</v>
      </c>
      <c r="C196">
        <v>261</v>
      </c>
      <c r="D196" s="11" t="s">
        <v>149</v>
      </c>
      <c r="E196" t="s">
        <v>378</v>
      </c>
      <c r="F196" t="s">
        <v>193</v>
      </c>
      <c r="G196" s="11" t="s">
        <v>476</v>
      </c>
      <c r="H196">
        <v>6</v>
      </c>
      <c r="I196" s="11" t="s">
        <v>177</v>
      </c>
      <c r="J196" t="s">
        <v>478</v>
      </c>
      <c r="K196" t="s">
        <v>258</v>
      </c>
      <c r="L196" s="11" t="s">
        <v>39</v>
      </c>
      <c r="M196" s="11" t="s">
        <v>39</v>
      </c>
      <c r="N196" s="11" t="s">
        <v>39</v>
      </c>
      <c r="O196" s="11" t="s">
        <v>39</v>
      </c>
      <c r="P196" t="s">
        <v>9</v>
      </c>
      <c r="Q196">
        <v>30</v>
      </c>
      <c r="R196">
        <v>0</v>
      </c>
      <c r="S196">
        <v>0</v>
      </c>
      <c r="T196" t="str">
        <f t="shared" si="33"/>
        <v>-</v>
      </c>
      <c r="U196" t="str">
        <f t="shared" si="34"/>
        <v>-</v>
      </c>
      <c r="V196" t="str">
        <f t="shared" si="35"/>
        <v>-</v>
      </c>
      <c r="W196" t="str">
        <f t="shared" si="36"/>
        <v>-</v>
      </c>
      <c r="X196" t="str">
        <f t="shared" si="37"/>
        <v>-</v>
      </c>
      <c r="Y196" t="str">
        <f t="shared" si="38"/>
        <v>-</v>
      </c>
      <c r="Z196" t="str">
        <f t="shared" si="39"/>
        <v>-</v>
      </c>
      <c r="AA196" t="str">
        <f t="shared" si="40"/>
        <v>-</v>
      </c>
      <c r="AB196" t="str">
        <f>IF(_xlfn.IFNA(VLOOKUP(P196,Set_Ref!$B$6:$B$1048576,1,FALSE),"")&lt;&gt;"","-",FALSE)</f>
        <v>-</v>
      </c>
      <c r="AC196" t="str">
        <f t="shared" si="41"/>
        <v>-</v>
      </c>
      <c r="AD196" t="str">
        <f t="shared" si="42"/>
        <v>-</v>
      </c>
      <c r="AE196" t="b">
        <f t="shared" si="43"/>
        <v>1</v>
      </c>
    </row>
    <row r="197" spans="1:31" x14ac:dyDescent="0.25">
      <c r="A197">
        <v>1</v>
      </c>
      <c r="B197">
        <v>195</v>
      </c>
      <c r="C197">
        <v>261</v>
      </c>
      <c r="D197" s="11" t="s">
        <v>149</v>
      </c>
      <c r="E197" t="s">
        <v>378</v>
      </c>
      <c r="F197" t="s">
        <v>193</v>
      </c>
      <c r="G197" s="11" t="s">
        <v>476</v>
      </c>
      <c r="H197">
        <v>6</v>
      </c>
      <c r="I197" s="11" t="s">
        <v>177</v>
      </c>
      <c r="J197" t="s">
        <v>478</v>
      </c>
      <c r="K197" t="s">
        <v>258</v>
      </c>
      <c r="L197" s="11" t="s">
        <v>39</v>
      </c>
      <c r="M197" s="11" t="s">
        <v>39</v>
      </c>
      <c r="N197" s="11" t="s">
        <v>39</v>
      </c>
      <c r="O197" s="11" t="s">
        <v>39</v>
      </c>
      <c r="P197" t="s">
        <v>9</v>
      </c>
      <c r="Q197">
        <v>11</v>
      </c>
      <c r="R197">
        <v>0</v>
      </c>
      <c r="S197">
        <v>0</v>
      </c>
      <c r="T197" t="str">
        <f t="shared" si="33"/>
        <v>-</v>
      </c>
      <c r="U197" t="str">
        <f t="shared" si="34"/>
        <v>-</v>
      </c>
      <c r="V197" t="str">
        <f t="shared" si="35"/>
        <v>-</v>
      </c>
      <c r="W197" t="str">
        <f t="shared" si="36"/>
        <v>-</v>
      </c>
      <c r="X197" t="str">
        <f t="shared" si="37"/>
        <v>-</v>
      </c>
      <c r="Y197" t="str">
        <f t="shared" si="38"/>
        <v>-</v>
      </c>
      <c r="Z197" t="str">
        <f t="shared" si="39"/>
        <v>-</v>
      </c>
      <c r="AA197" t="str">
        <f t="shared" si="40"/>
        <v>-</v>
      </c>
      <c r="AB197" t="str">
        <f>IF(_xlfn.IFNA(VLOOKUP(P197,Set_Ref!$B$6:$B$1048576,1,FALSE),"")&lt;&gt;"","-",FALSE)</f>
        <v>-</v>
      </c>
      <c r="AC197" t="str">
        <f t="shared" si="41"/>
        <v>-</v>
      </c>
      <c r="AD197" t="str">
        <f t="shared" si="42"/>
        <v>-</v>
      </c>
      <c r="AE197" t="b">
        <f t="shared" si="43"/>
        <v>1</v>
      </c>
    </row>
    <row r="198" spans="1:31" x14ac:dyDescent="0.25">
      <c r="A198">
        <v>1</v>
      </c>
      <c r="B198">
        <v>196</v>
      </c>
      <c r="C198">
        <v>261</v>
      </c>
      <c r="D198" s="11" t="s">
        <v>149</v>
      </c>
      <c r="E198" t="s">
        <v>378</v>
      </c>
      <c r="F198" t="s">
        <v>193</v>
      </c>
      <c r="G198" s="11" t="s">
        <v>476</v>
      </c>
      <c r="H198">
        <v>6</v>
      </c>
      <c r="I198" s="11" t="s">
        <v>177</v>
      </c>
      <c r="J198" t="s">
        <v>478</v>
      </c>
      <c r="K198" t="s">
        <v>258</v>
      </c>
      <c r="L198" s="11" t="s">
        <v>39</v>
      </c>
      <c r="M198" s="11" t="s">
        <v>39</v>
      </c>
      <c r="N198" s="11" t="s">
        <v>39</v>
      </c>
      <c r="O198" s="11" t="s">
        <v>39</v>
      </c>
      <c r="P198" t="s">
        <v>9</v>
      </c>
      <c r="Q198">
        <v>20</v>
      </c>
      <c r="R198">
        <v>0</v>
      </c>
      <c r="S198">
        <v>0</v>
      </c>
      <c r="T198" t="str">
        <f t="shared" si="33"/>
        <v>-</v>
      </c>
      <c r="U198" t="str">
        <f t="shared" si="34"/>
        <v>-</v>
      </c>
      <c r="V198" t="str">
        <f t="shared" si="35"/>
        <v>-</v>
      </c>
      <c r="W198" t="str">
        <f t="shared" si="36"/>
        <v>-</v>
      </c>
      <c r="X198" t="str">
        <f t="shared" si="37"/>
        <v>-</v>
      </c>
      <c r="Y198" t="str">
        <f t="shared" si="38"/>
        <v>-</v>
      </c>
      <c r="Z198" t="str">
        <f t="shared" si="39"/>
        <v>-</v>
      </c>
      <c r="AA198" t="str">
        <f t="shared" si="40"/>
        <v>-</v>
      </c>
      <c r="AB198" t="str">
        <f>IF(_xlfn.IFNA(VLOOKUP(P198,Set_Ref!$B$6:$B$1048576,1,FALSE),"")&lt;&gt;"","-",FALSE)</f>
        <v>-</v>
      </c>
      <c r="AC198" t="str">
        <f t="shared" si="41"/>
        <v>-</v>
      </c>
      <c r="AD198" t="str">
        <f t="shared" si="42"/>
        <v>-</v>
      </c>
      <c r="AE198" t="b">
        <f t="shared" si="43"/>
        <v>1</v>
      </c>
    </row>
    <row r="199" spans="1:31" x14ac:dyDescent="0.25">
      <c r="A199">
        <v>1</v>
      </c>
      <c r="B199">
        <v>197</v>
      </c>
      <c r="C199">
        <v>261</v>
      </c>
      <c r="D199" s="11" t="s">
        <v>149</v>
      </c>
      <c r="E199" t="s">
        <v>378</v>
      </c>
      <c r="F199" t="s">
        <v>193</v>
      </c>
      <c r="G199" s="11" t="s">
        <v>476</v>
      </c>
      <c r="H199">
        <v>6</v>
      </c>
      <c r="I199" s="11" t="s">
        <v>177</v>
      </c>
      <c r="J199" t="s">
        <v>478</v>
      </c>
      <c r="K199" t="s">
        <v>258</v>
      </c>
      <c r="L199" s="11" t="s">
        <v>39</v>
      </c>
      <c r="M199" s="11" t="s">
        <v>39</v>
      </c>
      <c r="N199" s="11" t="s">
        <v>39</v>
      </c>
      <c r="O199" s="11" t="s">
        <v>39</v>
      </c>
      <c r="P199" t="s">
        <v>9</v>
      </c>
      <c r="Q199">
        <v>10</v>
      </c>
      <c r="R199">
        <v>0</v>
      </c>
      <c r="S199">
        <v>0</v>
      </c>
      <c r="T199" t="str">
        <f t="shared" si="33"/>
        <v>-</v>
      </c>
      <c r="U199" t="str">
        <f t="shared" si="34"/>
        <v>-</v>
      </c>
      <c r="V199" t="str">
        <f t="shared" si="35"/>
        <v>-</v>
      </c>
      <c r="W199" t="str">
        <f t="shared" si="36"/>
        <v>-</v>
      </c>
      <c r="X199" t="str">
        <f t="shared" si="37"/>
        <v>-</v>
      </c>
      <c r="Y199" t="str">
        <f t="shared" si="38"/>
        <v>-</v>
      </c>
      <c r="Z199" t="str">
        <f t="shared" si="39"/>
        <v>-</v>
      </c>
      <c r="AA199" t="str">
        <f t="shared" si="40"/>
        <v>-</v>
      </c>
      <c r="AB199" t="str">
        <f>IF(_xlfn.IFNA(VLOOKUP(P199,Set_Ref!$B$6:$B$1048576,1,FALSE),"")&lt;&gt;"","-",FALSE)</f>
        <v>-</v>
      </c>
      <c r="AC199" t="str">
        <f t="shared" si="41"/>
        <v>-</v>
      </c>
      <c r="AD199" t="str">
        <f t="shared" si="42"/>
        <v>-</v>
      </c>
      <c r="AE199" t="b">
        <f t="shared" si="43"/>
        <v>1</v>
      </c>
    </row>
    <row r="200" spans="1:31" x14ac:dyDescent="0.25">
      <c r="A200">
        <v>1</v>
      </c>
      <c r="B200">
        <v>198</v>
      </c>
      <c r="C200">
        <v>261</v>
      </c>
      <c r="D200" s="11" t="s">
        <v>149</v>
      </c>
      <c r="E200" t="s">
        <v>382</v>
      </c>
      <c r="F200" t="s">
        <v>194</v>
      </c>
      <c r="G200" s="11" t="s">
        <v>479</v>
      </c>
      <c r="H200">
        <v>1</v>
      </c>
      <c r="I200" s="11" t="s">
        <v>177</v>
      </c>
      <c r="J200" t="s">
        <v>325</v>
      </c>
      <c r="K200" t="s">
        <v>251</v>
      </c>
      <c r="L200" s="11" t="s">
        <v>39</v>
      </c>
      <c r="M200" s="11" t="s">
        <v>39</v>
      </c>
      <c r="N200" s="11" t="s">
        <v>39</v>
      </c>
      <c r="O200" s="11" t="s">
        <v>39</v>
      </c>
      <c r="P200" t="s">
        <v>9</v>
      </c>
      <c r="Q200">
        <v>560</v>
      </c>
      <c r="R200">
        <v>0</v>
      </c>
      <c r="S200">
        <v>0</v>
      </c>
      <c r="T200" t="str">
        <f t="shared" si="33"/>
        <v>-</v>
      </c>
      <c r="U200" t="str">
        <f t="shared" si="34"/>
        <v>-</v>
      </c>
      <c r="V200" t="str">
        <f t="shared" si="35"/>
        <v>-</v>
      </c>
      <c r="W200" t="str">
        <f t="shared" si="36"/>
        <v>-</v>
      </c>
      <c r="X200" t="str">
        <f t="shared" si="37"/>
        <v>-</v>
      </c>
      <c r="Y200" t="str">
        <f t="shared" si="38"/>
        <v>-</v>
      </c>
      <c r="Z200" t="str">
        <f t="shared" si="39"/>
        <v>-</v>
      </c>
      <c r="AA200" t="str">
        <f t="shared" si="40"/>
        <v>-</v>
      </c>
      <c r="AB200" t="str">
        <f>IF(_xlfn.IFNA(VLOOKUP(P200,Set_Ref!$B$6:$B$1048576,1,FALSE),"")&lt;&gt;"","-",FALSE)</f>
        <v>-</v>
      </c>
      <c r="AC200" t="str">
        <f t="shared" si="41"/>
        <v>-</v>
      </c>
      <c r="AD200" t="str">
        <f t="shared" si="42"/>
        <v>-</v>
      </c>
      <c r="AE200" t="b">
        <f t="shared" si="43"/>
        <v>1</v>
      </c>
    </row>
    <row r="201" spans="1:31" x14ac:dyDescent="0.25">
      <c r="A201">
        <v>1</v>
      </c>
      <c r="B201">
        <v>199</v>
      </c>
      <c r="C201">
        <v>261</v>
      </c>
      <c r="D201" s="11" t="s">
        <v>149</v>
      </c>
      <c r="E201" t="s">
        <v>382</v>
      </c>
      <c r="F201" t="s">
        <v>194</v>
      </c>
      <c r="G201" s="11" t="s">
        <v>479</v>
      </c>
      <c r="H201">
        <v>2</v>
      </c>
      <c r="I201" s="11" t="s">
        <v>427</v>
      </c>
      <c r="J201" t="s">
        <v>283</v>
      </c>
      <c r="K201" t="s">
        <v>225</v>
      </c>
      <c r="L201" s="11" t="s">
        <v>39</v>
      </c>
      <c r="M201" s="11" t="s">
        <v>39</v>
      </c>
      <c r="N201" s="11" t="s">
        <v>39</v>
      </c>
      <c r="O201" s="11" t="s">
        <v>39</v>
      </c>
      <c r="P201" t="s">
        <v>9</v>
      </c>
      <c r="Q201">
        <v>200</v>
      </c>
      <c r="R201">
        <v>0</v>
      </c>
      <c r="S201">
        <v>0</v>
      </c>
      <c r="T201" t="str">
        <f t="shared" si="33"/>
        <v>-</v>
      </c>
      <c r="U201" t="str">
        <f t="shared" si="34"/>
        <v>-</v>
      </c>
      <c r="V201" t="str">
        <f t="shared" si="35"/>
        <v>-</v>
      </c>
      <c r="W201" t="str">
        <f t="shared" si="36"/>
        <v>-</v>
      </c>
      <c r="X201" t="str">
        <f t="shared" si="37"/>
        <v>-</v>
      </c>
      <c r="Y201" t="str">
        <f t="shared" si="38"/>
        <v>-</v>
      </c>
      <c r="Z201" t="str">
        <f t="shared" si="39"/>
        <v>-</v>
      </c>
      <c r="AA201" t="str">
        <f t="shared" si="40"/>
        <v>-</v>
      </c>
      <c r="AB201" t="str">
        <f>IF(_xlfn.IFNA(VLOOKUP(P201,Set_Ref!$B$6:$B$1048576,1,FALSE),"")&lt;&gt;"","-",FALSE)</f>
        <v>-</v>
      </c>
      <c r="AC201" t="str">
        <f t="shared" si="41"/>
        <v>-</v>
      </c>
      <c r="AD201" t="str">
        <f t="shared" si="42"/>
        <v>-</v>
      </c>
      <c r="AE201" t="b">
        <f t="shared" si="43"/>
        <v>1</v>
      </c>
    </row>
    <row r="202" spans="1:31" x14ac:dyDescent="0.25">
      <c r="A202">
        <v>1</v>
      </c>
      <c r="B202">
        <v>200</v>
      </c>
      <c r="C202">
        <v>261</v>
      </c>
      <c r="D202" s="11" t="s">
        <v>149</v>
      </c>
      <c r="E202" t="s">
        <v>382</v>
      </c>
      <c r="F202" t="s">
        <v>194</v>
      </c>
      <c r="G202" s="11" t="s">
        <v>479</v>
      </c>
      <c r="H202">
        <v>3</v>
      </c>
      <c r="I202" s="11" t="s">
        <v>480</v>
      </c>
      <c r="J202" t="s">
        <v>383</v>
      </c>
      <c r="K202" t="s">
        <v>259</v>
      </c>
      <c r="L202" s="11" t="s">
        <v>39</v>
      </c>
      <c r="M202" s="11" t="s">
        <v>39</v>
      </c>
      <c r="N202" s="11" t="s">
        <v>39</v>
      </c>
      <c r="O202" s="11" t="s">
        <v>39</v>
      </c>
      <c r="P202" t="s">
        <v>9</v>
      </c>
      <c r="Q202">
        <v>1250</v>
      </c>
      <c r="R202">
        <v>0</v>
      </c>
      <c r="S202">
        <v>0</v>
      </c>
      <c r="T202" t="str">
        <f t="shared" si="33"/>
        <v>-</v>
      </c>
      <c r="U202" t="str">
        <f t="shared" si="34"/>
        <v>-</v>
      </c>
      <c r="V202" t="str">
        <f t="shared" si="35"/>
        <v>-</v>
      </c>
      <c r="W202" t="str">
        <f t="shared" si="36"/>
        <v>-</v>
      </c>
      <c r="X202" t="str">
        <f t="shared" si="37"/>
        <v>-</v>
      </c>
      <c r="Y202" t="str">
        <f t="shared" si="38"/>
        <v>-</v>
      </c>
      <c r="Z202" t="str">
        <f t="shared" si="39"/>
        <v>-</v>
      </c>
      <c r="AA202" t="str">
        <f t="shared" si="40"/>
        <v>-</v>
      </c>
      <c r="AB202" t="str">
        <f>IF(_xlfn.IFNA(VLOOKUP(P202,Set_Ref!$B$6:$B$1048576,1,FALSE),"")&lt;&gt;"","-",FALSE)</f>
        <v>-</v>
      </c>
      <c r="AC202" t="str">
        <f t="shared" si="41"/>
        <v>-</v>
      </c>
      <c r="AD202" t="str">
        <f t="shared" si="42"/>
        <v>-</v>
      </c>
      <c r="AE202" t="b">
        <f t="shared" si="43"/>
        <v>1</v>
      </c>
    </row>
    <row r="203" spans="1:31" x14ac:dyDescent="0.25">
      <c r="A203">
        <v>1</v>
      </c>
      <c r="B203">
        <v>201</v>
      </c>
      <c r="C203">
        <v>261</v>
      </c>
      <c r="D203" s="11" t="s">
        <v>149</v>
      </c>
      <c r="E203" t="s">
        <v>382</v>
      </c>
      <c r="F203" t="s">
        <v>194</v>
      </c>
      <c r="G203" s="11" t="s">
        <v>479</v>
      </c>
      <c r="H203">
        <v>4</v>
      </c>
      <c r="I203" s="11" t="s">
        <v>172</v>
      </c>
      <c r="J203" t="s">
        <v>384</v>
      </c>
      <c r="K203" t="s">
        <v>219</v>
      </c>
      <c r="L203" s="11" t="s">
        <v>39</v>
      </c>
      <c r="M203" s="11" t="s">
        <v>39</v>
      </c>
      <c r="N203" s="11" t="s">
        <v>39</v>
      </c>
      <c r="O203" s="11" t="s">
        <v>39</v>
      </c>
      <c r="P203" t="s">
        <v>11</v>
      </c>
      <c r="Q203">
        <v>78</v>
      </c>
      <c r="R203">
        <v>0</v>
      </c>
      <c r="S203">
        <v>0</v>
      </c>
      <c r="T203" t="str">
        <f t="shared" si="33"/>
        <v>-</v>
      </c>
      <c r="U203" t="str">
        <f t="shared" si="34"/>
        <v>-</v>
      </c>
      <c r="V203" t="str">
        <f t="shared" si="35"/>
        <v>-</v>
      </c>
      <c r="W203" t="str">
        <f t="shared" si="36"/>
        <v>-</v>
      </c>
      <c r="X203" t="str">
        <f t="shared" si="37"/>
        <v>-</v>
      </c>
      <c r="Y203" t="str">
        <f t="shared" si="38"/>
        <v>-</v>
      </c>
      <c r="Z203" t="str">
        <f t="shared" si="39"/>
        <v>-</v>
      </c>
      <c r="AA203" t="str">
        <f t="shared" si="40"/>
        <v>-</v>
      </c>
      <c r="AB203" t="str">
        <f>IF(_xlfn.IFNA(VLOOKUP(P203,Set_Ref!$B$6:$B$1048576,1,FALSE),"")&lt;&gt;"","-",FALSE)</f>
        <v>-</v>
      </c>
      <c r="AC203" t="str">
        <f t="shared" si="41"/>
        <v>-</v>
      </c>
      <c r="AD203" t="str">
        <f t="shared" si="42"/>
        <v>-</v>
      </c>
      <c r="AE203" t="b">
        <f t="shared" si="43"/>
        <v>1</v>
      </c>
    </row>
    <row r="204" spans="1:31" x14ac:dyDescent="0.25">
      <c r="A204">
        <v>1</v>
      </c>
      <c r="B204">
        <v>202</v>
      </c>
      <c r="C204">
        <v>261</v>
      </c>
      <c r="D204" s="11" t="s">
        <v>149</v>
      </c>
      <c r="E204" t="s">
        <v>382</v>
      </c>
      <c r="F204" t="s">
        <v>194</v>
      </c>
      <c r="G204" s="11" t="s">
        <v>479</v>
      </c>
      <c r="H204">
        <v>5</v>
      </c>
      <c r="I204" s="11" t="s">
        <v>178</v>
      </c>
      <c r="J204" t="s">
        <v>322</v>
      </c>
      <c r="K204" t="s">
        <v>248</v>
      </c>
      <c r="L204" s="11" t="s">
        <v>39</v>
      </c>
      <c r="M204" s="11" t="s">
        <v>39</v>
      </c>
      <c r="N204" s="11" t="s">
        <v>39</v>
      </c>
      <c r="O204" s="11" t="s">
        <v>39</v>
      </c>
      <c r="P204" t="s">
        <v>38</v>
      </c>
      <c r="Q204">
        <v>3</v>
      </c>
      <c r="R204">
        <v>0</v>
      </c>
      <c r="S204">
        <v>0</v>
      </c>
      <c r="T204" t="str">
        <f t="shared" si="33"/>
        <v>-</v>
      </c>
      <c r="U204" t="str">
        <f t="shared" si="34"/>
        <v>-</v>
      </c>
      <c r="V204" t="str">
        <f t="shared" si="35"/>
        <v>-</v>
      </c>
      <c r="W204" t="str">
        <f t="shared" si="36"/>
        <v>-</v>
      </c>
      <c r="X204" t="str">
        <f t="shared" si="37"/>
        <v>-</v>
      </c>
      <c r="Y204" t="str">
        <f t="shared" si="38"/>
        <v>-</v>
      </c>
      <c r="Z204" t="str">
        <f t="shared" si="39"/>
        <v>-</v>
      </c>
      <c r="AA204" t="str">
        <f t="shared" si="40"/>
        <v>-</v>
      </c>
      <c r="AB204" t="str">
        <f>IF(_xlfn.IFNA(VLOOKUP(P204,Set_Ref!$B$6:$B$1048576,1,FALSE),"")&lt;&gt;"","-",FALSE)</f>
        <v>-</v>
      </c>
      <c r="AC204" t="str">
        <f t="shared" si="41"/>
        <v>-</v>
      </c>
      <c r="AD204" t="str">
        <f t="shared" si="42"/>
        <v>-</v>
      </c>
      <c r="AE204" t="b">
        <f t="shared" si="43"/>
        <v>1</v>
      </c>
    </row>
    <row r="205" spans="1:31" x14ac:dyDescent="0.25">
      <c r="A205">
        <v>1</v>
      </c>
      <c r="B205">
        <v>203</v>
      </c>
      <c r="C205">
        <v>261</v>
      </c>
      <c r="D205" s="11" t="s">
        <v>149</v>
      </c>
      <c r="E205" t="s">
        <v>382</v>
      </c>
      <c r="F205" t="s">
        <v>194</v>
      </c>
      <c r="G205" s="11" t="s">
        <v>479</v>
      </c>
      <c r="H205">
        <v>6</v>
      </c>
      <c r="I205" s="11" t="s">
        <v>466</v>
      </c>
      <c r="J205" t="s">
        <v>323</v>
      </c>
      <c r="K205" t="s">
        <v>249</v>
      </c>
      <c r="L205" s="11" t="s">
        <v>39</v>
      </c>
      <c r="M205" s="11" t="s">
        <v>39</v>
      </c>
      <c r="N205" s="11" t="s">
        <v>39</v>
      </c>
      <c r="O205" s="11" t="s">
        <v>39</v>
      </c>
      <c r="P205" t="s">
        <v>10</v>
      </c>
      <c r="Q205">
        <v>2</v>
      </c>
      <c r="R205">
        <v>0</v>
      </c>
      <c r="S205">
        <v>0</v>
      </c>
      <c r="T205" t="str">
        <f t="shared" si="33"/>
        <v>-</v>
      </c>
      <c r="U205" t="str">
        <f t="shared" si="34"/>
        <v>-</v>
      </c>
      <c r="V205" t="str">
        <f t="shared" si="35"/>
        <v>-</v>
      </c>
      <c r="W205" t="str">
        <f t="shared" si="36"/>
        <v>-</v>
      </c>
      <c r="X205" t="str">
        <f t="shared" si="37"/>
        <v>-</v>
      </c>
      <c r="Y205" t="str">
        <f t="shared" si="38"/>
        <v>-</v>
      </c>
      <c r="Z205" t="str">
        <f t="shared" si="39"/>
        <v>-</v>
      </c>
      <c r="AA205" t="str">
        <f t="shared" si="40"/>
        <v>-</v>
      </c>
      <c r="AB205" t="str">
        <f>IF(_xlfn.IFNA(VLOOKUP(P205,Set_Ref!$B$6:$B$1048576,1,FALSE),"")&lt;&gt;"","-",FALSE)</f>
        <v>-</v>
      </c>
      <c r="AC205" t="str">
        <f t="shared" si="41"/>
        <v>-</v>
      </c>
      <c r="AD205" t="str">
        <f t="shared" si="42"/>
        <v>-</v>
      </c>
      <c r="AE205" t="b">
        <f t="shared" si="43"/>
        <v>1</v>
      </c>
    </row>
    <row r="206" spans="1:31" x14ac:dyDescent="0.25">
      <c r="A206">
        <v>1</v>
      </c>
      <c r="B206">
        <v>204</v>
      </c>
      <c r="C206">
        <v>261</v>
      </c>
      <c r="D206" s="11" t="s">
        <v>149</v>
      </c>
      <c r="E206" t="s">
        <v>382</v>
      </c>
      <c r="F206" t="s">
        <v>194</v>
      </c>
      <c r="G206" s="11" t="s">
        <v>479</v>
      </c>
      <c r="H206">
        <v>7</v>
      </c>
      <c r="I206" s="11" t="s">
        <v>178</v>
      </c>
      <c r="J206" t="s">
        <v>385</v>
      </c>
      <c r="K206" t="s">
        <v>260</v>
      </c>
      <c r="L206" s="11" t="s">
        <v>39</v>
      </c>
      <c r="M206" s="11" t="s">
        <v>39</v>
      </c>
      <c r="N206" s="11" t="s">
        <v>39</v>
      </c>
      <c r="O206" s="11" t="s">
        <v>39</v>
      </c>
      <c r="P206" t="s">
        <v>10</v>
      </c>
      <c r="Q206">
        <v>370</v>
      </c>
      <c r="R206">
        <v>0</v>
      </c>
      <c r="S206">
        <v>0</v>
      </c>
      <c r="T206" t="str">
        <f t="shared" si="33"/>
        <v>-</v>
      </c>
      <c r="U206" t="str">
        <f t="shared" si="34"/>
        <v>-</v>
      </c>
      <c r="V206" t="str">
        <f t="shared" si="35"/>
        <v>-</v>
      </c>
      <c r="W206" t="str">
        <f t="shared" si="36"/>
        <v>-</v>
      </c>
      <c r="X206" t="str">
        <f t="shared" si="37"/>
        <v>-</v>
      </c>
      <c r="Y206" t="str">
        <f t="shared" si="38"/>
        <v>-</v>
      </c>
      <c r="Z206" t="str">
        <f t="shared" si="39"/>
        <v>-</v>
      </c>
      <c r="AA206" t="str">
        <f t="shared" si="40"/>
        <v>-</v>
      </c>
      <c r="AB206" t="str">
        <f>IF(_xlfn.IFNA(VLOOKUP(P206,Set_Ref!$B$6:$B$1048576,1,FALSE),"")&lt;&gt;"","-",FALSE)</f>
        <v>-</v>
      </c>
      <c r="AC206" t="str">
        <f t="shared" si="41"/>
        <v>-</v>
      </c>
      <c r="AD206" t="str">
        <f t="shared" si="42"/>
        <v>-</v>
      </c>
      <c r="AE206" t="b">
        <f t="shared" si="43"/>
        <v>1</v>
      </c>
    </row>
    <row r="207" spans="1:31" x14ac:dyDescent="0.25">
      <c r="A207">
        <v>1</v>
      </c>
      <c r="B207">
        <v>205</v>
      </c>
      <c r="C207">
        <v>261</v>
      </c>
      <c r="D207" s="11" t="s">
        <v>149</v>
      </c>
      <c r="E207" t="s">
        <v>382</v>
      </c>
      <c r="F207" t="s">
        <v>194</v>
      </c>
      <c r="G207" s="11" t="s">
        <v>479</v>
      </c>
      <c r="H207">
        <v>8</v>
      </c>
      <c r="I207" s="11" t="s">
        <v>427</v>
      </c>
      <c r="J207" t="s">
        <v>319</v>
      </c>
      <c r="K207" t="s">
        <v>247</v>
      </c>
      <c r="L207" s="11" t="s">
        <v>39</v>
      </c>
      <c r="M207" s="11" t="s">
        <v>39</v>
      </c>
      <c r="N207" s="11" t="s">
        <v>39</v>
      </c>
      <c r="O207" s="11" t="s">
        <v>39</v>
      </c>
      <c r="P207" t="s">
        <v>9</v>
      </c>
      <c r="Q207">
        <v>200</v>
      </c>
      <c r="R207">
        <v>0</v>
      </c>
      <c r="S207">
        <v>0</v>
      </c>
      <c r="T207" t="str">
        <f t="shared" si="33"/>
        <v>-</v>
      </c>
      <c r="U207" t="str">
        <f t="shared" si="34"/>
        <v>-</v>
      </c>
      <c r="V207" t="str">
        <f t="shared" si="35"/>
        <v>-</v>
      </c>
      <c r="W207" t="str">
        <f t="shared" si="36"/>
        <v>-</v>
      </c>
      <c r="X207" t="str">
        <f t="shared" si="37"/>
        <v>-</v>
      </c>
      <c r="Y207" t="str">
        <f t="shared" si="38"/>
        <v>-</v>
      </c>
      <c r="Z207" t="str">
        <f t="shared" si="39"/>
        <v>-</v>
      </c>
      <c r="AA207" t="str">
        <f t="shared" si="40"/>
        <v>-</v>
      </c>
      <c r="AB207" t="str">
        <f>IF(_xlfn.IFNA(VLOOKUP(P207,Set_Ref!$B$6:$B$1048576,1,FALSE),"")&lt;&gt;"","-",FALSE)</f>
        <v>-</v>
      </c>
      <c r="AC207" t="str">
        <f t="shared" si="41"/>
        <v>-</v>
      </c>
      <c r="AD207" t="str">
        <f t="shared" si="42"/>
        <v>-</v>
      </c>
      <c r="AE207" t="b">
        <f t="shared" si="43"/>
        <v>1</v>
      </c>
    </row>
    <row r="208" spans="1:31" x14ac:dyDescent="0.25">
      <c r="A208">
        <v>1</v>
      </c>
      <c r="B208">
        <v>206</v>
      </c>
      <c r="C208">
        <v>261</v>
      </c>
      <c r="D208" s="11" t="s">
        <v>149</v>
      </c>
      <c r="E208" t="s">
        <v>382</v>
      </c>
      <c r="F208" t="s">
        <v>194</v>
      </c>
      <c r="G208" s="11" t="s">
        <v>479</v>
      </c>
      <c r="H208">
        <v>9</v>
      </c>
      <c r="I208" s="11" t="s">
        <v>430</v>
      </c>
      <c r="J208" t="s">
        <v>278</v>
      </c>
      <c r="K208" t="s">
        <v>218</v>
      </c>
      <c r="L208" s="11" t="s">
        <v>39</v>
      </c>
      <c r="M208" s="11" t="s">
        <v>39</v>
      </c>
      <c r="N208" s="11" t="s">
        <v>39</v>
      </c>
      <c r="O208" s="11" t="s">
        <v>39</v>
      </c>
      <c r="P208" t="s">
        <v>58</v>
      </c>
      <c r="Q208">
        <v>0.2</v>
      </c>
      <c r="R208">
        <v>0</v>
      </c>
      <c r="S208">
        <v>0</v>
      </c>
      <c r="T208" t="str">
        <f t="shared" si="33"/>
        <v>-</v>
      </c>
      <c r="U208" t="str">
        <f t="shared" si="34"/>
        <v>-</v>
      </c>
      <c r="V208" t="str">
        <f t="shared" si="35"/>
        <v>-</v>
      </c>
      <c r="W208" t="str">
        <f t="shared" si="36"/>
        <v>-</v>
      </c>
      <c r="X208" t="str">
        <f t="shared" si="37"/>
        <v>-</v>
      </c>
      <c r="Y208" t="str">
        <f t="shared" si="38"/>
        <v>-</v>
      </c>
      <c r="Z208" t="str">
        <f t="shared" si="39"/>
        <v>-</v>
      </c>
      <c r="AA208" t="str">
        <f t="shared" si="40"/>
        <v>-</v>
      </c>
      <c r="AB208" t="str">
        <f>IF(_xlfn.IFNA(VLOOKUP(P208,Set_Ref!$B$6:$B$1048576,1,FALSE),"")&lt;&gt;"","-",FALSE)</f>
        <v>-</v>
      </c>
      <c r="AC208" t="str">
        <f t="shared" si="41"/>
        <v>-</v>
      </c>
      <c r="AD208" t="str">
        <f t="shared" si="42"/>
        <v>-</v>
      </c>
      <c r="AE208" t="b">
        <f t="shared" si="43"/>
        <v>1</v>
      </c>
    </row>
    <row r="209" spans="1:31" x14ac:dyDescent="0.25">
      <c r="A209">
        <v>1</v>
      </c>
      <c r="B209">
        <v>207</v>
      </c>
      <c r="C209">
        <v>261</v>
      </c>
      <c r="D209" s="11" t="s">
        <v>149</v>
      </c>
      <c r="E209" t="s">
        <v>382</v>
      </c>
      <c r="F209" t="s">
        <v>194</v>
      </c>
      <c r="G209" s="11" t="s">
        <v>479</v>
      </c>
      <c r="H209">
        <v>10</v>
      </c>
      <c r="I209" s="11" t="s">
        <v>433</v>
      </c>
      <c r="J209" t="s">
        <v>281</v>
      </c>
      <c r="K209" t="s">
        <v>222</v>
      </c>
      <c r="L209" s="11" t="s">
        <v>39</v>
      </c>
      <c r="M209" s="11" t="s">
        <v>39</v>
      </c>
      <c r="N209" s="11" t="s">
        <v>39</v>
      </c>
      <c r="O209" s="11" t="s">
        <v>39</v>
      </c>
      <c r="P209" t="s">
        <v>10</v>
      </c>
      <c r="Q209">
        <v>714</v>
      </c>
      <c r="R209">
        <v>0</v>
      </c>
      <c r="S209">
        <v>0</v>
      </c>
      <c r="T209" t="str">
        <f t="shared" si="33"/>
        <v>-</v>
      </c>
      <c r="U209" t="str">
        <f t="shared" si="34"/>
        <v>-</v>
      </c>
      <c r="V209" t="str">
        <f t="shared" si="35"/>
        <v>-</v>
      </c>
      <c r="W209" t="str">
        <f t="shared" si="36"/>
        <v>-</v>
      </c>
      <c r="X209" t="str">
        <f t="shared" si="37"/>
        <v>-</v>
      </c>
      <c r="Y209" t="str">
        <f t="shared" si="38"/>
        <v>-</v>
      </c>
      <c r="Z209" t="str">
        <f t="shared" si="39"/>
        <v>-</v>
      </c>
      <c r="AA209" t="str">
        <f t="shared" si="40"/>
        <v>-</v>
      </c>
      <c r="AB209" t="str">
        <f>IF(_xlfn.IFNA(VLOOKUP(P209,Set_Ref!$B$6:$B$1048576,1,FALSE),"")&lt;&gt;"","-",FALSE)</f>
        <v>-</v>
      </c>
      <c r="AC209" t="str">
        <f t="shared" si="41"/>
        <v>-</v>
      </c>
      <c r="AD209" t="str">
        <f t="shared" si="42"/>
        <v>-</v>
      </c>
      <c r="AE209" t="b">
        <f t="shared" si="43"/>
        <v>1</v>
      </c>
    </row>
    <row r="210" spans="1:31" x14ac:dyDescent="0.25">
      <c r="A210">
        <v>1</v>
      </c>
      <c r="B210">
        <v>208</v>
      </c>
      <c r="C210">
        <v>261</v>
      </c>
      <c r="D210" s="11" t="s">
        <v>149</v>
      </c>
      <c r="E210" t="s">
        <v>386</v>
      </c>
      <c r="F210" t="s">
        <v>194</v>
      </c>
      <c r="G210" s="11" t="s">
        <v>481</v>
      </c>
      <c r="H210">
        <v>1</v>
      </c>
      <c r="I210" s="11" t="s">
        <v>177</v>
      </c>
      <c r="J210" t="s">
        <v>477</v>
      </c>
      <c r="K210" t="s">
        <v>251</v>
      </c>
      <c r="L210" s="11" t="s">
        <v>39</v>
      </c>
      <c r="M210" s="11" t="s">
        <v>39</v>
      </c>
      <c r="N210" s="11" t="s">
        <v>39</v>
      </c>
      <c r="O210" s="11" t="s">
        <v>39</v>
      </c>
      <c r="P210" t="s">
        <v>9</v>
      </c>
      <c r="Q210">
        <v>460</v>
      </c>
      <c r="R210">
        <v>0</v>
      </c>
      <c r="S210">
        <v>0</v>
      </c>
      <c r="T210" t="str">
        <f t="shared" si="33"/>
        <v>-</v>
      </c>
      <c r="U210" t="str">
        <f t="shared" si="34"/>
        <v>-</v>
      </c>
      <c r="V210" t="str">
        <f t="shared" si="35"/>
        <v>-</v>
      </c>
      <c r="W210" t="str">
        <f t="shared" si="36"/>
        <v>-</v>
      </c>
      <c r="X210" t="str">
        <f t="shared" si="37"/>
        <v>-</v>
      </c>
      <c r="Y210" t="str">
        <f t="shared" si="38"/>
        <v>-</v>
      </c>
      <c r="Z210" t="str">
        <f t="shared" si="39"/>
        <v>-</v>
      </c>
      <c r="AA210" t="str">
        <f t="shared" si="40"/>
        <v>-</v>
      </c>
      <c r="AB210" t="str">
        <f>IF(_xlfn.IFNA(VLOOKUP(P210,Set_Ref!$B$6:$B$1048576,1,FALSE),"")&lt;&gt;"","-",FALSE)</f>
        <v>-</v>
      </c>
      <c r="AC210" t="str">
        <f t="shared" si="41"/>
        <v>-</v>
      </c>
      <c r="AD210" t="str">
        <f t="shared" si="42"/>
        <v>-</v>
      </c>
      <c r="AE210" t="b">
        <f t="shared" si="43"/>
        <v>1</v>
      </c>
    </row>
    <row r="211" spans="1:31" x14ac:dyDescent="0.25">
      <c r="A211">
        <v>1</v>
      </c>
      <c r="B211">
        <v>209</v>
      </c>
      <c r="C211">
        <v>261</v>
      </c>
      <c r="D211" s="11" t="s">
        <v>149</v>
      </c>
      <c r="E211" t="s">
        <v>386</v>
      </c>
      <c r="F211" t="s">
        <v>194</v>
      </c>
      <c r="G211" s="11" t="s">
        <v>481</v>
      </c>
      <c r="H211">
        <v>2</v>
      </c>
      <c r="I211" s="11" t="s">
        <v>427</v>
      </c>
      <c r="J211" t="s">
        <v>319</v>
      </c>
      <c r="K211" t="s">
        <v>247</v>
      </c>
      <c r="L211" s="11" t="s">
        <v>39</v>
      </c>
      <c r="M211" s="11" t="s">
        <v>39</v>
      </c>
      <c r="N211" s="11" t="s">
        <v>39</v>
      </c>
      <c r="O211" s="11" t="s">
        <v>39</v>
      </c>
      <c r="P211" t="s">
        <v>9</v>
      </c>
      <c r="Q211">
        <v>1651</v>
      </c>
      <c r="R211">
        <v>0</v>
      </c>
      <c r="S211">
        <v>0</v>
      </c>
      <c r="T211" t="str">
        <f t="shared" si="33"/>
        <v>-</v>
      </c>
      <c r="U211" t="str">
        <f t="shared" si="34"/>
        <v>-</v>
      </c>
      <c r="V211" t="str">
        <f t="shared" si="35"/>
        <v>-</v>
      </c>
      <c r="W211" t="str">
        <f t="shared" si="36"/>
        <v>-</v>
      </c>
      <c r="X211" t="str">
        <f t="shared" si="37"/>
        <v>-</v>
      </c>
      <c r="Y211" t="str">
        <f t="shared" si="38"/>
        <v>-</v>
      </c>
      <c r="Z211" t="str">
        <f t="shared" si="39"/>
        <v>-</v>
      </c>
      <c r="AA211" t="str">
        <f t="shared" si="40"/>
        <v>-</v>
      </c>
      <c r="AB211" t="str">
        <f>IF(_xlfn.IFNA(VLOOKUP(P211,Set_Ref!$B$6:$B$1048576,1,FALSE),"")&lt;&gt;"","-",FALSE)</f>
        <v>-</v>
      </c>
      <c r="AC211" t="str">
        <f t="shared" si="41"/>
        <v>-</v>
      </c>
      <c r="AD211" t="str">
        <f t="shared" si="42"/>
        <v>-</v>
      </c>
      <c r="AE211" t="b">
        <f t="shared" si="43"/>
        <v>1</v>
      </c>
    </row>
    <row r="212" spans="1:31" x14ac:dyDescent="0.25">
      <c r="A212">
        <v>1</v>
      </c>
      <c r="B212">
        <v>210</v>
      </c>
      <c r="C212">
        <v>261</v>
      </c>
      <c r="D212" s="11" t="s">
        <v>149</v>
      </c>
      <c r="E212" t="s">
        <v>386</v>
      </c>
      <c r="F212" t="s">
        <v>194</v>
      </c>
      <c r="G212" s="11" t="s">
        <v>481</v>
      </c>
      <c r="H212">
        <v>3</v>
      </c>
      <c r="I212" s="11" t="s">
        <v>433</v>
      </c>
      <c r="J212" t="s">
        <v>281</v>
      </c>
      <c r="K212" t="s">
        <v>222</v>
      </c>
      <c r="L212" s="11" t="s">
        <v>39</v>
      </c>
      <c r="M212" s="11" t="s">
        <v>39</v>
      </c>
      <c r="N212" s="11" t="s">
        <v>39</v>
      </c>
      <c r="O212" s="11" t="s">
        <v>39</v>
      </c>
      <c r="P212" t="s">
        <v>10</v>
      </c>
      <c r="Q212">
        <v>360</v>
      </c>
      <c r="R212">
        <v>0</v>
      </c>
      <c r="S212">
        <v>0</v>
      </c>
      <c r="T212" t="str">
        <f t="shared" si="33"/>
        <v>-</v>
      </c>
      <c r="U212" t="str">
        <f t="shared" si="34"/>
        <v>-</v>
      </c>
      <c r="V212" t="str">
        <f t="shared" si="35"/>
        <v>-</v>
      </c>
      <c r="W212" t="str">
        <f t="shared" si="36"/>
        <v>-</v>
      </c>
      <c r="X212" t="str">
        <f t="shared" si="37"/>
        <v>-</v>
      </c>
      <c r="Y212" t="str">
        <f t="shared" si="38"/>
        <v>-</v>
      </c>
      <c r="Z212" t="str">
        <f t="shared" si="39"/>
        <v>-</v>
      </c>
      <c r="AA212" t="str">
        <f t="shared" si="40"/>
        <v>-</v>
      </c>
      <c r="AB212" t="str">
        <f>IF(_xlfn.IFNA(VLOOKUP(P212,Set_Ref!$B$6:$B$1048576,1,FALSE),"")&lt;&gt;"","-",FALSE)</f>
        <v>-</v>
      </c>
      <c r="AC212" t="str">
        <f t="shared" si="41"/>
        <v>-</v>
      </c>
      <c r="AD212" t="str">
        <f t="shared" si="42"/>
        <v>-</v>
      </c>
      <c r="AE212" t="b">
        <f t="shared" si="43"/>
        <v>1</v>
      </c>
    </row>
    <row r="213" spans="1:31" x14ac:dyDescent="0.25">
      <c r="A213">
        <v>1</v>
      </c>
      <c r="B213">
        <v>211</v>
      </c>
      <c r="C213">
        <v>261</v>
      </c>
      <c r="D213" s="11" t="s">
        <v>149</v>
      </c>
      <c r="E213" t="s">
        <v>386</v>
      </c>
      <c r="F213" t="s">
        <v>194</v>
      </c>
      <c r="G213" s="11" t="s">
        <v>481</v>
      </c>
      <c r="H213">
        <v>4</v>
      </c>
      <c r="I213" s="11" t="s">
        <v>177</v>
      </c>
      <c r="J213" t="s">
        <v>482</v>
      </c>
      <c r="K213" t="s">
        <v>250</v>
      </c>
      <c r="L213" s="11" t="s">
        <v>39</v>
      </c>
      <c r="M213" s="11" t="s">
        <v>39</v>
      </c>
      <c r="N213" s="11" t="s">
        <v>39</v>
      </c>
      <c r="O213" s="11" t="s">
        <v>39</v>
      </c>
      <c r="P213" t="s">
        <v>9</v>
      </c>
      <c r="Q213">
        <v>6</v>
      </c>
      <c r="R213">
        <v>0</v>
      </c>
      <c r="S213">
        <v>0</v>
      </c>
      <c r="T213" t="str">
        <f t="shared" si="33"/>
        <v>-</v>
      </c>
      <c r="U213" t="str">
        <f t="shared" si="34"/>
        <v>-</v>
      </c>
      <c r="V213" t="str">
        <f t="shared" si="35"/>
        <v>-</v>
      </c>
      <c r="W213" t="str">
        <f t="shared" si="36"/>
        <v>-</v>
      </c>
      <c r="X213" t="str">
        <f t="shared" si="37"/>
        <v>-</v>
      </c>
      <c r="Y213" t="str">
        <f t="shared" si="38"/>
        <v>-</v>
      </c>
      <c r="Z213" t="str">
        <f t="shared" si="39"/>
        <v>-</v>
      </c>
      <c r="AA213" t="str">
        <f t="shared" si="40"/>
        <v>-</v>
      </c>
      <c r="AB213" t="str">
        <f>IF(_xlfn.IFNA(VLOOKUP(P213,Set_Ref!$B$6:$B$1048576,1,FALSE),"")&lt;&gt;"","-",FALSE)</f>
        <v>-</v>
      </c>
      <c r="AC213" t="str">
        <f t="shared" si="41"/>
        <v>-</v>
      </c>
      <c r="AD213" t="str">
        <f t="shared" si="42"/>
        <v>-</v>
      </c>
      <c r="AE213" t="b">
        <f t="shared" si="43"/>
        <v>1</v>
      </c>
    </row>
    <row r="214" spans="1:31" x14ac:dyDescent="0.25">
      <c r="A214">
        <v>1</v>
      </c>
      <c r="B214">
        <v>212</v>
      </c>
      <c r="C214">
        <v>261</v>
      </c>
      <c r="D214" s="11" t="s">
        <v>149</v>
      </c>
      <c r="E214" t="s">
        <v>386</v>
      </c>
      <c r="F214" t="s">
        <v>194</v>
      </c>
      <c r="G214" s="11" t="s">
        <v>481</v>
      </c>
      <c r="H214">
        <v>4</v>
      </c>
      <c r="I214" s="11" t="s">
        <v>177</v>
      </c>
      <c r="J214" t="s">
        <v>482</v>
      </c>
      <c r="K214" t="s">
        <v>250</v>
      </c>
      <c r="L214" s="11" t="s">
        <v>39</v>
      </c>
      <c r="M214" s="11" t="s">
        <v>39</v>
      </c>
      <c r="N214" s="11" t="s">
        <v>39</v>
      </c>
      <c r="O214" s="11" t="s">
        <v>39</v>
      </c>
      <c r="P214" t="s">
        <v>9</v>
      </c>
      <c r="Q214">
        <v>120</v>
      </c>
      <c r="R214">
        <v>0</v>
      </c>
      <c r="S214">
        <v>0</v>
      </c>
      <c r="T214" t="str">
        <f t="shared" si="33"/>
        <v>-</v>
      </c>
      <c r="U214" t="str">
        <f t="shared" si="34"/>
        <v>-</v>
      </c>
      <c r="V214" t="str">
        <f t="shared" si="35"/>
        <v>-</v>
      </c>
      <c r="W214" t="str">
        <f t="shared" si="36"/>
        <v>-</v>
      </c>
      <c r="X214" t="str">
        <f t="shared" si="37"/>
        <v>-</v>
      </c>
      <c r="Y214" t="str">
        <f t="shared" si="38"/>
        <v>-</v>
      </c>
      <c r="Z214" t="str">
        <f t="shared" si="39"/>
        <v>-</v>
      </c>
      <c r="AA214" t="str">
        <f t="shared" si="40"/>
        <v>-</v>
      </c>
      <c r="AB214" t="str">
        <f>IF(_xlfn.IFNA(VLOOKUP(P214,Set_Ref!$B$6:$B$1048576,1,FALSE),"")&lt;&gt;"","-",FALSE)</f>
        <v>-</v>
      </c>
      <c r="AC214" t="str">
        <f t="shared" si="41"/>
        <v>-</v>
      </c>
      <c r="AD214" t="str">
        <f t="shared" si="42"/>
        <v>-</v>
      </c>
      <c r="AE214" t="b">
        <f t="shared" si="43"/>
        <v>1</v>
      </c>
    </row>
    <row r="215" spans="1:31" x14ac:dyDescent="0.25">
      <c r="A215">
        <v>1</v>
      </c>
      <c r="B215">
        <v>213</v>
      </c>
      <c r="C215">
        <v>261</v>
      </c>
      <c r="D215" s="11" t="s">
        <v>149</v>
      </c>
      <c r="E215" t="s">
        <v>386</v>
      </c>
      <c r="F215" t="s">
        <v>194</v>
      </c>
      <c r="G215" s="11" t="s">
        <v>481</v>
      </c>
      <c r="H215">
        <v>4</v>
      </c>
      <c r="I215" s="11" t="s">
        <v>177</v>
      </c>
      <c r="J215" t="s">
        <v>482</v>
      </c>
      <c r="K215" t="s">
        <v>250</v>
      </c>
      <c r="L215" s="11" t="s">
        <v>39</v>
      </c>
      <c r="M215" s="11" t="s">
        <v>39</v>
      </c>
      <c r="N215" s="11" t="s">
        <v>39</v>
      </c>
      <c r="O215" s="11" t="s">
        <v>39</v>
      </c>
      <c r="P215" t="s">
        <v>9</v>
      </c>
      <c r="Q215">
        <v>190</v>
      </c>
      <c r="R215">
        <v>0</v>
      </c>
      <c r="S215">
        <v>0</v>
      </c>
      <c r="T215" t="str">
        <f t="shared" si="33"/>
        <v>-</v>
      </c>
      <c r="U215" t="str">
        <f t="shared" si="34"/>
        <v>-</v>
      </c>
      <c r="V215" t="str">
        <f t="shared" si="35"/>
        <v>-</v>
      </c>
      <c r="W215" t="str">
        <f t="shared" si="36"/>
        <v>-</v>
      </c>
      <c r="X215" t="str">
        <f t="shared" si="37"/>
        <v>-</v>
      </c>
      <c r="Y215" t="str">
        <f t="shared" si="38"/>
        <v>-</v>
      </c>
      <c r="Z215" t="str">
        <f t="shared" si="39"/>
        <v>-</v>
      </c>
      <c r="AA215" t="str">
        <f t="shared" si="40"/>
        <v>-</v>
      </c>
      <c r="AB215" t="str">
        <f>IF(_xlfn.IFNA(VLOOKUP(P215,Set_Ref!$B$6:$B$1048576,1,FALSE),"")&lt;&gt;"","-",FALSE)</f>
        <v>-</v>
      </c>
      <c r="AC215" t="str">
        <f t="shared" si="41"/>
        <v>-</v>
      </c>
      <c r="AD215" t="str">
        <f t="shared" si="42"/>
        <v>-</v>
      </c>
      <c r="AE215" t="b">
        <f t="shared" si="43"/>
        <v>1</v>
      </c>
    </row>
    <row r="216" spans="1:31" x14ac:dyDescent="0.25">
      <c r="A216">
        <v>1</v>
      </c>
      <c r="B216">
        <v>214</v>
      </c>
      <c r="C216">
        <v>261</v>
      </c>
      <c r="D216" s="11" t="s">
        <v>149</v>
      </c>
      <c r="E216" t="s">
        <v>386</v>
      </c>
      <c r="F216" t="s">
        <v>194</v>
      </c>
      <c r="G216" s="11" t="s">
        <v>481</v>
      </c>
      <c r="H216">
        <v>4</v>
      </c>
      <c r="I216" s="11" t="s">
        <v>177</v>
      </c>
      <c r="J216" t="s">
        <v>482</v>
      </c>
      <c r="K216" t="s">
        <v>250</v>
      </c>
      <c r="L216" s="11" t="s">
        <v>39</v>
      </c>
      <c r="M216" s="11" t="s">
        <v>39</v>
      </c>
      <c r="N216" s="11" t="s">
        <v>39</v>
      </c>
      <c r="O216" s="11" t="s">
        <v>39</v>
      </c>
      <c r="P216" t="s">
        <v>9</v>
      </c>
      <c r="Q216">
        <v>230</v>
      </c>
      <c r="R216">
        <v>0</v>
      </c>
      <c r="S216">
        <v>0</v>
      </c>
      <c r="T216" t="str">
        <f t="shared" si="33"/>
        <v>-</v>
      </c>
      <c r="U216" t="str">
        <f t="shared" si="34"/>
        <v>-</v>
      </c>
      <c r="V216" t="str">
        <f t="shared" si="35"/>
        <v>-</v>
      </c>
      <c r="W216" t="str">
        <f t="shared" si="36"/>
        <v>-</v>
      </c>
      <c r="X216" t="str">
        <f t="shared" si="37"/>
        <v>-</v>
      </c>
      <c r="Y216" t="str">
        <f t="shared" si="38"/>
        <v>-</v>
      </c>
      <c r="Z216" t="str">
        <f t="shared" si="39"/>
        <v>-</v>
      </c>
      <c r="AA216" t="str">
        <f t="shared" si="40"/>
        <v>-</v>
      </c>
      <c r="AB216" t="str">
        <f>IF(_xlfn.IFNA(VLOOKUP(P216,Set_Ref!$B$6:$B$1048576,1,FALSE),"")&lt;&gt;"","-",FALSE)</f>
        <v>-</v>
      </c>
      <c r="AC216" t="str">
        <f t="shared" si="41"/>
        <v>-</v>
      </c>
      <c r="AD216" t="str">
        <f t="shared" si="42"/>
        <v>-</v>
      </c>
      <c r="AE216" t="b">
        <f t="shared" si="43"/>
        <v>1</v>
      </c>
    </row>
    <row r="217" spans="1:31" x14ac:dyDescent="0.25">
      <c r="A217">
        <v>1</v>
      </c>
      <c r="B217">
        <v>215</v>
      </c>
      <c r="C217">
        <v>261</v>
      </c>
      <c r="D217" s="11" t="s">
        <v>149</v>
      </c>
      <c r="E217" t="s">
        <v>386</v>
      </c>
      <c r="F217" t="s">
        <v>194</v>
      </c>
      <c r="G217" s="11" t="s">
        <v>481</v>
      </c>
      <c r="H217">
        <v>1</v>
      </c>
      <c r="I217" s="11" t="s">
        <v>177</v>
      </c>
      <c r="J217" t="s">
        <v>477</v>
      </c>
      <c r="K217" t="s">
        <v>251</v>
      </c>
      <c r="L217" s="11" t="s">
        <v>39</v>
      </c>
      <c r="M217" s="11" t="s">
        <v>39</v>
      </c>
      <c r="N217" s="11" t="s">
        <v>39</v>
      </c>
      <c r="O217" s="11" t="s">
        <v>39</v>
      </c>
      <c r="P217" t="s">
        <v>9</v>
      </c>
      <c r="Q217">
        <v>330</v>
      </c>
      <c r="R217">
        <v>0</v>
      </c>
      <c r="S217">
        <v>0</v>
      </c>
      <c r="T217" t="str">
        <f t="shared" si="33"/>
        <v>-</v>
      </c>
      <c r="U217" t="str">
        <f t="shared" si="34"/>
        <v>-</v>
      </c>
      <c r="V217" t="str">
        <f t="shared" si="35"/>
        <v>-</v>
      </c>
      <c r="W217" t="str">
        <f t="shared" si="36"/>
        <v>-</v>
      </c>
      <c r="X217" t="str">
        <f t="shared" si="37"/>
        <v>-</v>
      </c>
      <c r="Y217" t="str">
        <f t="shared" si="38"/>
        <v>-</v>
      </c>
      <c r="Z217" t="str">
        <f t="shared" si="39"/>
        <v>-</v>
      </c>
      <c r="AA217" t="str">
        <f t="shared" si="40"/>
        <v>-</v>
      </c>
      <c r="AB217" t="str">
        <f>IF(_xlfn.IFNA(VLOOKUP(P217,Set_Ref!$B$6:$B$1048576,1,FALSE),"")&lt;&gt;"","-",FALSE)</f>
        <v>-</v>
      </c>
      <c r="AC217" t="str">
        <f t="shared" si="41"/>
        <v>-</v>
      </c>
      <c r="AD217" t="str">
        <f t="shared" si="42"/>
        <v>-</v>
      </c>
      <c r="AE217" t="b">
        <f t="shared" si="43"/>
        <v>1</v>
      </c>
    </row>
    <row r="218" spans="1:31" x14ac:dyDescent="0.25">
      <c r="A218">
        <v>1</v>
      </c>
      <c r="B218">
        <v>216</v>
      </c>
      <c r="C218">
        <v>261</v>
      </c>
      <c r="D218" s="11" t="s">
        <v>149</v>
      </c>
      <c r="E218" t="s">
        <v>386</v>
      </c>
      <c r="F218" t="s">
        <v>194</v>
      </c>
      <c r="G218" s="11" t="s">
        <v>481</v>
      </c>
      <c r="H218">
        <v>5</v>
      </c>
      <c r="I218" s="11" t="s">
        <v>427</v>
      </c>
      <c r="J218" t="s">
        <v>483</v>
      </c>
      <c r="K218" t="s">
        <v>237</v>
      </c>
      <c r="L218" s="11" t="s">
        <v>39</v>
      </c>
      <c r="M218" s="11" t="s">
        <v>39</v>
      </c>
      <c r="N218" s="11" t="s">
        <v>39</v>
      </c>
      <c r="O218" s="11" t="s">
        <v>39</v>
      </c>
      <c r="P218" t="s">
        <v>9</v>
      </c>
      <c r="Q218">
        <v>28</v>
      </c>
      <c r="R218">
        <v>0</v>
      </c>
      <c r="S218">
        <v>0</v>
      </c>
      <c r="T218" t="str">
        <f t="shared" si="33"/>
        <v>-</v>
      </c>
      <c r="U218" t="str">
        <f t="shared" si="34"/>
        <v>-</v>
      </c>
      <c r="V218" t="str">
        <f t="shared" si="35"/>
        <v>-</v>
      </c>
      <c r="W218" t="str">
        <f t="shared" si="36"/>
        <v>-</v>
      </c>
      <c r="X218" t="str">
        <f t="shared" si="37"/>
        <v>-</v>
      </c>
      <c r="Y218" t="str">
        <f t="shared" si="38"/>
        <v>-</v>
      </c>
      <c r="Z218" t="str">
        <f t="shared" si="39"/>
        <v>-</v>
      </c>
      <c r="AA218" t="str">
        <f t="shared" si="40"/>
        <v>-</v>
      </c>
      <c r="AB218" t="str">
        <f>IF(_xlfn.IFNA(VLOOKUP(P218,Set_Ref!$B$6:$B$1048576,1,FALSE),"")&lt;&gt;"","-",FALSE)</f>
        <v>-</v>
      </c>
      <c r="AC218" t="str">
        <f t="shared" si="41"/>
        <v>-</v>
      </c>
      <c r="AD218" t="str">
        <f t="shared" si="42"/>
        <v>-</v>
      </c>
      <c r="AE218" t="b">
        <f t="shared" si="43"/>
        <v>1</v>
      </c>
    </row>
    <row r="219" spans="1:31" x14ac:dyDescent="0.25">
      <c r="A219">
        <v>1</v>
      </c>
      <c r="B219">
        <v>217</v>
      </c>
      <c r="C219">
        <v>261</v>
      </c>
      <c r="D219" s="11" t="s">
        <v>149</v>
      </c>
      <c r="E219" t="s">
        <v>386</v>
      </c>
      <c r="F219" t="s">
        <v>194</v>
      </c>
      <c r="G219" s="11" t="s">
        <v>481</v>
      </c>
      <c r="H219">
        <v>5</v>
      </c>
      <c r="I219" s="11" t="s">
        <v>427</v>
      </c>
      <c r="J219" t="s">
        <v>483</v>
      </c>
      <c r="K219" t="s">
        <v>237</v>
      </c>
      <c r="L219" s="11" t="s">
        <v>39</v>
      </c>
      <c r="M219" s="11" t="s">
        <v>39</v>
      </c>
      <c r="N219" s="11" t="s">
        <v>39</v>
      </c>
      <c r="O219" s="11" t="s">
        <v>39</v>
      </c>
      <c r="P219" t="s">
        <v>9</v>
      </c>
      <c r="Q219">
        <v>50</v>
      </c>
      <c r="R219">
        <v>0</v>
      </c>
      <c r="S219">
        <v>0</v>
      </c>
      <c r="T219" t="str">
        <f t="shared" si="33"/>
        <v>-</v>
      </c>
      <c r="U219" t="str">
        <f t="shared" si="34"/>
        <v>-</v>
      </c>
      <c r="V219" t="str">
        <f t="shared" si="35"/>
        <v>-</v>
      </c>
      <c r="W219" t="str">
        <f t="shared" si="36"/>
        <v>-</v>
      </c>
      <c r="X219" t="str">
        <f t="shared" si="37"/>
        <v>-</v>
      </c>
      <c r="Y219" t="str">
        <f t="shared" si="38"/>
        <v>-</v>
      </c>
      <c r="Z219" t="str">
        <f t="shared" si="39"/>
        <v>-</v>
      </c>
      <c r="AA219" t="str">
        <f t="shared" si="40"/>
        <v>-</v>
      </c>
      <c r="AB219" t="str">
        <f>IF(_xlfn.IFNA(VLOOKUP(P219,Set_Ref!$B$6:$B$1048576,1,FALSE),"")&lt;&gt;"","-",FALSE)</f>
        <v>-</v>
      </c>
      <c r="AC219" t="str">
        <f t="shared" si="41"/>
        <v>-</v>
      </c>
      <c r="AD219" t="str">
        <f t="shared" si="42"/>
        <v>-</v>
      </c>
      <c r="AE219" t="b">
        <f t="shared" si="43"/>
        <v>1</v>
      </c>
    </row>
    <row r="220" spans="1:31" x14ac:dyDescent="0.25">
      <c r="A220">
        <v>1</v>
      </c>
      <c r="B220">
        <v>218</v>
      </c>
      <c r="C220">
        <v>261</v>
      </c>
      <c r="D220" s="11" t="s">
        <v>149</v>
      </c>
      <c r="E220" t="s">
        <v>386</v>
      </c>
      <c r="F220" t="s">
        <v>194</v>
      </c>
      <c r="G220" s="11" t="s">
        <v>481</v>
      </c>
      <c r="H220">
        <v>5</v>
      </c>
      <c r="I220" s="11" t="s">
        <v>427</v>
      </c>
      <c r="J220" t="s">
        <v>483</v>
      </c>
      <c r="K220" t="s">
        <v>237</v>
      </c>
      <c r="L220" s="11" t="s">
        <v>39</v>
      </c>
      <c r="M220" s="11" t="s">
        <v>39</v>
      </c>
      <c r="N220" s="11" t="s">
        <v>39</v>
      </c>
      <c r="O220" s="11" t="s">
        <v>39</v>
      </c>
      <c r="P220" t="s">
        <v>9</v>
      </c>
      <c r="Q220">
        <v>80</v>
      </c>
      <c r="R220">
        <v>0</v>
      </c>
      <c r="S220">
        <v>0</v>
      </c>
      <c r="T220" t="str">
        <f t="shared" si="33"/>
        <v>-</v>
      </c>
      <c r="U220" t="str">
        <f t="shared" si="34"/>
        <v>-</v>
      </c>
      <c r="V220" t="str">
        <f t="shared" si="35"/>
        <v>-</v>
      </c>
      <c r="W220" t="str">
        <f t="shared" si="36"/>
        <v>-</v>
      </c>
      <c r="X220" t="str">
        <f t="shared" si="37"/>
        <v>-</v>
      </c>
      <c r="Y220" t="str">
        <f t="shared" si="38"/>
        <v>-</v>
      </c>
      <c r="Z220" t="str">
        <f t="shared" si="39"/>
        <v>-</v>
      </c>
      <c r="AA220" t="str">
        <f t="shared" si="40"/>
        <v>-</v>
      </c>
      <c r="AB220" t="str">
        <f>IF(_xlfn.IFNA(VLOOKUP(P220,Set_Ref!$B$6:$B$1048576,1,FALSE),"")&lt;&gt;"","-",FALSE)</f>
        <v>-</v>
      </c>
      <c r="AC220" t="str">
        <f t="shared" si="41"/>
        <v>-</v>
      </c>
      <c r="AD220" t="str">
        <f t="shared" si="42"/>
        <v>-</v>
      </c>
      <c r="AE220" t="b">
        <f t="shared" si="43"/>
        <v>1</v>
      </c>
    </row>
    <row r="221" spans="1:31" x14ac:dyDescent="0.25">
      <c r="A221">
        <v>1</v>
      </c>
      <c r="B221">
        <v>219</v>
      </c>
      <c r="C221">
        <v>261</v>
      </c>
      <c r="D221" s="11" t="s">
        <v>149</v>
      </c>
      <c r="E221" t="s">
        <v>386</v>
      </c>
      <c r="F221" t="s">
        <v>194</v>
      </c>
      <c r="G221" s="11" t="s">
        <v>481</v>
      </c>
      <c r="H221">
        <v>5</v>
      </c>
      <c r="I221" s="11" t="s">
        <v>427</v>
      </c>
      <c r="J221" t="s">
        <v>483</v>
      </c>
      <c r="K221" t="s">
        <v>237</v>
      </c>
      <c r="L221" s="11" t="s">
        <v>39</v>
      </c>
      <c r="M221" s="11" t="s">
        <v>39</v>
      </c>
      <c r="N221" s="11" t="s">
        <v>39</v>
      </c>
      <c r="O221" s="11" t="s">
        <v>39</v>
      </c>
      <c r="P221" t="s">
        <v>9</v>
      </c>
      <c r="Q221">
        <v>5</v>
      </c>
      <c r="R221">
        <v>0</v>
      </c>
      <c r="S221">
        <v>0</v>
      </c>
      <c r="T221" t="str">
        <f t="shared" si="33"/>
        <v>-</v>
      </c>
      <c r="U221" t="str">
        <f t="shared" si="34"/>
        <v>-</v>
      </c>
      <c r="V221" t="str">
        <f t="shared" si="35"/>
        <v>-</v>
      </c>
      <c r="W221" t="str">
        <f t="shared" si="36"/>
        <v>-</v>
      </c>
      <c r="X221" t="str">
        <f t="shared" si="37"/>
        <v>-</v>
      </c>
      <c r="Y221" t="str">
        <f t="shared" si="38"/>
        <v>-</v>
      </c>
      <c r="Z221" t="str">
        <f t="shared" si="39"/>
        <v>-</v>
      </c>
      <c r="AA221" t="str">
        <f t="shared" si="40"/>
        <v>-</v>
      </c>
      <c r="AB221" t="str">
        <f>IF(_xlfn.IFNA(VLOOKUP(P221,Set_Ref!$B$6:$B$1048576,1,FALSE),"")&lt;&gt;"","-",FALSE)</f>
        <v>-</v>
      </c>
      <c r="AC221" t="str">
        <f t="shared" si="41"/>
        <v>-</v>
      </c>
      <c r="AD221" t="str">
        <f t="shared" si="42"/>
        <v>-</v>
      </c>
      <c r="AE221" t="b">
        <f t="shared" si="43"/>
        <v>1</v>
      </c>
    </row>
    <row r="222" spans="1:31" x14ac:dyDescent="0.25">
      <c r="A222">
        <v>1</v>
      </c>
      <c r="B222">
        <v>220</v>
      </c>
      <c r="C222">
        <v>261</v>
      </c>
      <c r="D222" s="11" t="s">
        <v>149</v>
      </c>
      <c r="E222" t="s">
        <v>388</v>
      </c>
      <c r="F222" t="s">
        <v>195</v>
      </c>
      <c r="G222" s="11" t="s">
        <v>484</v>
      </c>
      <c r="H222">
        <v>1</v>
      </c>
      <c r="I222" s="11" t="s">
        <v>427</v>
      </c>
      <c r="J222" t="s">
        <v>283</v>
      </c>
      <c r="K222" t="s">
        <v>225</v>
      </c>
      <c r="L222" s="11" t="s">
        <v>39</v>
      </c>
      <c r="M222" s="11" t="s">
        <v>39</v>
      </c>
      <c r="N222" s="11" t="s">
        <v>39</v>
      </c>
      <c r="O222" s="11" t="s">
        <v>39</v>
      </c>
      <c r="P222" t="s">
        <v>9</v>
      </c>
      <c r="Q222">
        <v>1955</v>
      </c>
      <c r="R222">
        <v>0</v>
      </c>
      <c r="S222">
        <v>0</v>
      </c>
      <c r="T222" t="str">
        <f t="shared" si="33"/>
        <v>-</v>
      </c>
      <c r="U222" t="str">
        <f t="shared" si="34"/>
        <v>-</v>
      </c>
      <c r="V222" t="str">
        <f t="shared" si="35"/>
        <v>-</v>
      </c>
      <c r="W222" t="str">
        <f t="shared" si="36"/>
        <v>-</v>
      </c>
      <c r="X222" t="str">
        <f t="shared" si="37"/>
        <v>-</v>
      </c>
      <c r="Y222" t="str">
        <f t="shared" si="38"/>
        <v>-</v>
      </c>
      <c r="Z222" t="str">
        <f t="shared" si="39"/>
        <v>-</v>
      </c>
      <c r="AA222" t="str">
        <f t="shared" si="40"/>
        <v>-</v>
      </c>
      <c r="AB222" t="str">
        <f>IF(_xlfn.IFNA(VLOOKUP(P222,Set_Ref!$B$6:$B$1048576,1,FALSE),"")&lt;&gt;"","-",FALSE)</f>
        <v>-</v>
      </c>
      <c r="AC222" t="str">
        <f t="shared" si="41"/>
        <v>-</v>
      </c>
      <c r="AD222" t="str">
        <f t="shared" si="42"/>
        <v>-</v>
      </c>
      <c r="AE222" t="b">
        <f t="shared" si="43"/>
        <v>1</v>
      </c>
    </row>
    <row r="223" spans="1:31" x14ac:dyDescent="0.25">
      <c r="A223">
        <v>1</v>
      </c>
      <c r="B223">
        <v>221</v>
      </c>
      <c r="C223">
        <v>261</v>
      </c>
      <c r="D223" s="11" t="s">
        <v>149</v>
      </c>
      <c r="E223" t="s">
        <v>389</v>
      </c>
      <c r="F223" t="s">
        <v>196</v>
      </c>
      <c r="G223" s="11" t="s">
        <v>485</v>
      </c>
      <c r="H223">
        <v>1</v>
      </c>
      <c r="I223" s="11" t="s">
        <v>172</v>
      </c>
      <c r="J223" t="s">
        <v>315</v>
      </c>
      <c r="K223" t="s">
        <v>243</v>
      </c>
      <c r="L223" s="11" t="s">
        <v>39</v>
      </c>
      <c r="M223" s="11" t="s">
        <v>39</v>
      </c>
      <c r="N223" s="11" t="s">
        <v>39</v>
      </c>
      <c r="O223" s="11" t="s">
        <v>39</v>
      </c>
      <c r="P223" t="s">
        <v>11</v>
      </c>
      <c r="Q223">
        <v>5</v>
      </c>
      <c r="R223">
        <v>0</v>
      </c>
      <c r="S223">
        <v>0</v>
      </c>
      <c r="T223" t="str">
        <f t="shared" si="33"/>
        <v>-</v>
      </c>
      <c r="U223" t="str">
        <f t="shared" si="34"/>
        <v>-</v>
      </c>
      <c r="V223" t="str">
        <f t="shared" si="35"/>
        <v>-</v>
      </c>
      <c r="W223" t="str">
        <f t="shared" si="36"/>
        <v>-</v>
      </c>
      <c r="X223" t="str">
        <f t="shared" si="37"/>
        <v>-</v>
      </c>
      <c r="Y223" t="str">
        <f t="shared" si="38"/>
        <v>-</v>
      </c>
      <c r="Z223" t="str">
        <f t="shared" si="39"/>
        <v>-</v>
      </c>
      <c r="AA223" t="str">
        <f t="shared" si="40"/>
        <v>-</v>
      </c>
      <c r="AB223" t="str">
        <f>IF(_xlfn.IFNA(VLOOKUP(P223,Set_Ref!$B$6:$B$1048576,1,FALSE),"")&lt;&gt;"","-",FALSE)</f>
        <v>-</v>
      </c>
      <c r="AC223" t="str">
        <f t="shared" si="41"/>
        <v>-</v>
      </c>
      <c r="AD223" t="str">
        <f t="shared" si="42"/>
        <v>-</v>
      </c>
      <c r="AE223" t="b">
        <f t="shared" si="43"/>
        <v>1</v>
      </c>
    </row>
    <row r="224" spans="1:31" x14ac:dyDescent="0.25">
      <c r="A224">
        <v>1</v>
      </c>
      <c r="B224">
        <v>222</v>
      </c>
      <c r="C224">
        <v>261</v>
      </c>
      <c r="D224" s="11" t="s">
        <v>149</v>
      </c>
      <c r="E224" t="s">
        <v>389</v>
      </c>
      <c r="F224" t="s">
        <v>196</v>
      </c>
      <c r="G224" s="11" t="s">
        <v>485</v>
      </c>
      <c r="H224">
        <v>2</v>
      </c>
      <c r="I224" s="11" t="s">
        <v>433</v>
      </c>
      <c r="J224" t="s">
        <v>375</v>
      </c>
      <c r="K224" t="s">
        <v>254</v>
      </c>
      <c r="L224" s="11" t="s">
        <v>39</v>
      </c>
      <c r="M224" s="11" t="s">
        <v>39</v>
      </c>
      <c r="N224" s="11" t="s">
        <v>39</v>
      </c>
      <c r="O224" s="11" t="s">
        <v>39</v>
      </c>
      <c r="P224" t="s">
        <v>10</v>
      </c>
      <c r="Q224">
        <v>615</v>
      </c>
      <c r="R224">
        <v>0</v>
      </c>
      <c r="S224">
        <v>0</v>
      </c>
      <c r="T224" t="str">
        <f t="shared" si="33"/>
        <v>-</v>
      </c>
      <c r="U224" t="str">
        <f t="shared" si="34"/>
        <v>-</v>
      </c>
      <c r="V224" t="str">
        <f t="shared" si="35"/>
        <v>-</v>
      </c>
      <c r="W224" t="str">
        <f t="shared" si="36"/>
        <v>-</v>
      </c>
      <c r="X224" t="str">
        <f t="shared" si="37"/>
        <v>-</v>
      </c>
      <c r="Y224" t="str">
        <f t="shared" si="38"/>
        <v>-</v>
      </c>
      <c r="Z224" t="str">
        <f t="shared" si="39"/>
        <v>-</v>
      </c>
      <c r="AA224" t="str">
        <f t="shared" si="40"/>
        <v>-</v>
      </c>
      <c r="AB224" t="str">
        <f>IF(_xlfn.IFNA(VLOOKUP(P224,Set_Ref!$B$6:$B$1048576,1,FALSE),"")&lt;&gt;"","-",FALSE)</f>
        <v>-</v>
      </c>
      <c r="AC224" t="str">
        <f t="shared" si="41"/>
        <v>-</v>
      </c>
      <c r="AD224" t="str">
        <f t="shared" si="42"/>
        <v>-</v>
      </c>
      <c r="AE224" t="b">
        <f t="shared" si="43"/>
        <v>1</v>
      </c>
    </row>
    <row r="225" spans="1:31" x14ac:dyDescent="0.25">
      <c r="A225">
        <v>1</v>
      </c>
      <c r="B225">
        <v>223</v>
      </c>
      <c r="C225">
        <v>261</v>
      </c>
      <c r="D225" s="11" t="s">
        <v>149</v>
      </c>
      <c r="E225" t="s">
        <v>389</v>
      </c>
      <c r="F225" t="s">
        <v>196</v>
      </c>
      <c r="G225" s="11" t="s">
        <v>485</v>
      </c>
      <c r="H225">
        <v>3</v>
      </c>
      <c r="I225" s="11" t="s">
        <v>178</v>
      </c>
      <c r="J225" t="s">
        <v>322</v>
      </c>
      <c r="K225" t="s">
        <v>248</v>
      </c>
      <c r="L225" s="11" t="s">
        <v>39</v>
      </c>
      <c r="M225" s="11" t="s">
        <v>39</v>
      </c>
      <c r="N225" s="11" t="s">
        <v>39</v>
      </c>
      <c r="O225" s="11" t="s">
        <v>39</v>
      </c>
      <c r="P225" t="s">
        <v>38</v>
      </c>
      <c r="Q225">
        <v>3.92</v>
      </c>
      <c r="R225">
        <v>0</v>
      </c>
      <c r="S225">
        <v>0</v>
      </c>
      <c r="T225" t="str">
        <f t="shared" si="33"/>
        <v>-</v>
      </c>
      <c r="U225" t="str">
        <f t="shared" si="34"/>
        <v>-</v>
      </c>
      <c r="V225" t="str">
        <f t="shared" si="35"/>
        <v>-</v>
      </c>
      <c r="W225" t="str">
        <f t="shared" si="36"/>
        <v>-</v>
      </c>
      <c r="X225" t="str">
        <f t="shared" si="37"/>
        <v>-</v>
      </c>
      <c r="Y225" t="str">
        <f t="shared" si="38"/>
        <v>-</v>
      </c>
      <c r="Z225" t="str">
        <f t="shared" si="39"/>
        <v>-</v>
      </c>
      <c r="AA225" t="str">
        <f t="shared" si="40"/>
        <v>-</v>
      </c>
      <c r="AB225" t="str">
        <f>IF(_xlfn.IFNA(VLOOKUP(P225,Set_Ref!$B$6:$B$1048576,1,FALSE),"")&lt;&gt;"","-",FALSE)</f>
        <v>-</v>
      </c>
      <c r="AC225" t="str">
        <f t="shared" si="41"/>
        <v>-</v>
      </c>
      <c r="AD225" t="str">
        <f t="shared" si="42"/>
        <v>-</v>
      </c>
      <c r="AE225" t="b">
        <f t="shared" si="43"/>
        <v>1</v>
      </c>
    </row>
    <row r="226" spans="1:31" x14ac:dyDescent="0.25">
      <c r="A226">
        <v>1</v>
      </c>
      <c r="B226">
        <v>224</v>
      </c>
      <c r="C226">
        <v>261</v>
      </c>
      <c r="D226" s="11" t="s">
        <v>149</v>
      </c>
      <c r="E226" t="s">
        <v>389</v>
      </c>
      <c r="F226" t="s">
        <v>196</v>
      </c>
      <c r="G226" s="11" t="s">
        <v>485</v>
      </c>
      <c r="H226">
        <v>4</v>
      </c>
      <c r="I226" s="11" t="s">
        <v>427</v>
      </c>
      <c r="J226" t="s">
        <v>282</v>
      </c>
      <c r="K226" t="s">
        <v>224</v>
      </c>
      <c r="L226" s="11" t="s">
        <v>39</v>
      </c>
      <c r="M226" s="11" t="s">
        <v>39</v>
      </c>
      <c r="N226" s="11" t="s">
        <v>39</v>
      </c>
      <c r="O226" s="11" t="s">
        <v>39</v>
      </c>
      <c r="P226" t="s">
        <v>9</v>
      </c>
      <c r="Q226">
        <v>5</v>
      </c>
      <c r="R226">
        <v>0</v>
      </c>
      <c r="S226">
        <v>0</v>
      </c>
      <c r="T226" t="str">
        <f t="shared" si="33"/>
        <v>-</v>
      </c>
      <c r="U226" t="str">
        <f t="shared" si="34"/>
        <v>-</v>
      </c>
      <c r="V226" t="str">
        <f t="shared" si="35"/>
        <v>-</v>
      </c>
      <c r="W226" t="str">
        <f t="shared" si="36"/>
        <v>-</v>
      </c>
      <c r="X226" t="str">
        <f t="shared" si="37"/>
        <v>-</v>
      </c>
      <c r="Y226" t="str">
        <f t="shared" si="38"/>
        <v>-</v>
      </c>
      <c r="Z226" t="str">
        <f t="shared" si="39"/>
        <v>-</v>
      </c>
      <c r="AA226" t="str">
        <f t="shared" si="40"/>
        <v>-</v>
      </c>
      <c r="AB226" t="str">
        <f>IF(_xlfn.IFNA(VLOOKUP(P226,Set_Ref!$B$6:$B$1048576,1,FALSE),"")&lt;&gt;"","-",FALSE)</f>
        <v>-</v>
      </c>
      <c r="AC226" t="str">
        <f t="shared" si="41"/>
        <v>-</v>
      </c>
      <c r="AD226" t="str">
        <f t="shared" si="42"/>
        <v>-</v>
      </c>
      <c r="AE226" t="b">
        <f t="shared" si="43"/>
        <v>1</v>
      </c>
    </row>
    <row r="227" spans="1:31" x14ac:dyDescent="0.25">
      <c r="A227">
        <v>1</v>
      </c>
      <c r="B227">
        <v>225</v>
      </c>
      <c r="C227">
        <v>261</v>
      </c>
      <c r="D227" s="11" t="s">
        <v>149</v>
      </c>
      <c r="E227" t="s">
        <v>389</v>
      </c>
      <c r="F227" t="s">
        <v>196</v>
      </c>
      <c r="G227" s="11" t="s">
        <v>485</v>
      </c>
      <c r="H227">
        <v>5</v>
      </c>
      <c r="I227" s="11" t="s">
        <v>428</v>
      </c>
      <c r="J227" t="s">
        <v>390</v>
      </c>
      <c r="K227" t="s">
        <v>261</v>
      </c>
      <c r="L227" s="11" t="s">
        <v>39</v>
      </c>
      <c r="M227" s="11" t="s">
        <v>39</v>
      </c>
      <c r="N227" s="11" t="s">
        <v>39</v>
      </c>
      <c r="O227" s="11" t="s">
        <v>39</v>
      </c>
      <c r="P227" t="s">
        <v>9</v>
      </c>
      <c r="Q227">
        <v>200</v>
      </c>
      <c r="R227">
        <v>0</v>
      </c>
      <c r="S227">
        <v>0</v>
      </c>
      <c r="T227" t="str">
        <f t="shared" si="33"/>
        <v>-</v>
      </c>
      <c r="U227" t="str">
        <f t="shared" si="34"/>
        <v>-</v>
      </c>
      <c r="V227" t="str">
        <f t="shared" si="35"/>
        <v>-</v>
      </c>
      <c r="W227" t="str">
        <f t="shared" si="36"/>
        <v>-</v>
      </c>
      <c r="X227" t="str">
        <f t="shared" si="37"/>
        <v>-</v>
      </c>
      <c r="Y227" t="str">
        <f t="shared" si="38"/>
        <v>-</v>
      </c>
      <c r="Z227" t="str">
        <f t="shared" si="39"/>
        <v>-</v>
      </c>
      <c r="AA227" t="str">
        <f t="shared" si="40"/>
        <v>-</v>
      </c>
      <c r="AB227" t="str">
        <f>IF(_xlfn.IFNA(VLOOKUP(P227,Set_Ref!$B$6:$B$1048576,1,FALSE),"")&lt;&gt;"","-",FALSE)</f>
        <v>-</v>
      </c>
      <c r="AC227" t="str">
        <f t="shared" si="41"/>
        <v>-</v>
      </c>
      <c r="AD227" t="str">
        <f t="shared" si="42"/>
        <v>-</v>
      </c>
      <c r="AE227" t="b">
        <f t="shared" si="43"/>
        <v>1</v>
      </c>
    </row>
    <row r="228" spans="1:31" x14ac:dyDescent="0.25">
      <c r="A228">
        <v>1</v>
      </c>
      <c r="B228">
        <v>226</v>
      </c>
      <c r="C228">
        <v>261</v>
      </c>
      <c r="D228" s="11" t="s">
        <v>149</v>
      </c>
      <c r="E228" t="s">
        <v>389</v>
      </c>
      <c r="F228" t="s">
        <v>196</v>
      </c>
      <c r="G228" s="11" t="s">
        <v>485</v>
      </c>
      <c r="H228">
        <v>6</v>
      </c>
      <c r="I228" s="11" t="s">
        <v>486</v>
      </c>
      <c r="J228" t="s">
        <v>391</v>
      </c>
      <c r="K228" t="s">
        <v>262</v>
      </c>
      <c r="L228" s="11" t="s">
        <v>39</v>
      </c>
      <c r="M228" s="11" t="s">
        <v>39</v>
      </c>
      <c r="N228" s="11" t="s">
        <v>39</v>
      </c>
      <c r="O228" s="11" t="s">
        <v>39</v>
      </c>
      <c r="P228" t="s">
        <v>11</v>
      </c>
      <c r="Q228">
        <v>11</v>
      </c>
      <c r="R228">
        <v>0</v>
      </c>
      <c r="S228">
        <v>0</v>
      </c>
      <c r="T228" t="str">
        <f t="shared" si="33"/>
        <v>-</v>
      </c>
      <c r="U228" t="str">
        <f t="shared" si="34"/>
        <v>-</v>
      </c>
      <c r="V228" t="str">
        <f t="shared" si="35"/>
        <v>-</v>
      </c>
      <c r="W228" t="str">
        <f t="shared" si="36"/>
        <v>-</v>
      </c>
      <c r="X228" t="str">
        <f t="shared" si="37"/>
        <v>-</v>
      </c>
      <c r="Y228" t="str">
        <f t="shared" si="38"/>
        <v>-</v>
      </c>
      <c r="Z228" t="str">
        <f t="shared" si="39"/>
        <v>-</v>
      </c>
      <c r="AA228" t="str">
        <f t="shared" si="40"/>
        <v>-</v>
      </c>
      <c r="AB228" t="str">
        <f>IF(_xlfn.IFNA(VLOOKUP(P228,Set_Ref!$B$6:$B$1048576,1,FALSE),"")&lt;&gt;"","-",FALSE)</f>
        <v>-</v>
      </c>
      <c r="AC228" t="str">
        <f t="shared" si="41"/>
        <v>-</v>
      </c>
      <c r="AD228" t="str">
        <f t="shared" si="42"/>
        <v>-</v>
      </c>
      <c r="AE228" t="b">
        <f t="shared" si="43"/>
        <v>1</v>
      </c>
    </row>
    <row r="229" spans="1:31" x14ac:dyDescent="0.25">
      <c r="A229">
        <v>1</v>
      </c>
      <c r="B229">
        <v>227</v>
      </c>
      <c r="C229">
        <v>261</v>
      </c>
      <c r="D229" s="11" t="s">
        <v>149</v>
      </c>
      <c r="E229" t="s">
        <v>389</v>
      </c>
      <c r="F229" t="s">
        <v>196</v>
      </c>
      <c r="G229" s="11" t="s">
        <v>485</v>
      </c>
      <c r="H229">
        <v>7</v>
      </c>
      <c r="I229" s="11" t="s">
        <v>172</v>
      </c>
      <c r="J229" t="s">
        <v>279</v>
      </c>
      <c r="K229" t="s">
        <v>219</v>
      </c>
      <c r="L229" s="11" t="s">
        <v>39</v>
      </c>
      <c r="M229" s="11" t="s">
        <v>39</v>
      </c>
      <c r="N229" s="11" t="s">
        <v>39</v>
      </c>
      <c r="O229" s="11" t="s">
        <v>39</v>
      </c>
      <c r="P229" t="s">
        <v>11</v>
      </c>
      <c r="Q229">
        <v>22</v>
      </c>
      <c r="R229">
        <v>0</v>
      </c>
      <c r="S229">
        <v>0</v>
      </c>
      <c r="T229" t="str">
        <f t="shared" si="33"/>
        <v>-</v>
      </c>
      <c r="U229" t="str">
        <f t="shared" si="34"/>
        <v>-</v>
      </c>
      <c r="V229" t="str">
        <f t="shared" si="35"/>
        <v>-</v>
      </c>
      <c r="W229" t="str">
        <f t="shared" si="36"/>
        <v>-</v>
      </c>
      <c r="X229" t="str">
        <f t="shared" si="37"/>
        <v>-</v>
      </c>
      <c r="Y229" t="str">
        <f t="shared" si="38"/>
        <v>-</v>
      </c>
      <c r="Z229" t="str">
        <f t="shared" si="39"/>
        <v>-</v>
      </c>
      <c r="AA229" t="str">
        <f t="shared" si="40"/>
        <v>-</v>
      </c>
      <c r="AB229" t="str">
        <f>IF(_xlfn.IFNA(VLOOKUP(P229,Set_Ref!$B$6:$B$1048576,1,FALSE),"")&lt;&gt;"","-",FALSE)</f>
        <v>-</v>
      </c>
      <c r="AC229" t="str">
        <f t="shared" si="41"/>
        <v>-</v>
      </c>
      <c r="AD229" t="str">
        <f t="shared" si="42"/>
        <v>-</v>
      </c>
      <c r="AE229" t="b">
        <f t="shared" si="43"/>
        <v>1</v>
      </c>
    </row>
    <row r="230" spans="1:31" x14ac:dyDescent="0.25">
      <c r="A230">
        <v>1</v>
      </c>
      <c r="B230">
        <v>228</v>
      </c>
      <c r="C230">
        <v>261</v>
      </c>
      <c r="D230" s="11" t="s">
        <v>149</v>
      </c>
      <c r="E230" t="s">
        <v>389</v>
      </c>
      <c r="F230" t="s">
        <v>196</v>
      </c>
      <c r="G230" s="11" t="s">
        <v>485</v>
      </c>
      <c r="H230">
        <v>8</v>
      </c>
      <c r="I230" s="11" t="s">
        <v>177</v>
      </c>
      <c r="J230" t="s">
        <v>487</v>
      </c>
      <c r="K230" t="s">
        <v>250</v>
      </c>
      <c r="L230" s="11" t="s">
        <v>39</v>
      </c>
      <c r="M230" s="11" t="s">
        <v>39</v>
      </c>
      <c r="N230" s="11" t="s">
        <v>39</v>
      </c>
      <c r="O230" s="11" t="s">
        <v>39</v>
      </c>
      <c r="P230" t="s">
        <v>9</v>
      </c>
      <c r="Q230">
        <v>36</v>
      </c>
      <c r="R230">
        <v>0</v>
      </c>
      <c r="S230">
        <v>0</v>
      </c>
      <c r="T230" t="str">
        <f t="shared" si="33"/>
        <v>-</v>
      </c>
      <c r="U230" t="str">
        <f t="shared" si="34"/>
        <v>-</v>
      </c>
      <c r="V230" t="str">
        <f t="shared" si="35"/>
        <v>-</v>
      </c>
      <c r="W230" t="str">
        <f t="shared" si="36"/>
        <v>-</v>
      </c>
      <c r="X230" t="str">
        <f t="shared" si="37"/>
        <v>-</v>
      </c>
      <c r="Y230" t="str">
        <f t="shared" si="38"/>
        <v>-</v>
      </c>
      <c r="Z230" t="str">
        <f t="shared" si="39"/>
        <v>-</v>
      </c>
      <c r="AA230" t="str">
        <f t="shared" si="40"/>
        <v>-</v>
      </c>
      <c r="AB230" t="str">
        <f>IF(_xlfn.IFNA(VLOOKUP(P230,Set_Ref!$B$6:$B$1048576,1,FALSE),"")&lt;&gt;"","-",FALSE)</f>
        <v>-</v>
      </c>
      <c r="AC230" t="str">
        <f t="shared" si="41"/>
        <v>-</v>
      </c>
      <c r="AD230" t="str">
        <f t="shared" si="42"/>
        <v>-</v>
      </c>
      <c r="AE230" t="b">
        <f t="shared" si="43"/>
        <v>1</v>
      </c>
    </row>
    <row r="231" spans="1:31" x14ac:dyDescent="0.25">
      <c r="A231">
        <v>1</v>
      </c>
      <c r="B231">
        <v>229</v>
      </c>
      <c r="C231">
        <v>261</v>
      </c>
      <c r="D231" s="11" t="s">
        <v>149</v>
      </c>
      <c r="E231" t="s">
        <v>389</v>
      </c>
      <c r="F231" t="s">
        <v>196</v>
      </c>
      <c r="G231" s="11" t="s">
        <v>485</v>
      </c>
      <c r="H231">
        <v>8</v>
      </c>
      <c r="I231" s="11" t="s">
        <v>177</v>
      </c>
      <c r="J231" t="s">
        <v>487</v>
      </c>
      <c r="K231" t="s">
        <v>250</v>
      </c>
      <c r="L231" s="11" t="s">
        <v>39</v>
      </c>
      <c r="M231" s="11" t="s">
        <v>39</v>
      </c>
      <c r="N231" s="11" t="s">
        <v>39</v>
      </c>
      <c r="O231" s="11" t="s">
        <v>39</v>
      </c>
      <c r="P231" t="s">
        <v>9</v>
      </c>
      <c r="Q231">
        <v>20</v>
      </c>
      <c r="R231">
        <v>0</v>
      </c>
      <c r="S231">
        <v>0</v>
      </c>
      <c r="T231" t="str">
        <f t="shared" si="33"/>
        <v>-</v>
      </c>
      <c r="U231" t="str">
        <f t="shared" si="34"/>
        <v>-</v>
      </c>
      <c r="V231" t="str">
        <f t="shared" si="35"/>
        <v>-</v>
      </c>
      <c r="W231" t="str">
        <f t="shared" si="36"/>
        <v>-</v>
      </c>
      <c r="X231" t="str">
        <f t="shared" si="37"/>
        <v>-</v>
      </c>
      <c r="Y231" t="str">
        <f t="shared" si="38"/>
        <v>-</v>
      </c>
      <c r="Z231" t="str">
        <f t="shared" si="39"/>
        <v>-</v>
      </c>
      <c r="AA231" t="str">
        <f t="shared" si="40"/>
        <v>-</v>
      </c>
      <c r="AB231" t="str">
        <f>IF(_xlfn.IFNA(VLOOKUP(P231,Set_Ref!$B$6:$B$1048576,1,FALSE),"")&lt;&gt;"","-",FALSE)</f>
        <v>-</v>
      </c>
      <c r="AC231" t="str">
        <f t="shared" si="41"/>
        <v>-</v>
      </c>
      <c r="AD231" t="str">
        <f t="shared" si="42"/>
        <v>-</v>
      </c>
      <c r="AE231" t="b">
        <f t="shared" si="43"/>
        <v>1</v>
      </c>
    </row>
    <row r="232" spans="1:31" x14ac:dyDescent="0.25">
      <c r="A232">
        <v>1</v>
      </c>
      <c r="B232">
        <v>230</v>
      </c>
      <c r="C232">
        <v>261</v>
      </c>
      <c r="D232" s="11" t="s">
        <v>149</v>
      </c>
      <c r="E232" t="s">
        <v>392</v>
      </c>
      <c r="F232" t="s">
        <v>197</v>
      </c>
      <c r="G232" s="11" t="s">
        <v>488</v>
      </c>
      <c r="H232">
        <v>1</v>
      </c>
      <c r="I232" s="11" t="s">
        <v>429</v>
      </c>
      <c r="J232" t="s">
        <v>277</v>
      </c>
      <c r="K232" t="s">
        <v>217</v>
      </c>
      <c r="L232" s="11" t="s">
        <v>39</v>
      </c>
      <c r="M232" s="11" t="s">
        <v>39</v>
      </c>
      <c r="N232" s="11" t="s">
        <v>39</v>
      </c>
      <c r="O232" s="11" t="s">
        <v>39</v>
      </c>
      <c r="P232" t="s">
        <v>9</v>
      </c>
      <c r="Q232">
        <v>295</v>
      </c>
      <c r="R232">
        <v>0</v>
      </c>
      <c r="S232">
        <v>0</v>
      </c>
      <c r="T232" t="str">
        <f t="shared" si="33"/>
        <v>-</v>
      </c>
      <c r="U232" t="str">
        <f t="shared" si="34"/>
        <v>-</v>
      </c>
      <c r="V232" t="str">
        <f t="shared" si="35"/>
        <v>-</v>
      </c>
      <c r="W232" t="str">
        <f t="shared" si="36"/>
        <v>-</v>
      </c>
      <c r="X232" t="str">
        <f t="shared" si="37"/>
        <v>-</v>
      </c>
      <c r="Y232" t="str">
        <f t="shared" si="38"/>
        <v>-</v>
      </c>
      <c r="Z232" t="str">
        <f t="shared" si="39"/>
        <v>-</v>
      </c>
      <c r="AA232" t="str">
        <f t="shared" si="40"/>
        <v>-</v>
      </c>
      <c r="AB232" t="str">
        <f>IF(_xlfn.IFNA(VLOOKUP(P232,Set_Ref!$B$6:$B$1048576,1,FALSE),"")&lt;&gt;"","-",FALSE)</f>
        <v>-</v>
      </c>
      <c r="AC232" t="str">
        <f t="shared" si="41"/>
        <v>-</v>
      </c>
      <c r="AD232" t="str">
        <f t="shared" si="42"/>
        <v>-</v>
      </c>
      <c r="AE232" t="b">
        <f t="shared" si="43"/>
        <v>1</v>
      </c>
    </row>
    <row r="233" spans="1:31" x14ac:dyDescent="0.25">
      <c r="A233">
        <v>1</v>
      </c>
      <c r="B233">
        <v>231</v>
      </c>
      <c r="C233">
        <v>261</v>
      </c>
      <c r="D233" s="11" t="s">
        <v>149</v>
      </c>
      <c r="E233" t="s">
        <v>393</v>
      </c>
      <c r="F233" t="s">
        <v>198</v>
      </c>
      <c r="G233" s="11" t="s">
        <v>489</v>
      </c>
      <c r="H233">
        <v>1</v>
      </c>
      <c r="I233" s="11" t="s">
        <v>427</v>
      </c>
      <c r="J233" t="s">
        <v>274</v>
      </c>
      <c r="K233" t="s">
        <v>214</v>
      </c>
      <c r="L233" s="11" t="s">
        <v>39</v>
      </c>
      <c r="M233" s="11" t="s">
        <v>39</v>
      </c>
      <c r="N233" s="11" t="s">
        <v>39</v>
      </c>
      <c r="O233" s="11" t="s">
        <v>39</v>
      </c>
      <c r="P233" t="s">
        <v>9</v>
      </c>
      <c r="Q233">
        <v>3930</v>
      </c>
      <c r="R233">
        <v>0</v>
      </c>
      <c r="S233">
        <v>0</v>
      </c>
      <c r="T233" t="str">
        <f t="shared" si="33"/>
        <v>-</v>
      </c>
      <c r="U233" t="str">
        <f t="shared" si="34"/>
        <v>-</v>
      </c>
      <c r="V233" t="str">
        <f t="shared" si="35"/>
        <v>-</v>
      </c>
      <c r="W233" t="str">
        <f t="shared" si="36"/>
        <v>-</v>
      </c>
      <c r="X233" t="str">
        <f t="shared" si="37"/>
        <v>-</v>
      </c>
      <c r="Y233" t="str">
        <f t="shared" si="38"/>
        <v>-</v>
      </c>
      <c r="Z233" t="str">
        <f t="shared" si="39"/>
        <v>-</v>
      </c>
      <c r="AA233" t="str">
        <f t="shared" si="40"/>
        <v>-</v>
      </c>
      <c r="AB233" t="str">
        <f>IF(_xlfn.IFNA(VLOOKUP(P233,Set_Ref!$B$6:$B$1048576,1,FALSE),"")&lt;&gt;"","-",FALSE)</f>
        <v>-</v>
      </c>
      <c r="AC233" t="str">
        <f t="shared" si="41"/>
        <v>-</v>
      </c>
      <c r="AD233" t="str">
        <f t="shared" si="42"/>
        <v>-</v>
      </c>
      <c r="AE233" t="b">
        <f t="shared" si="43"/>
        <v>1</v>
      </c>
    </row>
    <row r="234" spans="1:31" x14ac:dyDescent="0.25">
      <c r="A234">
        <v>1</v>
      </c>
      <c r="B234">
        <v>232</v>
      </c>
      <c r="C234">
        <v>261</v>
      </c>
      <c r="D234" s="11" t="s">
        <v>149</v>
      </c>
      <c r="E234" t="s">
        <v>393</v>
      </c>
      <c r="F234" t="s">
        <v>198</v>
      </c>
      <c r="G234" s="11" t="s">
        <v>489</v>
      </c>
      <c r="H234">
        <v>2</v>
      </c>
      <c r="I234" s="11" t="s">
        <v>427</v>
      </c>
      <c r="J234" t="s">
        <v>283</v>
      </c>
      <c r="K234" t="s">
        <v>225</v>
      </c>
      <c r="L234" s="11" t="s">
        <v>39</v>
      </c>
      <c r="M234" s="11" t="s">
        <v>39</v>
      </c>
      <c r="N234" s="11" t="s">
        <v>39</v>
      </c>
      <c r="O234" s="11" t="s">
        <v>39</v>
      </c>
      <c r="P234" t="s">
        <v>9</v>
      </c>
      <c r="Q234">
        <v>1400</v>
      </c>
      <c r="R234">
        <v>0</v>
      </c>
      <c r="S234">
        <v>0</v>
      </c>
      <c r="T234" t="str">
        <f t="shared" si="33"/>
        <v>-</v>
      </c>
      <c r="U234" t="str">
        <f t="shared" si="34"/>
        <v>-</v>
      </c>
      <c r="V234" t="str">
        <f t="shared" si="35"/>
        <v>-</v>
      </c>
      <c r="W234" t="str">
        <f t="shared" si="36"/>
        <v>-</v>
      </c>
      <c r="X234" t="str">
        <f t="shared" si="37"/>
        <v>-</v>
      </c>
      <c r="Y234" t="str">
        <f t="shared" si="38"/>
        <v>-</v>
      </c>
      <c r="Z234" t="str">
        <f t="shared" si="39"/>
        <v>-</v>
      </c>
      <c r="AA234" t="str">
        <f t="shared" si="40"/>
        <v>-</v>
      </c>
      <c r="AB234" t="str">
        <f>IF(_xlfn.IFNA(VLOOKUP(P234,Set_Ref!$B$6:$B$1048576,1,FALSE),"")&lt;&gt;"","-",FALSE)</f>
        <v>-</v>
      </c>
      <c r="AC234" t="str">
        <f t="shared" si="41"/>
        <v>-</v>
      </c>
      <c r="AD234" t="str">
        <f t="shared" si="42"/>
        <v>-</v>
      </c>
      <c r="AE234" t="b">
        <f t="shared" si="43"/>
        <v>1</v>
      </c>
    </row>
    <row r="235" spans="1:31" x14ac:dyDescent="0.25">
      <c r="A235">
        <v>1</v>
      </c>
      <c r="B235">
        <v>233</v>
      </c>
      <c r="C235">
        <v>261</v>
      </c>
      <c r="D235" s="11" t="s">
        <v>149</v>
      </c>
      <c r="E235" t="s">
        <v>394</v>
      </c>
      <c r="F235" t="s">
        <v>199</v>
      </c>
      <c r="G235" s="11" t="s">
        <v>490</v>
      </c>
      <c r="H235">
        <v>1</v>
      </c>
      <c r="I235" s="11" t="s">
        <v>480</v>
      </c>
      <c r="J235" t="s">
        <v>383</v>
      </c>
      <c r="K235" t="s">
        <v>259</v>
      </c>
      <c r="L235" s="11" t="s">
        <v>39</v>
      </c>
      <c r="M235" s="11" t="s">
        <v>39</v>
      </c>
      <c r="N235" s="11" t="s">
        <v>39</v>
      </c>
      <c r="O235" s="11" t="s">
        <v>39</v>
      </c>
      <c r="P235" t="s">
        <v>9</v>
      </c>
      <c r="Q235">
        <v>6900</v>
      </c>
      <c r="R235">
        <v>0</v>
      </c>
      <c r="S235">
        <v>0</v>
      </c>
      <c r="T235" t="str">
        <f t="shared" si="33"/>
        <v>-</v>
      </c>
      <c r="U235" t="str">
        <f t="shared" si="34"/>
        <v>-</v>
      </c>
      <c r="V235" t="str">
        <f t="shared" si="35"/>
        <v>-</v>
      </c>
      <c r="W235" t="str">
        <f t="shared" si="36"/>
        <v>-</v>
      </c>
      <c r="X235" t="str">
        <f t="shared" si="37"/>
        <v>-</v>
      </c>
      <c r="Y235" t="str">
        <f t="shared" si="38"/>
        <v>-</v>
      </c>
      <c r="Z235" t="str">
        <f t="shared" si="39"/>
        <v>-</v>
      </c>
      <c r="AA235" t="str">
        <f t="shared" si="40"/>
        <v>-</v>
      </c>
      <c r="AB235" t="str">
        <f>IF(_xlfn.IFNA(VLOOKUP(P235,Set_Ref!$B$6:$B$1048576,1,FALSE),"")&lt;&gt;"","-",FALSE)</f>
        <v>-</v>
      </c>
      <c r="AC235" t="str">
        <f t="shared" si="41"/>
        <v>-</v>
      </c>
      <c r="AD235" t="str">
        <f t="shared" si="42"/>
        <v>-</v>
      </c>
      <c r="AE235" t="b">
        <f t="shared" si="43"/>
        <v>1</v>
      </c>
    </row>
    <row r="236" spans="1:31" x14ac:dyDescent="0.25">
      <c r="A236">
        <v>1</v>
      </c>
      <c r="B236">
        <v>234</v>
      </c>
      <c r="C236">
        <v>261</v>
      </c>
      <c r="D236" s="11" t="s">
        <v>149</v>
      </c>
      <c r="E236" t="s">
        <v>394</v>
      </c>
      <c r="F236" t="s">
        <v>199</v>
      </c>
      <c r="G236" s="11" t="s">
        <v>490</v>
      </c>
      <c r="H236">
        <v>2</v>
      </c>
      <c r="I236" s="11" t="s">
        <v>429</v>
      </c>
      <c r="J236" t="s">
        <v>277</v>
      </c>
      <c r="K236" t="s">
        <v>217</v>
      </c>
      <c r="L236" s="11" t="s">
        <v>39</v>
      </c>
      <c r="M236" s="11" t="s">
        <v>39</v>
      </c>
      <c r="N236" s="11" t="s">
        <v>39</v>
      </c>
      <c r="O236" s="11" t="s">
        <v>39</v>
      </c>
      <c r="P236" t="s">
        <v>9</v>
      </c>
      <c r="Q236">
        <v>54</v>
      </c>
      <c r="R236">
        <v>0</v>
      </c>
      <c r="S236">
        <v>0</v>
      </c>
      <c r="T236" t="str">
        <f t="shared" si="33"/>
        <v>-</v>
      </c>
      <c r="U236" t="str">
        <f t="shared" si="34"/>
        <v>-</v>
      </c>
      <c r="V236" t="str">
        <f t="shared" si="35"/>
        <v>-</v>
      </c>
      <c r="W236" t="str">
        <f t="shared" si="36"/>
        <v>-</v>
      </c>
      <c r="X236" t="str">
        <f t="shared" si="37"/>
        <v>-</v>
      </c>
      <c r="Y236" t="str">
        <f t="shared" si="38"/>
        <v>-</v>
      </c>
      <c r="Z236" t="str">
        <f t="shared" si="39"/>
        <v>-</v>
      </c>
      <c r="AA236" t="str">
        <f t="shared" si="40"/>
        <v>-</v>
      </c>
      <c r="AB236" t="str">
        <f>IF(_xlfn.IFNA(VLOOKUP(P236,Set_Ref!$B$6:$B$1048576,1,FALSE),"")&lt;&gt;"","-",FALSE)</f>
        <v>-</v>
      </c>
      <c r="AC236" t="str">
        <f t="shared" si="41"/>
        <v>-</v>
      </c>
      <c r="AD236" t="str">
        <f t="shared" si="42"/>
        <v>-</v>
      </c>
      <c r="AE236" t="b">
        <f t="shared" si="43"/>
        <v>1</v>
      </c>
    </row>
    <row r="237" spans="1:31" x14ac:dyDescent="0.25">
      <c r="A237">
        <v>1</v>
      </c>
      <c r="B237">
        <v>235</v>
      </c>
      <c r="C237">
        <v>261</v>
      </c>
      <c r="D237" s="11" t="s">
        <v>149</v>
      </c>
      <c r="E237" t="s">
        <v>394</v>
      </c>
      <c r="F237" t="s">
        <v>199</v>
      </c>
      <c r="G237" s="11" t="s">
        <v>490</v>
      </c>
      <c r="H237">
        <v>3</v>
      </c>
      <c r="I237" s="11" t="s">
        <v>440</v>
      </c>
      <c r="J237" t="s">
        <v>309</v>
      </c>
      <c r="K237" t="s">
        <v>231</v>
      </c>
      <c r="L237" s="11" t="s">
        <v>39</v>
      </c>
      <c r="M237" s="11" t="s">
        <v>39</v>
      </c>
      <c r="N237" s="11" t="s">
        <v>39</v>
      </c>
      <c r="O237" s="11" t="s">
        <v>39</v>
      </c>
      <c r="P237" t="s">
        <v>10</v>
      </c>
      <c r="Q237">
        <v>2155.8000000000002</v>
      </c>
      <c r="R237">
        <v>0</v>
      </c>
      <c r="S237">
        <v>0</v>
      </c>
      <c r="T237" t="str">
        <f t="shared" si="33"/>
        <v>-</v>
      </c>
      <c r="U237" t="str">
        <f t="shared" si="34"/>
        <v>-</v>
      </c>
      <c r="V237" t="str">
        <f t="shared" si="35"/>
        <v>-</v>
      </c>
      <c r="W237" t="str">
        <f t="shared" si="36"/>
        <v>-</v>
      </c>
      <c r="X237" t="str">
        <f t="shared" si="37"/>
        <v>-</v>
      </c>
      <c r="Y237" t="str">
        <f t="shared" si="38"/>
        <v>-</v>
      </c>
      <c r="Z237" t="str">
        <f t="shared" si="39"/>
        <v>-</v>
      </c>
      <c r="AA237" t="str">
        <f t="shared" si="40"/>
        <v>-</v>
      </c>
      <c r="AB237" t="str">
        <f>IF(_xlfn.IFNA(VLOOKUP(P237,Set_Ref!$B$6:$B$1048576,1,FALSE),"")&lt;&gt;"","-",FALSE)</f>
        <v>-</v>
      </c>
      <c r="AC237" t="str">
        <f t="shared" si="41"/>
        <v>-</v>
      </c>
      <c r="AD237" t="str">
        <f t="shared" si="42"/>
        <v>-</v>
      </c>
      <c r="AE237" t="b">
        <f t="shared" si="43"/>
        <v>1</v>
      </c>
    </row>
    <row r="238" spans="1:31" x14ac:dyDescent="0.25">
      <c r="A238">
        <v>1</v>
      </c>
      <c r="B238">
        <v>236</v>
      </c>
      <c r="C238">
        <v>261</v>
      </c>
      <c r="D238" s="11" t="s">
        <v>149</v>
      </c>
      <c r="E238" t="s">
        <v>395</v>
      </c>
      <c r="F238" t="s">
        <v>200</v>
      </c>
      <c r="G238" s="11" t="s">
        <v>491</v>
      </c>
      <c r="H238">
        <v>1</v>
      </c>
      <c r="I238" s="11" t="s">
        <v>427</v>
      </c>
      <c r="J238" t="s">
        <v>492</v>
      </c>
      <c r="K238" t="s">
        <v>237</v>
      </c>
      <c r="L238" s="11" t="s">
        <v>39</v>
      </c>
      <c r="M238" s="11" t="s">
        <v>39</v>
      </c>
      <c r="N238" s="11" t="s">
        <v>39</v>
      </c>
      <c r="O238" s="11" t="s">
        <v>39</v>
      </c>
      <c r="P238" t="s">
        <v>9</v>
      </c>
      <c r="Q238">
        <v>32</v>
      </c>
      <c r="R238">
        <v>0</v>
      </c>
      <c r="S238">
        <v>0</v>
      </c>
      <c r="T238" t="str">
        <f t="shared" si="33"/>
        <v>-</v>
      </c>
      <c r="U238" t="str">
        <f t="shared" si="34"/>
        <v>-</v>
      </c>
      <c r="V238" t="str">
        <f t="shared" si="35"/>
        <v>-</v>
      </c>
      <c r="W238" t="str">
        <f t="shared" si="36"/>
        <v>-</v>
      </c>
      <c r="X238" t="str">
        <f t="shared" si="37"/>
        <v>-</v>
      </c>
      <c r="Y238" t="str">
        <f t="shared" si="38"/>
        <v>-</v>
      </c>
      <c r="Z238" t="str">
        <f t="shared" si="39"/>
        <v>-</v>
      </c>
      <c r="AA238" t="str">
        <f t="shared" si="40"/>
        <v>-</v>
      </c>
      <c r="AB238" t="str">
        <f>IF(_xlfn.IFNA(VLOOKUP(P238,Set_Ref!$B$6:$B$1048576,1,FALSE),"")&lt;&gt;"","-",FALSE)</f>
        <v>-</v>
      </c>
      <c r="AC238" t="str">
        <f t="shared" si="41"/>
        <v>-</v>
      </c>
      <c r="AD238" t="str">
        <f t="shared" si="42"/>
        <v>-</v>
      </c>
      <c r="AE238" t="b">
        <f t="shared" si="43"/>
        <v>1</v>
      </c>
    </row>
    <row r="239" spans="1:31" x14ac:dyDescent="0.25">
      <c r="A239">
        <v>1</v>
      </c>
      <c r="B239">
        <v>237</v>
      </c>
      <c r="C239">
        <v>261</v>
      </c>
      <c r="D239" s="11" t="s">
        <v>149</v>
      </c>
      <c r="E239" t="s">
        <v>395</v>
      </c>
      <c r="F239" t="s">
        <v>200</v>
      </c>
      <c r="G239" s="11" t="s">
        <v>491</v>
      </c>
      <c r="H239">
        <v>1</v>
      </c>
      <c r="I239" s="11" t="s">
        <v>427</v>
      </c>
      <c r="J239" t="s">
        <v>492</v>
      </c>
      <c r="K239" t="s">
        <v>237</v>
      </c>
      <c r="L239" s="11" t="s">
        <v>39</v>
      </c>
      <c r="M239" s="11" t="s">
        <v>39</v>
      </c>
      <c r="N239" s="11" t="s">
        <v>39</v>
      </c>
      <c r="O239" s="11" t="s">
        <v>39</v>
      </c>
      <c r="P239" t="s">
        <v>9</v>
      </c>
      <c r="Q239">
        <v>12</v>
      </c>
      <c r="R239">
        <v>0</v>
      </c>
      <c r="S239">
        <v>0</v>
      </c>
      <c r="T239" t="str">
        <f t="shared" si="33"/>
        <v>-</v>
      </c>
      <c r="U239" t="str">
        <f t="shared" si="34"/>
        <v>-</v>
      </c>
      <c r="V239" t="str">
        <f t="shared" si="35"/>
        <v>-</v>
      </c>
      <c r="W239" t="str">
        <f t="shared" si="36"/>
        <v>-</v>
      </c>
      <c r="X239" t="str">
        <f t="shared" si="37"/>
        <v>-</v>
      </c>
      <c r="Y239" t="str">
        <f t="shared" si="38"/>
        <v>-</v>
      </c>
      <c r="Z239" t="str">
        <f t="shared" si="39"/>
        <v>-</v>
      </c>
      <c r="AA239" t="str">
        <f t="shared" si="40"/>
        <v>-</v>
      </c>
      <c r="AB239" t="str">
        <f>IF(_xlfn.IFNA(VLOOKUP(P239,Set_Ref!$B$6:$B$1048576,1,FALSE),"")&lt;&gt;"","-",FALSE)</f>
        <v>-</v>
      </c>
      <c r="AC239" t="str">
        <f t="shared" si="41"/>
        <v>-</v>
      </c>
      <c r="AD239" t="str">
        <f t="shared" si="42"/>
        <v>-</v>
      </c>
      <c r="AE239" t="b">
        <f t="shared" si="43"/>
        <v>1</v>
      </c>
    </row>
    <row r="240" spans="1:31" x14ac:dyDescent="0.25">
      <c r="A240">
        <v>1</v>
      </c>
      <c r="B240">
        <v>238</v>
      </c>
      <c r="C240">
        <v>261</v>
      </c>
      <c r="D240" s="11" t="s">
        <v>149</v>
      </c>
      <c r="E240" t="s">
        <v>395</v>
      </c>
      <c r="F240" t="s">
        <v>200</v>
      </c>
      <c r="G240" s="11" t="s">
        <v>491</v>
      </c>
      <c r="H240">
        <v>2</v>
      </c>
      <c r="I240" s="11" t="s">
        <v>427</v>
      </c>
      <c r="J240" t="s">
        <v>283</v>
      </c>
      <c r="K240" t="s">
        <v>225</v>
      </c>
      <c r="L240" s="11" t="s">
        <v>39</v>
      </c>
      <c r="M240" s="11" t="s">
        <v>39</v>
      </c>
      <c r="N240" s="11" t="s">
        <v>39</v>
      </c>
      <c r="O240" s="11" t="s">
        <v>39</v>
      </c>
      <c r="P240" t="s">
        <v>9</v>
      </c>
      <c r="Q240">
        <v>529</v>
      </c>
      <c r="R240">
        <v>0</v>
      </c>
      <c r="S240">
        <v>0</v>
      </c>
      <c r="T240" t="str">
        <f t="shared" si="33"/>
        <v>-</v>
      </c>
      <c r="U240" t="str">
        <f t="shared" si="34"/>
        <v>-</v>
      </c>
      <c r="V240" t="str">
        <f t="shared" si="35"/>
        <v>-</v>
      </c>
      <c r="W240" t="str">
        <f t="shared" si="36"/>
        <v>-</v>
      </c>
      <c r="X240" t="str">
        <f t="shared" si="37"/>
        <v>-</v>
      </c>
      <c r="Y240" t="str">
        <f t="shared" si="38"/>
        <v>-</v>
      </c>
      <c r="Z240" t="str">
        <f t="shared" si="39"/>
        <v>-</v>
      </c>
      <c r="AA240" t="str">
        <f t="shared" si="40"/>
        <v>-</v>
      </c>
      <c r="AB240" t="str">
        <f>IF(_xlfn.IFNA(VLOOKUP(P240,Set_Ref!$B$6:$B$1048576,1,FALSE),"")&lt;&gt;"","-",FALSE)</f>
        <v>-</v>
      </c>
      <c r="AC240" t="str">
        <f t="shared" si="41"/>
        <v>-</v>
      </c>
      <c r="AD240" t="str">
        <f t="shared" si="42"/>
        <v>-</v>
      </c>
      <c r="AE240" t="b">
        <f t="shared" si="43"/>
        <v>1</v>
      </c>
    </row>
    <row r="241" spans="1:31" x14ac:dyDescent="0.25">
      <c r="A241">
        <v>1</v>
      </c>
      <c r="B241">
        <v>239</v>
      </c>
      <c r="C241">
        <v>261</v>
      </c>
      <c r="D241" s="11" t="s">
        <v>149</v>
      </c>
      <c r="E241" t="s">
        <v>395</v>
      </c>
      <c r="F241" t="s">
        <v>200</v>
      </c>
      <c r="G241" s="11" t="s">
        <v>491</v>
      </c>
      <c r="H241">
        <v>3</v>
      </c>
      <c r="I241" s="11" t="s">
        <v>427</v>
      </c>
      <c r="J241" t="s">
        <v>274</v>
      </c>
      <c r="K241" t="s">
        <v>214</v>
      </c>
      <c r="L241" s="11" t="s">
        <v>39</v>
      </c>
      <c r="M241" s="11" t="s">
        <v>39</v>
      </c>
      <c r="N241" s="11" t="s">
        <v>39</v>
      </c>
      <c r="O241" s="11" t="s">
        <v>39</v>
      </c>
      <c r="P241" t="s">
        <v>9</v>
      </c>
      <c r="Q241">
        <v>735</v>
      </c>
      <c r="R241">
        <v>0</v>
      </c>
      <c r="S241">
        <v>0</v>
      </c>
      <c r="T241" t="str">
        <f t="shared" si="33"/>
        <v>-</v>
      </c>
      <c r="U241" t="str">
        <f t="shared" si="34"/>
        <v>-</v>
      </c>
      <c r="V241" t="str">
        <f t="shared" si="35"/>
        <v>-</v>
      </c>
      <c r="W241" t="str">
        <f t="shared" si="36"/>
        <v>-</v>
      </c>
      <c r="X241" t="str">
        <f t="shared" si="37"/>
        <v>-</v>
      </c>
      <c r="Y241" t="str">
        <f t="shared" si="38"/>
        <v>-</v>
      </c>
      <c r="Z241" t="str">
        <f t="shared" si="39"/>
        <v>-</v>
      </c>
      <c r="AA241" t="str">
        <f t="shared" si="40"/>
        <v>-</v>
      </c>
      <c r="AB241" t="str">
        <f>IF(_xlfn.IFNA(VLOOKUP(P241,Set_Ref!$B$6:$B$1048576,1,FALSE),"")&lt;&gt;"","-",FALSE)</f>
        <v>-</v>
      </c>
      <c r="AC241" t="str">
        <f t="shared" si="41"/>
        <v>-</v>
      </c>
      <c r="AD241" t="str">
        <f t="shared" si="42"/>
        <v>-</v>
      </c>
      <c r="AE241" t="b">
        <f t="shared" si="43"/>
        <v>1</v>
      </c>
    </row>
    <row r="242" spans="1:31" x14ac:dyDescent="0.25">
      <c r="A242">
        <v>1</v>
      </c>
      <c r="B242">
        <v>240</v>
      </c>
      <c r="C242">
        <v>261</v>
      </c>
      <c r="D242" s="11" t="s">
        <v>149</v>
      </c>
      <c r="E242" t="s">
        <v>395</v>
      </c>
      <c r="F242" t="s">
        <v>200</v>
      </c>
      <c r="G242" s="11" t="s">
        <v>491</v>
      </c>
      <c r="H242">
        <v>1</v>
      </c>
      <c r="I242" s="11" t="s">
        <v>427</v>
      </c>
      <c r="J242" t="s">
        <v>492</v>
      </c>
      <c r="K242" t="s">
        <v>237</v>
      </c>
      <c r="L242" s="11" t="s">
        <v>39</v>
      </c>
      <c r="M242" s="11" t="s">
        <v>39</v>
      </c>
      <c r="N242" s="11" t="s">
        <v>39</v>
      </c>
      <c r="O242" s="11" t="s">
        <v>39</v>
      </c>
      <c r="P242" t="s">
        <v>9</v>
      </c>
      <c r="Q242">
        <v>14</v>
      </c>
      <c r="R242">
        <v>0</v>
      </c>
      <c r="S242">
        <v>0</v>
      </c>
      <c r="T242" t="str">
        <f t="shared" si="33"/>
        <v>-</v>
      </c>
      <c r="U242" t="str">
        <f t="shared" si="34"/>
        <v>-</v>
      </c>
      <c r="V242" t="str">
        <f t="shared" si="35"/>
        <v>-</v>
      </c>
      <c r="W242" t="str">
        <f t="shared" si="36"/>
        <v>-</v>
      </c>
      <c r="X242" t="str">
        <f t="shared" si="37"/>
        <v>-</v>
      </c>
      <c r="Y242" t="str">
        <f t="shared" si="38"/>
        <v>-</v>
      </c>
      <c r="Z242" t="str">
        <f t="shared" si="39"/>
        <v>-</v>
      </c>
      <c r="AA242" t="str">
        <f t="shared" si="40"/>
        <v>-</v>
      </c>
      <c r="AB242" t="str">
        <f>IF(_xlfn.IFNA(VLOOKUP(P242,Set_Ref!$B$6:$B$1048576,1,FALSE),"")&lt;&gt;"","-",FALSE)</f>
        <v>-</v>
      </c>
      <c r="AC242" t="str">
        <f t="shared" si="41"/>
        <v>-</v>
      </c>
      <c r="AD242" t="str">
        <f t="shared" si="42"/>
        <v>-</v>
      </c>
      <c r="AE242" t="b">
        <f t="shared" si="43"/>
        <v>1</v>
      </c>
    </row>
    <row r="243" spans="1:31" x14ac:dyDescent="0.25">
      <c r="A243">
        <v>1</v>
      </c>
      <c r="B243">
        <v>241</v>
      </c>
      <c r="C243">
        <v>261</v>
      </c>
      <c r="D243" s="11" t="s">
        <v>149</v>
      </c>
      <c r="E243" t="s">
        <v>395</v>
      </c>
      <c r="F243" t="s">
        <v>200</v>
      </c>
      <c r="G243" s="11" t="s">
        <v>491</v>
      </c>
      <c r="H243">
        <v>1</v>
      </c>
      <c r="I243" s="11" t="s">
        <v>427</v>
      </c>
      <c r="J243" t="s">
        <v>492</v>
      </c>
      <c r="K243" t="s">
        <v>237</v>
      </c>
      <c r="L243" s="11" t="s">
        <v>39</v>
      </c>
      <c r="M243" s="11" t="s">
        <v>39</v>
      </c>
      <c r="N243" s="11" t="s">
        <v>39</v>
      </c>
      <c r="O243" s="11" t="s">
        <v>39</v>
      </c>
      <c r="P243" t="s">
        <v>9</v>
      </c>
      <c r="Q243">
        <v>2</v>
      </c>
      <c r="R243">
        <v>0</v>
      </c>
      <c r="S243">
        <v>0</v>
      </c>
      <c r="T243" t="str">
        <f t="shared" si="33"/>
        <v>-</v>
      </c>
      <c r="U243" t="str">
        <f t="shared" si="34"/>
        <v>-</v>
      </c>
      <c r="V243" t="str">
        <f t="shared" si="35"/>
        <v>-</v>
      </c>
      <c r="W243" t="str">
        <f t="shared" si="36"/>
        <v>-</v>
      </c>
      <c r="X243" t="str">
        <f t="shared" si="37"/>
        <v>-</v>
      </c>
      <c r="Y243" t="str">
        <f t="shared" si="38"/>
        <v>-</v>
      </c>
      <c r="Z243" t="str">
        <f t="shared" si="39"/>
        <v>-</v>
      </c>
      <c r="AA243" t="str">
        <f t="shared" si="40"/>
        <v>-</v>
      </c>
      <c r="AB243" t="str">
        <f>IF(_xlfn.IFNA(VLOOKUP(P243,Set_Ref!$B$6:$B$1048576,1,FALSE),"")&lt;&gt;"","-",FALSE)</f>
        <v>-</v>
      </c>
      <c r="AC243" t="str">
        <f t="shared" si="41"/>
        <v>-</v>
      </c>
      <c r="AD243" t="str">
        <f t="shared" si="42"/>
        <v>-</v>
      </c>
      <c r="AE243" t="b">
        <f t="shared" si="43"/>
        <v>1</v>
      </c>
    </row>
    <row r="244" spans="1:31" x14ac:dyDescent="0.25">
      <c r="A244">
        <v>1</v>
      </c>
      <c r="B244">
        <v>242</v>
      </c>
      <c r="C244">
        <v>261</v>
      </c>
      <c r="D244" s="11" t="s">
        <v>149</v>
      </c>
      <c r="E244" t="s">
        <v>396</v>
      </c>
      <c r="F244" t="s">
        <v>200</v>
      </c>
      <c r="G244" s="11" t="s">
        <v>493</v>
      </c>
      <c r="H244">
        <v>1</v>
      </c>
      <c r="I244" s="11" t="s">
        <v>177</v>
      </c>
      <c r="J244" t="s">
        <v>387</v>
      </c>
      <c r="K244" t="s">
        <v>250</v>
      </c>
      <c r="L244" s="11" t="s">
        <v>39</v>
      </c>
      <c r="M244" s="11" t="s">
        <v>39</v>
      </c>
      <c r="N244" s="11" t="s">
        <v>39</v>
      </c>
      <c r="O244" s="11" t="s">
        <v>39</v>
      </c>
      <c r="P244" t="s">
        <v>9</v>
      </c>
      <c r="Q244">
        <v>134</v>
      </c>
      <c r="R244">
        <v>0</v>
      </c>
      <c r="S244">
        <v>0</v>
      </c>
      <c r="T244" t="str">
        <f t="shared" si="33"/>
        <v>-</v>
      </c>
      <c r="U244" t="str">
        <f t="shared" si="34"/>
        <v>-</v>
      </c>
      <c r="V244" t="str">
        <f t="shared" si="35"/>
        <v>-</v>
      </c>
      <c r="W244" t="str">
        <f t="shared" si="36"/>
        <v>-</v>
      </c>
      <c r="X244" t="str">
        <f t="shared" si="37"/>
        <v>-</v>
      </c>
      <c r="Y244" t="str">
        <f t="shared" si="38"/>
        <v>-</v>
      </c>
      <c r="Z244" t="str">
        <f t="shared" si="39"/>
        <v>-</v>
      </c>
      <c r="AA244" t="str">
        <f t="shared" si="40"/>
        <v>-</v>
      </c>
      <c r="AB244" t="str">
        <f>IF(_xlfn.IFNA(VLOOKUP(P244,Set_Ref!$B$6:$B$1048576,1,FALSE),"")&lt;&gt;"","-",FALSE)</f>
        <v>-</v>
      </c>
      <c r="AC244" t="str">
        <f t="shared" si="41"/>
        <v>-</v>
      </c>
      <c r="AD244" t="str">
        <f t="shared" si="42"/>
        <v>-</v>
      </c>
      <c r="AE244" t="b">
        <f t="shared" si="43"/>
        <v>1</v>
      </c>
    </row>
    <row r="245" spans="1:31" x14ac:dyDescent="0.25">
      <c r="A245">
        <v>1</v>
      </c>
      <c r="B245">
        <v>243</v>
      </c>
      <c r="C245">
        <v>261</v>
      </c>
      <c r="D245" s="11" t="s">
        <v>149</v>
      </c>
      <c r="E245" t="s">
        <v>397</v>
      </c>
      <c r="F245" t="s">
        <v>201</v>
      </c>
      <c r="G245" s="11" t="s">
        <v>494</v>
      </c>
      <c r="H245">
        <v>1</v>
      </c>
      <c r="I245" s="11" t="s">
        <v>433</v>
      </c>
      <c r="J245" t="s">
        <v>281</v>
      </c>
      <c r="K245" t="s">
        <v>222</v>
      </c>
      <c r="L245" s="11" t="s">
        <v>39</v>
      </c>
      <c r="M245" s="11" t="s">
        <v>39</v>
      </c>
      <c r="N245" s="11" t="s">
        <v>39</v>
      </c>
      <c r="O245" s="11" t="s">
        <v>39</v>
      </c>
      <c r="P245" t="s">
        <v>10</v>
      </c>
      <c r="Q245">
        <v>1085</v>
      </c>
      <c r="R245">
        <v>0</v>
      </c>
      <c r="S245">
        <v>0</v>
      </c>
      <c r="T245" t="str">
        <f t="shared" si="33"/>
        <v>-</v>
      </c>
      <c r="U245" t="str">
        <f t="shared" si="34"/>
        <v>-</v>
      </c>
      <c r="V245" t="str">
        <f t="shared" si="35"/>
        <v>-</v>
      </c>
      <c r="W245" t="str">
        <f t="shared" si="36"/>
        <v>-</v>
      </c>
      <c r="X245" t="str">
        <f t="shared" si="37"/>
        <v>-</v>
      </c>
      <c r="Y245" t="str">
        <f t="shared" si="38"/>
        <v>-</v>
      </c>
      <c r="Z245" t="str">
        <f t="shared" si="39"/>
        <v>-</v>
      </c>
      <c r="AA245" t="str">
        <f t="shared" si="40"/>
        <v>-</v>
      </c>
      <c r="AB245" t="str">
        <f>IF(_xlfn.IFNA(VLOOKUP(P245,Set_Ref!$B$6:$B$1048576,1,FALSE),"")&lt;&gt;"","-",FALSE)</f>
        <v>-</v>
      </c>
      <c r="AC245" t="str">
        <f t="shared" si="41"/>
        <v>-</v>
      </c>
      <c r="AD245" t="str">
        <f t="shared" si="42"/>
        <v>-</v>
      </c>
      <c r="AE245" t="b">
        <f t="shared" si="43"/>
        <v>1</v>
      </c>
    </row>
    <row r="246" spans="1:31" x14ac:dyDescent="0.25">
      <c r="A246">
        <v>1</v>
      </c>
      <c r="B246">
        <v>244</v>
      </c>
      <c r="C246">
        <v>261</v>
      </c>
      <c r="D246" s="11" t="s">
        <v>149</v>
      </c>
      <c r="E246" t="s">
        <v>398</v>
      </c>
      <c r="F246" t="s">
        <v>202</v>
      </c>
      <c r="G246" s="11" t="s">
        <v>495</v>
      </c>
      <c r="H246">
        <v>1</v>
      </c>
      <c r="I246" s="11" t="s">
        <v>427</v>
      </c>
      <c r="J246" t="s">
        <v>318</v>
      </c>
      <c r="K246" t="s">
        <v>246</v>
      </c>
      <c r="L246" s="11" t="s">
        <v>39</v>
      </c>
      <c r="M246" s="11" t="s">
        <v>39</v>
      </c>
      <c r="N246" s="11" t="s">
        <v>39</v>
      </c>
      <c r="O246" s="11" t="s">
        <v>39</v>
      </c>
      <c r="P246" t="s">
        <v>9</v>
      </c>
      <c r="Q246">
        <v>500</v>
      </c>
      <c r="R246">
        <v>0</v>
      </c>
      <c r="S246">
        <v>0</v>
      </c>
      <c r="T246" t="str">
        <f t="shared" si="33"/>
        <v>-</v>
      </c>
      <c r="U246" t="str">
        <f t="shared" si="34"/>
        <v>-</v>
      </c>
      <c r="V246" t="str">
        <f t="shared" si="35"/>
        <v>-</v>
      </c>
      <c r="W246" t="str">
        <f t="shared" si="36"/>
        <v>-</v>
      </c>
      <c r="X246" t="str">
        <f t="shared" si="37"/>
        <v>-</v>
      </c>
      <c r="Y246" t="str">
        <f t="shared" si="38"/>
        <v>-</v>
      </c>
      <c r="Z246" t="str">
        <f t="shared" si="39"/>
        <v>-</v>
      </c>
      <c r="AA246" t="str">
        <f t="shared" si="40"/>
        <v>-</v>
      </c>
      <c r="AB246" t="str">
        <f>IF(_xlfn.IFNA(VLOOKUP(P246,Set_Ref!$B$6:$B$1048576,1,FALSE),"")&lt;&gt;"","-",FALSE)</f>
        <v>-</v>
      </c>
      <c r="AC246" t="str">
        <f t="shared" si="41"/>
        <v>-</v>
      </c>
      <c r="AD246" t="str">
        <f t="shared" si="42"/>
        <v>-</v>
      </c>
      <c r="AE246" t="b">
        <f t="shared" si="43"/>
        <v>1</v>
      </c>
    </row>
    <row r="247" spans="1:31" x14ac:dyDescent="0.25">
      <c r="A247">
        <v>1</v>
      </c>
      <c r="B247">
        <v>245</v>
      </c>
      <c r="C247">
        <v>261</v>
      </c>
      <c r="D247" s="11" t="s">
        <v>149</v>
      </c>
      <c r="E247" t="s">
        <v>399</v>
      </c>
      <c r="F247" t="s">
        <v>202</v>
      </c>
      <c r="G247" s="11" t="s">
        <v>496</v>
      </c>
      <c r="H247">
        <v>1</v>
      </c>
      <c r="I247" s="11" t="s">
        <v>427</v>
      </c>
      <c r="J247" t="s">
        <v>274</v>
      </c>
      <c r="K247" t="s">
        <v>214</v>
      </c>
      <c r="L247" s="11" t="s">
        <v>39</v>
      </c>
      <c r="M247" s="11" t="s">
        <v>39</v>
      </c>
      <c r="N247" s="11" t="s">
        <v>39</v>
      </c>
      <c r="O247" s="11" t="s">
        <v>39</v>
      </c>
      <c r="P247" t="s">
        <v>9</v>
      </c>
      <c r="Q247">
        <v>130</v>
      </c>
      <c r="R247">
        <v>0</v>
      </c>
      <c r="S247">
        <v>0</v>
      </c>
      <c r="T247" t="str">
        <f t="shared" si="33"/>
        <v>-</v>
      </c>
      <c r="U247" t="str">
        <f t="shared" si="34"/>
        <v>-</v>
      </c>
      <c r="V247" t="str">
        <f t="shared" si="35"/>
        <v>-</v>
      </c>
      <c r="W247" t="str">
        <f t="shared" si="36"/>
        <v>-</v>
      </c>
      <c r="X247" t="str">
        <f t="shared" si="37"/>
        <v>-</v>
      </c>
      <c r="Y247" t="str">
        <f t="shared" si="38"/>
        <v>-</v>
      </c>
      <c r="Z247" t="str">
        <f t="shared" si="39"/>
        <v>-</v>
      </c>
      <c r="AA247" t="str">
        <f t="shared" si="40"/>
        <v>-</v>
      </c>
      <c r="AB247" t="str">
        <f>IF(_xlfn.IFNA(VLOOKUP(P247,Set_Ref!$B$6:$B$1048576,1,FALSE),"")&lt;&gt;"","-",FALSE)</f>
        <v>-</v>
      </c>
      <c r="AC247" t="str">
        <f t="shared" si="41"/>
        <v>-</v>
      </c>
      <c r="AD247" t="str">
        <f t="shared" si="42"/>
        <v>-</v>
      </c>
      <c r="AE247" t="b">
        <f t="shared" si="43"/>
        <v>1</v>
      </c>
    </row>
    <row r="248" spans="1:31" x14ac:dyDescent="0.25">
      <c r="A248">
        <v>1</v>
      </c>
      <c r="B248">
        <v>246</v>
      </c>
      <c r="C248">
        <v>261</v>
      </c>
      <c r="D248" s="11" t="s">
        <v>149</v>
      </c>
      <c r="E248" t="s">
        <v>399</v>
      </c>
      <c r="F248" t="s">
        <v>202</v>
      </c>
      <c r="G248" s="11" t="s">
        <v>496</v>
      </c>
      <c r="H248">
        <v>2</v>
      </c>
      <c r="I248" s="11" t="s">
        <v>427</v>
      </c>
      <c r="J248" t="s">
        <v>276</v>
      </c>
      <c r="K248" t="s">
        <v>216</v>
      </c>
      <c r="L248" s="11" t="s">
        <v>39</v>
      </c>
      <c r="M248" s="11" t="s">
        <v>39</v>
      </c>
      <c r="N248" s="11" t="s">
        <v>39</v>
      </c>
      <c r="O248" s="11" t="s">
        <v>39</v>
      </c>
      <c r="P248" t="s">
        <v>9</v>
      </c>
      <c r="Q248">
        <v>255</v>
      </c>
      <c r="R248">
        <v>0</v>
      </c>
      <c r="S248">
        <v>0</v>
      </c>
      <c r="T248" t="str">
        <f t="shared" si="33"/>
        <v>-</v>
      </c>
      <c r="U248" t="str">
        <f t="shared" si="34"/>
        <v>-</v>
      </c>
      <c r="V248" t="str">
        <f t="shared" si="35"/>
        <v>-</v>
      </c>
      <c r="W248" t="str">
        <f t="shared" si="36"/>
        <v>-</v>
      </c>
      <c r="X248" t="str">
        <f t="shared" si="37"/>
        <v>-</v>
      </c>
      <c r="Y248" t="str">
        <f t="shared" si="38"/>
        <v>-</v>
      </c>
      <c r="Z248" t="str">
        <f t="shared" si="39"/>
        <v>-</v>
      </c>
      <c r="AA248" t="str">
        <f t="shared" si="40"/>
        <v>-</v>
      </c>
      <c r="AB248" t="str">
        <f>IF(_xlfn.IFNA(VLOOKUP(P248,Set_Ref!$B$6:$B$1048576,1,FALSE),"")&lt;&gt;"","-",FALSE)</f>
        <v>-</v>
      </c>
      <c r="AC248" t="str">
        <f t="shared" si="41"/>
        <v>-</v>
      </c>
      <c r="AD248" t="str">
        <f t="shared" si="42"/>
        <v>-</v>
      </c>
      <c r="AE248" t="b">
        <f t="shared" si="43"/>
        <v>1</v>
      </c>
    </row>
    <row r="249" spans="1:31" x14ac:dyDescent="0.25">
      <c r="A249">
        <v>1</v>
      </c>
      <c r="B249">
        <v>247</v>
      </c>
      <c r="C249">
        <v>261</v>
      </c>
      <c r="D249" s="11" t="s">
        <v>149</v>
      </c>
      <c r="E249" t="s">
        <v>399</v>
      </c>
      <c r="F249" t="s">
        <v>202</v>
      </c>
      <c r="G249" s="11" t="s">
        <v>496</v>
      </c>
      <c r="H249">
        <v>3</v>
      </c>
      <c r="I249" s="11" t="s">
        <v>429</v>
      </c>
      <c r="J249" t="s">
        <v>277</v>
      </c>
      <c r="K249" t="s">
        <v>217</v>
      </c>
      <c r="L249" s="11" t="s">
        <v>39</v>
      </c>
      <c r="M249" s="11" t="s">
        <v>39</v>
      </c>
      <c r="N249" s="11" t="s">
        <v>39</v>
      </c>
      <c r="O249" s="11" t="s">
        <v>39</v>
      </c>
      <c r="P249" t="s">
        <v>9</v>
      </c>
      <c r="Q249">
        <v>133</v>
      </c>
      <c r="R249">
        <v>0</v>
      </c>
      <c r="S249">
        <v>0</v>
      </c>
      <c r="T249" t="str">
        <f t="shared" si="33"/>
        <v>-</v>
      </c>
      <c r="U249" t="str">
        <f t="shared" si="34"/>
        <v>-</v>
      </c>
      <c r="V249" t="str">
        <f t="shared" si="35"/>
        <v>-</v>
      </c>
      <c r="W249" t="str">
        <f t="shared" si="36"/>
        <v>-</v>
      </c>
      <c r="X249" t="str">
        <f t="shared" si="37"/>
        <v>-</v>
      </c>
      <c r="Y249" t="str">
        <f t="shared" si="38"/>
        <v>-</v>
      </c>
      <c r="Z249" t="str">
        <f t="shared" si="39"/>
        <v>-</v>
      </c>
      <c r="AA249" t="str">
        <f t="shared" si="40"/>
        <v>-</v>
      </c>
      <c r="AB249" t="str">
        <f>IF(_xlfn.IFNA(VLOOKUP(P249,Set_Ref!$B$6:$B$1048576,1,FALSE),"")&lt;&gt;"","-",FALSE)</f>
        <v>-</v>
      </c>
      <c r="AC249" t="str">
        <f t="shared" si="41"/>
        <v>-</v>
      </c>
      <c r="AD249" t="str">
        <f t="shared" si="42"/>
        <v>-</v>
      </c>
      <c r="AE249" t="b">
        <f t="shared" si="43"/>
        <v>1</v>
      </c>
    </row>
    <row r="250" spans="1:31" x14ac:dyDescent="0.25">
      <c r="A250">
        <v>1</v>
      </c>
      <c r="B250">
        <v>248</v>
      </c>
      <c r="C250">
        <v>261</v>
      </c>
      <c r="D250" s="11" t="s">
        <v>149</v>
      </c>
      <c r="E250" t="s">
        <v>400</v>
      </c>
      <c r="F250" t="s">
        <v>203</v>
      </c>
      <c r="G250" s="11" t="s">
        <v>497</v>
      </c>
      <c r="H250">
        <v>1</v>
      </c>
      <c r="I250" s="11" t="s">
        <v>427</v>
      </c>
      <c r="J250" t="s">
        <v>283</v>
      </c>
      <c r="K250" t="s">
        <v>225</v>
      </c>
      <c r="L250" s="11" t="s">
        <v>39</v>
      </c>
      <c r="M250" s="11" t="s">
        <v>39</v>
      </c>
      <c r="N250" s="11" t="s">
        <v>39</v>
      </c>
      <c r="O250" s="11" t="s">
        <v>39</v>
      </c>
      <c r="P250" t="s">
        <v>9</v>
      </c>
      <c r="Q250">
        <v>2656</v>
      </c>
      <c r="R250">
        <v>0</v>
      </c>
      <c r="S250">
        <v>0</v>
      </c>
      <c r="T250" t="str">
        <f t="shared" si="33"/>
        <v>-</v>
      </c>
      <c r="U250" t="str">
        <f t="shared" si="34"/>
        <v>-</v>
      </c>
      <c r="V250" t="str">
        <f t="shared" si="35"/>
        <v>-</v>
      </c>
      <c r="W250" t="str">
        <f t="shared" si="36"/>
        <v>-</v>
      </c>
      <c r="X250" t="str">
        <f t="shared" si="37"/>
        <v>-</v>
      </c>
      <c r="Y250" t="str">
        <f t="shared" si="38"/>
        <v>-</v>
      </c>
      <c r="Z250" t="str">
        <f t="shared" si="39"/>
        <v>-</v>
      </c>
      <c r="AA250" t="str">
        <f t="shared" si="40"/>
        <v>-</v>
      </c>
      <c r="AB250" t="str">
        <f>IF(_xlfn.IFNA(VLOOKUP(P250,Set_Ref!$B$6:$B$1048576,1,FALSE),"")&lt;&gt;"","-",FALSE)</f>
        <v>-</v>
      </c>
      <c r="AC250" t="str">
        <f t="shared" si="41"/>
        <v>-</v>
      </c>
      <c r="AD250" t="str">
        <f t="shared" si="42"/>
        <v>-</v>
      </c>
      <c r="AE250" t="b">
        <f t="shared" si="43"/>
        <v>1</v>
      </c>
    </row>
    <row r="251" spans="1:31" x14ac:dyDescent="0.25">
      <c r="A251">
        <v>1</v>
      </c>
      <c r="B251">
        <v>249</v>
      </c>
      <c r="C251">
        <v>261</v>
      </c>
      <c r="D251" s="11" t="s">
        <v>149</v>
      </c>
      <c r="E251" t="s">
        <v>400</v>
      </c>
      <c r="F251" t="s">
        <v>203</v>
      </c>
      <c r="G251" s="11" t="s">
        <v>497</v>
      </c>
      <c r="H251">
        <v>2</v>
      </c>
      <c r="I251" s="11" t="s">
        <v>498</v>
      </c>
      <c r="J251" t="s">
        <v>401</v>
      </c>
      <c r="K251" t="s">
        <v>263</v>
      </c>
      <c r="L251" s="11" t="s">
        <v>39</v>
      </c>
      <c r="M251" s="11" t="s">
        <v>39</v>
      </c>
      <c r="N251" s="11" t="s">
        <v>39</v>
      </c>
      <c r="O251" s="11" t="s">
        <v>39</v>
      </c>
      <c r="P251" t="s">
        <v>38</v>
      </c>
      <c r="Q251">
        <v>10</v>
      </c>
      <c r="R251">
        <v>0</v>
      </c>
      <c r="S251">
        <v>0</v>
      </c>
      <c r="T251" t="str">
        <f t="shared" si="33"/>
        <v>-</v>
      </c>
      <c r="U251" t="str">
        <f t="shared" si="34"/>
        <v>-</v>
      </c>
      <c r="V251" t="str">
        <f t="shared" si="35"/>
        <v>-</v>
      </c>
      <c r="W251" t="str">
        <f t="shared" si="36"/>
        <v>-</v>
      </c>
      <c r="X251" t="str">
        <f t="shared" si="37"/>
        <v>-</v>
      </c>
      <c r="Y251" t="str">
        <f t="shared" si="38"/>
        <v>-</v>
      </c>
      <c r="Z251" t="str">
        <f t="shared" si="39"/>
        <v>-</v>
      </c>
      <c r="AA251" t="str">
        <f t="shared" si="40"/>
        <v>-</v>
      </c>
      <c r="AB251" t="str">
        <f>IF(_xlfn.IFNA(VLOOKUP(P251,Set_Ref!$B$6:$B$1048576,1,FALSE),"")&lt;&gt;"","-",FALSE)</f>
        <v>-</v>
      </c>
      <c r="AC251" t="str">
        <f t="shared" si="41"/>
        <v>-</v>
      </c>
      <c r="AD251" t="str">
        <f t="shared" si="42"/>
        <v>-</v>
      </c>
      <c r="AE251" t="b">
        <f t="shared" si="43"/>
        <v>1</v>
      </c>
    </row>
    <row r="252" spans="1:31" x14ac:dyDescent="0.25">
      <c r="A252">
        <v>1</v>
      </c>
      <c r="B252">
        <v>250</v>
      </c>
      <c r="C252">
        <v>261</v>
      </c>
      <c r="D252" s="11" t="s">
        <v>149</v>
      </c>
      <c r="E252" t="s">
        <v>402</v>
      </c>
      <c r="F252" t="s">
        <v>204</v>
      </c>
      <c r="G252" s="11" t="s">
        <v>499</v>
      </c>
      <c r="H252">
        <v>1</v>
      </c>
      <c r="I252" s="11" t="s">
        <v>427</v>
      </c>
      <c r="J252" t="s">
        <v>283</v>
      </c>
      <c r="K252" t="s">
        <v>225</v>
      </c>
      <c r="L252" s="11" t="s">
        <v>39</v>
      </c>
      <c r="M252" s="11" t="s">
        <v>39</v>
      </c>
      <c r="N252" s="11" t="s">
        <v>39</v>
      </c>
      <c r="O252" s="11" t="s">
        <v>39</v>
      </c>
      <c r="P252" t="s">
        <v>9</v>
      </c>
      <c r="Q252">
        <v>1270</v>
      </c>
      <c r="R252">
        <v>0</v>
      </c>
      <c r="S252">
        <v>0</v>
      </c>
      <c r="T252" t="str">
        <f t="shared" si="33"/>
        <v>-</v>
      </c>
      <c r="U252" t="str">
        <f t="shared" si="34"/>
        <v>-</v>
      </c>
      <c r="V252" t="str">
        <f t="shared" si="35"/>
        <v>-</v>
      </c>
      <c r="W252" t="str">
        <f t="shared" si="36"/>
        <v>-</v>
      </c>
      <c r="X252" t="str">
        <f t="shared" si="37"/>
        <v>-</v>
      </c>
      <c r="Y252" t="str">
        <f t="shared" si="38"/>
        <v>-</v>
      </c>
      <c r="Z252" t="str">
        <f t="shared" si="39"/>
        <v>-</v>
      </c>
      <c r="AA252" t="str">
        <f t="shared" si="40"/>
        <v>-</v>
      </c>
      <c r="AB252" t="str">
        <f>IF(_xlfn.IFNA(VLOOKUP(P252,Set_Ref!$B$6:$B$1048576,1,FALSE),"")&lt;&gt;"","-",FALSE)</f>
        <v>-</v>
      </c>
      <c r="AC252" t="str">
        <f t="shared" si="41"/>
        <v>-</v>
      </c>
      <c r="AD252" t="str">
        <f t="shared" si="42"/>
        <v>-</v>
      </c>
      <c r="AE252" t="b">
        <f t="shared" si="43"/>
        <v>1</v>
      </c>
    </row>
    <row r="253" spans="1:31" x14ac:dyDescent="0.25">
      <c r="A253">
        <v>1</v>
      </c>
      <c r="B253">
        <v>251</v>
      </c>
      <c r="C253">
        <v>261</v>
      </c>
      <c r="D253" s="11" t="s">
        <v>149</v>
      </c>
      <c r="E253" t="s">
        <v>402</v>
      </c>
      <c r="F253" t="s">
        <v>204</v>
      </c>
      <c r="G253" s="11" t="s">
        <v>499</v>
      </c>
      <c r="H253">
        <v>2</v>
      </c>
      <c r="I253" s="11" t="s">
        <v>427</v>
      </c>
      <c r="J253" t="s">
        <v>276</v>
      </c>
      <c r="K253" t="s">
        <v>216</v>
      </c>
      <c r="L253" s="11" t="s">
        <v>39</v>
      </c>
      <c r="M253" s="11" t="s">
        <v>39</v>
      </c>
      <c r="N253" s="11" t="s">
        <v>39</v>
      </c>
      <c r="O253" s="11" t="s">
        <v>39</v>
      </c>
      <c r="P253" t="s">
        <v>9</v>
      </c>
      <c r="Q253">
        <v>140</v>
      </c>
      <c r="R253">
        <v>0</v>
      </c>
      <c r="S253">
        <v>0</v>
      </c>
      <c r="T253" t="str">
        <f t="shared" si="33"/>
        <v>-</v>
      </c>
      <c r="U253" t="str">
        <f t="shared" si="34"/>
        <v>-</v>
      </c>
      <c r="V253" t="str">
        <f t="shared" si="35"/>
        <v>-</v>
      </c>
      <c r="W253" t="str">
        <f t="shared" si="36"/>
        <v>-</v>
      </c>
      <c r="X253" t="str">
        <f t="shared" si="37"/>
        <v>-</v>
      </c>
      <c r="Y253" t="str">
        <f t="shared" si="38"/>
        <v>-</v>
      </c>
      <c r="Z253" t="str">
        <f t="shared" si="39"/>
        <v>-</v>
      </c>
      <c r="AA253" t="str">
        <f t="shared" si="40"/>
        <v>-</v>
      </c>
      <c r="AB253" t="str">
        <f>IF(_xlfn.IFNA(VLOOKUP(P253,Set_Ref!$B$6:$B$1048576,1,FALSE),"")&lt;&gt;"","-",FALSE)</f>
        <v>-</v>
      </c>
      <c r="AC253" t="str">
        <f t="shared" si="41"/>
        <v>-</v>
      </c>
      <c r="AD253" t="str">
        <f t="shared" si="42"/>
        <v>-</v>
      </c>
      <c r="AE253" t="b">
        <f t="shared" si="43"/>
        <v>1</v>
      </c>
    </row>
    <row r="254" spans="1:31" x14ac:dyDescent="0.25">
      <c r="A254">
        <v>1</v>
      </c>
      <c r="B254">
        <v>252</v>
      </c>
      <c r="C254">
        <v>261</v>
      </c>
      <c r="D254" s="11" t="s">
        <v>149</v>
      </c>
      <c r="E254" t="s">
        <v>403</v>
      </c>
      <c r="F254" t="s">
        <v>205</v>
      </c>
      <c r="G254" s="11" t="s">
        <v>500</v>
      </c>
      <c r="H254">
        <v>1</v>
      </c>
      <c r="I254" s="11" t="s">
        <v>177</v>
      </c>
      <c r="J254" t="s">
        <v>501</v>
      </c>
      <c r="K254" t="s">
        <v>241</v>
      </c>
      <c r="L254" s="11" t="s">
        <v>39</v>
      </c>
      <c r="M254" s="11" t="s">
        <v>39</v>
      </c>
      <c r="N254" s="11" t="s">
        <v>39</v>
      </c>
      <c r="O254" s="11" t="s">
        <v>39</v>
      </c>
      <c r="P254" t="s">
        <v>9</v>
      </c>
      <c r="Q254">
        <v>629</v>
      </c>
      <c r="R254">
        <v>0</v>
      </c>
      <c r="S254">
        <v>0</v>
      </c>
      <c r="T254" t="str">
        <f t="shared" si="33"/>
        <v>-</v>
      </c>
      <c r="U254" t="str">
        <f t="shared" si="34"/>
        <v>-</v>
      </c>
      <c r="V254" t="str">
        <f t="shared" si="35"/>
        <v>-</v>
      </c>
      <c r="W254" t="str">
        <f t="shared" si="36"/>
        <v>-</v>
      </c>
      <c r="X254" t="str">
        <f t="shared" si="37"/>
        <v>-</v>
      </c>
      <c r="Y254" t="str">
        <f t="shared" si="38"/>
        <v>-</v>
      </c>
      <c r="Z254" t="str">
        <f t="shared" si="39"/>
        <v>-</v>
      </c>
      <c r="AA254" t="str">
        <f t="shared" si="40"/>
        <v>-</v>
      </c>
      <c r="AB254" t="str">
        <f>IF(_xlfn.IFNA(VLOOKUP(P254,Set_Ref!$B$6:$B$1048576,1,FALSE),"")&lt;&gt;"","-",FALSE)</f>
        <v>-</v>
      </c>
      <c r="AC254" t="str">
        <f t="shared" si="41"/>
        <v>-</v>
      </c>
      <c r="AD254" t="str">
        <f t="shared" si="42"/>
        <v>-</v>
      </c>
      <c r="AE254" t="b">
        <f t="shared" si="43"/>
        <v>1</v>
      </c>
    </row>
    <row r="255" spans="1:31" x14ac:dyDescent="0.25">
      <c r="A255">
        <v>1</v>
      </c>
      <c r="B255">
        <v>253</v>
      </c>
      <c r="C255">
        <v>261</v>
      </c>
      <c r="D255" s="11" t="s">
        <v>149</v>
      </c>
      <c r="E255" t="s">
        <v>403</v>
      </c>
      <c r="F255" t="s">
        <v>205</v>
      </c>
      <c r="G255" s="11" t="s">
        <v>500</v>
      </c>
      <c r="H255">
        <v>1</v>
      </c>
      <c r="I255" s="11" t="s">
        <v>177</v>
      </c>
      <c r="J255" t="s">
        <v>501</v>
      </c>
      <c r="K255" t="s">
        <v>241</v>
      </c>
      <c r="L255" s="11" t="s">
        <v>39</v>
      </c>
      <c r="M255" s="11" t="s">
        <v>39</v>
      </c>
      <c r="N255" s="11" t="s">
        <v>39</v>
      </c>
      <c r="O255" s="11" t="s">
        <v>39</v>
      </c>
      <c r="P255" t="s">
        <v>9</v>
      </c>
      <c r="Q255">
        <v>1301</v>
      </c>
      <c r="R255">
        <v>0</v>
      </c>
      <c r="S255">
        <v>0</v>
      </c>
      <c r="T255" t="str">
        <f t="shared" si="33"/>
        <v>-</v>
      </c>
      <c r="U255" t="str">
        <f t="shared" si="34"/>
        <v>-</v>
      </c>
      <c r="V255" t="str">
        <f t="shared" si="35"/>
        <v>-</v>
      </c>
      <c r="W255" t="str">
        <f t="shared" si="36"/>
        <v>-</v>
      </c>
      <c r="X255" t="str">
        <f t="shared" si="37"/>
        <v>-</v>
      </c>
      <c r="Y255" t="str">
        <f t="shared" si="38"/>
        <v>-</v>
      </c>
      <c r="Z255" t="str">
        <f t="shared" si="39"/>
        <v>-</v>
      </c>
      <c r="AA255" t="str">
        <f t="shared" si="40"/>
        <v>-</v>
      </c>
      <c r="AB255" t="str">
        <f>IF(_xlfn.IFNA(VLOOKUP(P255,Set_Ref!$B$6:$B$1048576,1,FALSE),"")&lt;&gt;"","-",FALSE)</f>
        <v>-</v>
      </c>
      <c r="AC255" t="str">
        <f t="shared" si="41"/>
        <v>-</v>
      </c>
      <c r="AD255" t="str">
        <f t="shared" si="42"/>
        <v>-</v>
      </c>
      <c r="AE255" t="b">
        <f t="shared" si="43"/>
        <v>1</v>
      </c>
    </row>
    <row r="256" spans="1:31" x14ac:dyDescent="0.25">
      <c r="A256">
        <v>1</v>
      </c>
      <c r="B256">
        <v>254</v>
      </c>
      <c r="C256">
        <v>261</v>
      </c>
      <c r="D256" s="11" t="s">
        <v>149</v>
      </c>
      <c r="E256" t="s">
        <v>403</v>
      </c>
      <c r="F256" t="s">
        <v>205</v>
      </c>
      <c r="G256" s="11" t="s">
        <v>500</v>
      </c>
      <c r="H256">
        <v>1</v>
      </c>
      <c r="I256" s="11" t="s">
        <v>177</v>
      </c>
      <c r="J256" t="s">
        <v>501</v>
      </c>
      <c r="K256" t="s">
        <v>241</v>
      </c>
      <c r="L256" s="11" t="s">
        <v>39</v>
      </c>
      <c r="M256" s="11" t="s">
        <v>39</v>
      </c>
      <c r="N256" s="11" t="s">
        <v>39</v>
      </c>
      <c r="O256" s="11" t="s">
        <v>39</v>
      </c>
      <c r="P256" t="s">
        <v>9</v>
      </c>
      <c r="Q256">
        <v>60</v>
      </c>
      <c r="R256">
        <v>0</v>
      </c>
      <c r="S256">
        <v>0</v>
      </c>
      <c r="T256" t="str">
        <f t="shared" si="33"/>
        <v>-</v>
      </c>
      <c r="U256" t="str">
        <f t="shared" si="34"/>
        <v>-</v>
      </c>
      <c r="V256" t="str">
        <f t="shared" si="35"/>
        <v>-</v>
      </c>
      <c r="W256" t="str">
        <f t="shared" si="36"/>
        <v>-</v>
      </c>
      <c r="X256" t="str">
        <f t="shared" si="37"/>
        <v>-</v>
      </c>
      <c r="Y256" t="str">
        <f t="shared" si="38"/>
        <v>-</v>
      </c>
      <c r="Z256" t="str">
        <f t="shared" si="39"/>
        <v>-</v>
      </c>
      <c r="AA256" t="str">
        <f t="shared" si="40"/>
        <v>-</v>
      </c>
      <c r="AB256" t="str">
        <f>IF(_xlfn.IFNA(VLOOKUP(P256,Set_Ref!$B$6:$B$1048576,1,FALSE),"")&lt;&gt;"","-",FALSE)</f>
        <v>-</v>
      </c>
      <c r="AC256" t="str">
        <f t="shared" si="41"/>
        <v>-</v>
      </c>
      <c r="AD256" t="str">
        <f t="shared" si="42"/>
        <v>-</v>
      </c>
      <c r="AE256" t="b">
        <f t="shared" si="43"/>
        <v>1</v>
      </c>
    </row>
    <row r="257" spans="1:31" x14ac:dyDescent="0.25">
      <c r="A257">
        <v>1</v>
      </c>
      <c r="B257">
        <v>255</v>
      </c>
      <c r="C257">
        <v>261</v>
      </c>
      <c r="D257" s="11" t="s">
        <v>149</v>
      </c>
      <c r="E257" t="s">
        <v>403</v>
      </c>
      <c r="F257" t="s">
        <v>205</v>
      </c>
      <c r="G257" s="11" t="s">
        <v>500</v>
      </c>
      <c r="H257">
        <v>1</v>
      </c>
      <c r="I257" s="11" t="s">
        <v>177</v>
      </c>
      <c r="J257" t="s">
        <v>501</v>
      </c>
      <c r="K257" t="s">
        <v>241</v>
      </c>
      <c r="L257" s="11" t="s">
        <v>39</v>
      </c>
      <c r="M257" s="11" t="s">
        <v>39</v>
      </c>
      <c r="N257" s="11" t="s">
        <v>39</v>
      </c>
      <c r="O257" s="11" t="s">
        <v>39</v>
      </c>
      <c r="P257" t="s">
        <v>9</v>
      </c>
      <c r="Q257">
        <v>2</v>
      </c>
      <c r="R257">
        <v>0</v>
      </c>
      <c r="S257">
        <v>0</v>
      </c>
      <c r="T257" t="str">
        <f t="shared" si="33"/>
        <v>-</v>
      </c>
      <c r="U257" t="str">
        <f t="shared" si="34"/>
        <v>-</v>
      </c>
      <c r="V257" t="str">
        <f t="shared" si="35"/>
        <v>-</v>
      </c>
      <c r="W257" t="str">
        <f t="shared" si="36"/>
        <v>-</v>
      </c>
      <c r="X257" t="str">
        <f t="shared" si="37"/>
        <v>-</v>
      </c>
      <c r="Y257" t="str">
        <f t="shared" si="38"/>
        <v>-</v>
      </c>
      <c r="Z257" t="str">
        <f t="shared" si="39"/>
        <v>-</v>
      </c>
      <c r="AA257" t="str">
        <f t="shared" si="40"/>
        <v>-</v>
      </c>
      <c r="AB257" t="str">
        <f>IF(_xlfn.IFNA(VLOOKUP(P257,Set_Ref!$B$6:$B$1048576,1,FALSE),"")&lt;&gt;"","-",FALSE)</f>
        <v>-</v>
      </c>
      <c r="AC257" t="str">
        <f t="shared" si="41"/>
        <v>-</v>
      </c>
      <c r="AD257" t="str">
        <f t="shared" si="42"/>
        <v>-</v>
      </c>
      <c r="AE257" t="b">
        <f t="shared" si="43"/>
        <v>1</v>
      </c>
    </row>
    <row r="258" spans="1:31" x14ac:dyDescent="0.25">
      <c r="A258">
        <v>1</v>
      </c>
      <c r="B258">
        <v>256</v>
      </c>
      <c r="C258">
        <v>261</v>
      </c>
      <c r="D258" s="11" t="s">
        <v>149</v>
      </c>
      <c r="E258" t="s">
        <v>404</v>
      </c>
      <c r="F258" t="s">
        <v>206</v>
      </c>
      <c r="G258" s="11" t="s">
        <v>502</v>
      </c>
      <c r="H258">
        <v>1</v>
      </c>
      <c r="I258" s="11" t="s">
        <v>177</v>
      </c>
      <c r="J258" t="s">
        <v>460</v>
      </c>
      <c r="K258" t="s">
        <v>241</v>
      </c>
      <c r="L258" s="11" t="s">
        <v>39</v>
      </c>
      <c r="M258" s="11" t="s">
        <v>39</v>
      </c>
      <c r="N258" s="11" t="s">
        <v>39</v>
      </c>
      <c r="O258" s="11" t="s">
        <v>39</v>
      </c>
      <c r="P258" t="s">
        <v>9</v>
      </c>
      <c r="Q258">
        <v>170</v>
      </c>
      <c r="R258">
        <v>0</v>
      </c>
      <c r="S258">
        <v>0</v>
      </c>
      <c r="T258" t="str">
        <f t="shared" si="33"/>
        <v>-</v>
      </c>
      <c r="U258" t="str">
        <f t="shared" si="34"/>
        <v>-</v>
      </c>
      <c r="V258" t="str">
        <f t="shared" si="35"/>
        <v>-</v>
      </c>
      <c r="W258" t="str">
        <f t="shared" si="36"/>
        <v>-</v>
      </c>
      <c r="X258" t="str">
        <f t="shared" si="37"/>
        <v>-</v>
      </c>
      <c r="Y258" t="str">
        <f t="shared" si="38"/>
        <v>-</v>
      </c>
      <c r="Z258" t="str">
        <f t="shared" si="39"/>
        <v>-</v>
      </c>
      <c r="AA258" t="str">
        <f t="shared" si="40"/>
        <v>-</v>
      </c>
      <c r="AB258" t="str">
        <f>IF(_xlfn.IFNA(VLOOKUP(P258,Set_Ref!$B$6:$B$1048576,1,FALSE),"")&lt;&gt;"","-",FALSE)</f>
        <v>-</v>
      </c>
      <c r="AC258" t="str">
        <f t="shared" si="41"/>
        <v>-</v>
      </c>
      <c r="AD258" t="str">
        <f t="shared" si="42"/>
        <v>-</v>
      </c>
      <c r="AE258" t="b">
        <f t="shared" si="43"/>
        <v>1</v>
      </c>
    </row>
    <row r="259" spans="1:31" x14ac:dyDescent="0.25">
      <c r="A259">
        <v>1</v>
      </c>
      <c r="B259">
        <v>257</v>
      </c>
      <c r="C259">
        <v>261</v>
      </c>
      <c r="D259" s="11" t="s">
        <v>149</v>
      </c>
      <c r="E259" t="s">
        <v>404</v>
      </c>
      <c r="F259" t="s">
        <v>206</v>
      </c>
      <c r="G259" s="11" t="s">
        <v>502</v>
      </c>
      <c r="H259">
        <v>1</v>
      </c>
      <c r="I259" s="11" t="s">
        <v>177</v>
      </c>
      <c r="J259" t="s">
        <v>460</v>
      </c>
      <c r="K259" t="s">
        <v>241</v>
      </c>
      <c r="L259" s="11" t="s">
        <v>39</v>
      </c>
      <c r="M259" s="11" t="s">
        <v>39</v>
      </c>
      <c r="N259" s="11" t="s">
        <v>39</v>
      </c>
      <c r="O259" s="11" t="s">
        <v>39</v>
      </c>
      <c r="P259" t="s">
        <v>9</v>
      </c>
      <c r="Q259">
        <v>30</v>
      </c>
      <c r="R259">
        <v>0</v>
      </c>
      <c r="S259">
        <v>0</v>
      </c>
      <c r="T259" t="str">
        <f t="shared" ref="T259:T322" si="44">IF(OR(A259="",A259&lt;1),FALSE,IF(ISNUMBER(A259), IF(INT(A259) = A259, "-", FALSE), FALSE))</f>
        <v>-</v>
      </c>
      <c r="U259" t="str">
        <f t="shared" ref="U259:U322" si="45">IF(OR(B259="",A259&lt;1),FALSE,IF(ISNUMBER(A259), IF(INT(A259) = A259, "-", FALSE), FALSE))</f>
        <v>-</v>
      </c>
      <c r="V259" t="str">
        <f t="shared" ref="V259:V322" si="46">IF(OR(C259="",C259="PilihSalasatu"),FALSE,"-")</f>
        <v>-</v>
      </c>
      <c r="W259" t="str">
        <f t="shared" ref="W259:W322" si="47">IF(D259="",FALSE,"-")</f>
        <v>-</v>
      </c>
      <c r="X259" t="str">
        <f t="shared" ref="X259:X322" si="48">IF(E259="",FALSE,"-")</f>
        <v>-</v>
      </c>
      <c r="Y259" t="str">
        <f t="shared" ref="Y259:Y322" si="49">IF(F259="",FALSE,"-")</f>
        <v>-</v>
      </c>
      <c r="Z259" t="str">
        <f t="shared" ref="Z259:Z322" si="50">IF(I259="",FALSE,"-")</f>
        <v>-</v>
      </c>
      <c r="AA259" t="str">
        <f t="shared" ref="AA259:AA322" si="51">IF(J259="",FALSE,"-")</f>
        <v>-</v>
      </c>
      <c r="AB259" t="str">
        <f>IF(_xlfn.IFNA(VLOOKUP(P259,Set_Ref!$B$6:$B$1048576,1,FALSE),"")&lt;&gt;"","-",FALSE)</f>
        <v>-</v>
      </c>
      <c r="AC259" t="str">
        <f t="shared" ref="AC259:AC322" si="52">IF(OR(Q259="",Q259&lt;0),FALSE,IF(ISNUMBER(Q259),"-",FALSE))</f>
        <v>-</v>
      </c>
      <c r="AD259" t="str">
        <f t="shared" ref="AD259:AD322" si="53">IF(OR(G259="",H259="",I259="",K259=""),FALSE,"-")</f>
        <v>-</v>
      </c>
      <c r="AE259" t="b">
        <f t="shared" ref="AE259:AE322" si="54">IF(COUNTIF(T259:AD259, "FALSE") &gt; 0, FALSE, TRUE)</f>
        <v>1</v>
      </c>
    </row>
    <row r="260" spans="1:31" x14ac:dyDescent="0.25">
      <c r="A260">
        <v>1</v>
      </c>
      <c r="B260">
        <v>258</v>
      </c>
      <c r="C260">
        <v>261</v>
      </c>
      <c r="D260" s="11" t="s">
        <v>149</v>
      </c>
      <c r="E260" t="s">
        <v>404</v>
      </c>
      <c r="F260" t="s">
        <v>206</v>
      </c>
      <c r="G260" s="11" t="s">
        <v>502</v>
      </c>
      <c r="H260">
        <v>1</v>
      </c>
      <c r="I260" s="11" t="s">
        <v>177</v>
      </c>
      <c r="J260" t="s">
        <v>460</v>
      </c>
      <c r="K260" t="s">
        <v>241</v>
      </c>
      <c r="L260" s="11" t="s">
        <v>39</v>
      </c>
      <c r="M260" s="11" t="s">
        <v>39</v>
      </c>
      <c r="N260" s="11" t="s">
        <v>39</v>
      </c>
      <c r="O260" s="11" t="s">
        <v>39</v>
      </c>
      <c r="P260" t="s">
        <v>9</v>
      </c>
      <c r="Q260">
        <v>8</v>
      </c>
      <c r="R260">
        <v>0</v>
      </c>
      <c r="S260">
        <v>0</v>
      </c>
      <c r="T260" t="str">
        <f t="shared" si="44"/>
        <v>-</v>
      </c>
      <c r="U260" t="str">
        <f t="shared" si="45"/>
        <v>-</v>
      </c>
      <c r="V260" t="str">
        <f t="shared" si="46"/>
        <v>-</v>
      </c>
      <c r="W260" t="str">
        <f t="shared" si="47"/>
        <v>-</v>
      </c>
      <c r="X260" t="str">
        <f t="shared" si="48"/>
        <v>-</v>
      </c>
      <c r="Y260" t="str">
        <f t="shared" si="49"/>
        <v>-</v>
      </c>
      <c r="Z260" t="str">
        <f t="shared" si="50"/>
        <v>-</v>
      </c>
      <c r="AA260" t="str">
        <f t="shared" si="51"/>
        <v>-</v>
      </c>
      <c r="AB260" t="str">
        <f>IF(_xlfn.IFNA(VLOOKUP(P260,Set_Ref!$B$6:$B$1048576,1,FALSE),"")&lt;&gt;"","-",FALSE)</f>
        <v>-</v>
      </c>
      <c r="AC260" t="str">
        <f t="shared" si="52"/>
        <v>-</v>
      </c>
      <c r="AD260" t="str">
        <f t="shared" si="53"/>
        <v>-</v>
      </c>
      <c r="AE260" t="b">
        <f t="shared" si="54"/>
        <v>1</v>
      </c>
    </row>
    <row r="261" spans="1:31" x14ac:dyDescent="0.25">
      <c r="A261">
        <v>1</v>
      </c>
      <c r="B261">
        <v>259</v>
      </c>
      <c r="C261">
        <v>261</v>
      </c>
      <c r="D261" s="11" t="s">
        <v>149</v>
      </c>
      <c r="E261" t="s">
        <v>404</v>
      </c>
      <c r="F261" t="s">
        <v>206</v>
      </c>
      <c r="G261" s="11" t="s">
        <v>502</v>
      </c>
      <c r="H261">
        <v>2</v>
      </c>
      <c r="I261" s="11" t="s">
        <v>431</v>
      </c>
      <c r="J261" t="s">
        <v>405</v>
      </c>
      <c r="K261" t="s">
        <v>264</v>
      </c>
      <c r="L261" s="11" t="s">
        <v>39</v>
      </c>
      <c r="M261" s="11" t="s">
        <v>39</v>
      </c>
      <c r="N261" s="11" t="s">
        <v>39</v>
      </c>
      <c r="O261" s="11" t="s">
        <v>39</v>
      </c>
      <c r="P261" t="s">
        <v>9</v>
      </c>
      <c r="Q261">
        <v>200</v>
      </c>
      <c r="R261">
        <v>0</v>
      </c>
      <c r="S261">
        <v>0</v>
      </c>
      <c r="T261" t="str">
        <f t="shared" si="44"/>
        <v>-</v>
      </c>
      <c r="U261" t="str">
        <f t="shared" si="45"/>
        <v>-</v>
      </c>
      <c r="V261" t="str">
        <f t="shared" si="46"/>
        <v>-</v>
      </c>
      <c r="W261" t="str">
        <f t="shared" si="47"/>
        <v>-</v>
      </c>
      <c r="X261" t="str">
        <f t="shared" si="48"/>
        <v>-</v>
      </c>
      <c r="Y261" t="str">
        <f t="shared" si="49"/>
        <v>-</v>
      </c>
      <c r="Z261" t="str">
        <f t="shared" si="50"/>
        <v>-</v>
      </c>
      <c r="AA261" t="str">
        <f t="shared" si="51"/>
        <v>-</v>
      </c>
      <c r="AB261" t="str">
        <f>IF(_xlfn.IFNA(VLOOKUP(P261,Set_Ref!$B$6:$B$1048576,1,FALSE),"")&lt;&gt;"","-",FALSE)</f>
        <v>-</v>
      </c>
      <c r="AC261" t="str">
        <f t="shared" si="52"/>
        <v>-</v>
      </c>
      <c r="AD261" t="str">
        <f t="shared" si="53"/>
        <v>-</v>
      </c>
      <c r="AE261" t="b">
        <f t="shared" si="54"/>
        <v>1</v>
      </c>
    </row>
    <row r="262" spans="1:31" x14ac:dyDescent="0.25">
      <c r="A262">
        <v>1</v>
      </c>
      <c r="B262">
        <v>260</v>
      </c>
      <c r="C262">
        <v>261</v>
      </c>
      <c r="D262" s="11" t="s">
        <v>149</v>
      </c>
      <c r="E262" t="s">
        <v>404</v>
      </c>
      <c r="F262" t="s">
        <v>206</v>
      </c>
      <c r="G262" s="11" t="s">
        <v>502</v>
      </c>
      <c r="H262">
        <v>3</v>
      </c>
      <c r="I262" s="11" t="s">
        <v>176</v>
      </c>
      <c r="J262" t="s">
        <v>406</v>
      </c>
      <c r="K262" t="s">
        <v>265</v>
      </c>
      <c r="L262" s="11" t="s">
        <v>39</v>
      </c>
      <c r="M262" s="11" t="s">
        <v>39</v>
      </c>
      <c r="N262" s="11" t="s">
        <v>39</v>
      </c>
      <c r="O262" s="11" t="s">
        <v>39</v>
      </c>
      <c r="P262" t="s">
        <v>9</v>
      </c>
      <c r="Q262">
        <v>200</v>
      </c>
      <c r="R262">
        <v>0</v>
      </c>
      <c r="S262">
        <v>0</v>
      </c>
      <c r="T262" t="str">
        <f t="shared" si="44"/>
        <v>-</v>
      </c>
      <c r="U262" t="str">
        <f t="shared" si="45"/>
        <v>-</v>
      </c>
      <c r="V262" t="str">
        <f t="shared" si="46"/>
        <v>-</v>
      </c>
      <c r="W262" t="str">
        <f t="shared" si="47"/>
        <v>-</v>
      </c>
      <c r="X262" t="str">
        <f t="shared" si="48"/>
        <v>-</v>
      </c>
      <c r="Y262" t="str">
        <f t="shared" si="49"/>
        <v>-</v>
      </c>
      <c r="Z262" t="str">
        <f t="shared" si="50"/>
        <v>-</v>
      </c>
      <c r="AA262" t="str">
        <f t="shared" si="51"/>
        <v>-</v>
      </c>
      <c r="AB262" t="str">
        <f>IF(_xlfn.IFNA(VLOOKUP(P262,Set_Ref!$B$6:$B$1048576,1,FALSE),"")&lt;&gt;"","-",FALSE)</f>
        <v>-</v>
      </c>
      <c r="AC262" t="str">
        <f t="shared" si="52"/>
        <v>-</v>
      </c>
      <c r="AD262" t="str">
        <f t="shared" si="53"/>
        <v>-</v>
      </c>
      <c r="AE262" t="b">
        <f t="shared" si="54"/>
        <v>1</v>
      </c>
    </row>
    <row r="263" spans="1:31" x14ac:dyDescent="0.25">
      <c r="A263">
        <v>1</v>
      </c>
      <c r="B263">
        <v>261</v>
      </c>
      <c r="C263">
        <v>261</v>
      </c>
      <c r="D263" s="11" t="s">
        <v>149</v>
      </c>
      <c r="E263" t="s">
        <v>407</v>
      </c>
      <c r="F263" t="s">
        <v>207</v>
      </c>
      <c r="G263" s="11" t="s">
        <v>503</v>
      </c>
      <c r="H263">
        <v>1</v>
      </c>
      <c r="I263" s="11" t="s">
        <v>504</v>
      </c>
      <c r="J263" t="s">
        <v>408</v>
      </c>
      <c r="K263" t="s">
        <v>266</v>
      </c>
      <c r="L263" s="11" t="s">
        <v>39</v>
      </c>
      <c r="M263" s="11" t="s">
        <v>39</v>
      </c>
      <c r="N263" s="11" t="s">
        <v>39</v>
      </c>
      <c r="O263" s="11" t="s">
        <v>39</v>
      </c>
      <c r="P263" t="s">
        <v>10</v>
      </c>
      <c r="Q263">
        <v>801</v>
      </c>
      <c r="R263">
        <v>0</v>
      </c>
      <c r="S263">
        <v>0</v>
      </c>
      <c r="T263" t="str">
        <f t="shared" si="44"/>
        <v>-</v>
      </c>
      <c r="U263" t="str">
        <f t="shared" si="45"/>
        <v>-</v>
      </c>
      <c r="V263" t="str">
        <f t="shared" si="46"/>
        <v>-</v>
      </c>
      <c r="W263" t="str">
        <f t="shared" si="47"/>
        <v>-</v>
      </c>
      <c r="X263" t="str">
        <f t="shared" si="48"/>
        <v>-</v>
      </c>
      <c r="Y263" t="str">
        <f t="shared" si="49"/>
        <v>-</v>
      </c>
      <c r="Z263" t="str">
        <f t="shared" si="50"/>
        <v>-</v>
      </c>
      <c r="AA263" t="str">
        <f t="shared" si="51"/>
        <v>-</v>
      </c>
      <c r="AB263" t="str">
        <f>IF(_xlfn.IFNA(VLOOKUP(P263,Set_Ref!$B$6:$B$1048576,1,FALSE),"")&lt;&gt;"","-",FALSE)</f>
        <v>-</v>
      </c>
      <c r="AC263" t="str">
        <f t="shared" si="52"/>
        <v>-</v>
      </c>
      <c r="AD263" t="str">
        <f t="shared" si="53"/>
        <v>-</v>
      </c>
      <c r="AE263" t="b">
        <f t="shared" si="54"/>
        <v>1</v>
      </c>
    </row>
    <row r="264" spans="1:31" x14ac:dyDescent="0.25">
      <c r="A264">
        <v>1</v>
      </c>
      <c r="B264">
        <v>262</v>
      </c>
      <c r="C264">
        <v>261</v>
      </c>
      <c r="D264" s="11" t="s">
        <v>149</v>
      </c>
      <c r="E264" t="s">
        <v>409</v>
      </c>
      <c r="F264" t="s">
        <v>207</v>
      </c>
      <c r="G264" s="11" t="s">
        <v>505</v>
      </c>
      <c r="H264">
        <v>1</v>
      </c>
      <c r="I264" s="11" t="s">
        <v>427</v>
      </c>
      <c r="J264" t="s">
        <v>316</v>
      </c>
      <c r="K264" t="s">
        <v>244</v>
      </c>
      <c r="L264" s="11" t="s">
        <v>39</v>
      </c>
      <c r="M264" s="11" t="s">
        <v>39</v>
      </c>
      <c r="N264" s="11" t="s">
        <v>39</v>
      </c>
      <c r="O264" s="11" t="s">
        <v>39</v>
      </c>
      <c r="P264" t="s">
        <v>9</v>
      </c>
      <c r="Q264">
        <v>200</v>
      </c>
      <c r="R264">
        <v>0</v>
      </c>
      <c r="S264">
        <v>0</v>
      </c>
      <c r="T264" t="str">
        <f t="shared" si="44"/>
        <v>-</v>
      </c>
      <c r="U264" t="str">
        <f t="shared" si="45"/>
        <v>-</v>
      </c>
      <c r="V264" t="str">
        <f t="shared" si="46"/>
        <v>-</v>
      </c>
      <c r="W264" t="str">
        <f t="shared" si="47"/>
        <v>-</v>
      </c>
      <c r="X264" t="str">
        <f t="shared" si="48"/>
        <v>-</v>
      </c>
      <c r="Y264" t="str">
        <f t="shared" si="49"/>
        <v>-</v>
      </c>
      <c r="Z264" t="str">
        <f t="shared" si="50"/>
        <v>-</v>
      </c>
      <c r="AA264" t="str">
        <f t="shared" si="51"/>
        <v>-</v>
      </c>
      <c r="AB264" t="str">
        <f>IF(_xlfn.IFNA(VLOOKUP(P264,Set_Ref!$B$6:$B$1048576,1,FALSE),"")&lt;&gt;"","-",FALSE)</f>
        <v>-</v>
      </c>
      <c r="AC264" t="str">
        <f t="shared" si="52"/>
        <v>-</v>
      </c>
      <c r="AD264" t="str">
        <f t="shared" si="53"/>
        <v>-</v>
      </c>
      <c r="AE264" t="b">
        <f t="shared" si="54"/>
        <v>1</v>
      </c>
    </row>
    <row r="265" spans="1:31" x14ac:dyDescent="0.25">
      <c r="A265">
        <v>1</v>
      </c>
      <c r="B265">
        <v>263</v>
      </c>
      <c r="C265">
        <v>261</v>
      </c>
      <c r="D265" s="11" t="s">
        <v>149</v>
      </c>
      <c r="E265" t="s">
        <v>409</v>
      </c>
      <c r="F265" t="s">
        <v>207</v>
      </c>
      <c r="G265" s="11" t="s">
        <v>505</v>
      </c>
      <c r="H265">
        <v>2</v>
      </c>
      <c r="I265" s="11" t="s">
        <v>427</v>
      </c>
      <c r="J265" t="s">
        <v>317</v>
      </c>
      <c r="K265" t="s">
        <v>245</v>
      </c>
      <c r="L265" s="11" t="s">
        <v>39</v>
      </c>
      <c r="M265" s="11" t="s">
        <v>39</v>
      </c>
      <c r="N265" s="11" t="s">
        <v>39</v>
      </c>
      <c r="O265" s="11" t="s">
        <v>39</v>
      </c>
      <c r="P265" t="s">
        <v>9</v>
      </c>
      <c r="Q265">
        <v>200</v>
      </c>
      <c r="R265">
        <v>0</v>
      </c>
      <c r="S265">
        <v>0</v>
      </c>
      <c r="T265" t="str">
        <f t="shared" si="44"/>
        <v>-</v>
      </c>
      <c r="U265" t="str">
        <f t="shared" si="45"/>
        <v>-</v>
      </c>
      <c r="V265" t="str">
        <f t="shared" si="46"/>
        <v>-</v>
      </c>
      <c r="W265" t="str">
        <f t="shared" si="47"/>
        <v>-</v>
      </c>
      <c r="X265" t="str">
        <f t="shared" si="48"/>
        <v>-</v>
      </c>
      <c r="Y265" t="str">
        <f t="shared" si="49"/>
        <v>-</v>
      </c>
      <c r="Z265" t="str">
        <f t="shared" si="50"/>
        <v>-</v>
      </c>
      <c r="AA265" t="str">
        <f t="shared" si="51"/>
        <v>-</v>
      </c>
      <c r="AB265" t="str">
        <f>IF(_xlfn.IFNA(VLOOKUP(P265,Set_Ref!$B$6:$B$1048576,1,FALSE),"")&lt;&gt;"","-",FALSE)</f>
        <v>-</v>
      </c>
      <c r="AC265" t="str">
        <f t="shared" si="52"/>
        <v>-</v>
      </c>
      <c r="AD265" t="str">
        <f t="shared" si="53"/>
        <v>-</v>
      </c>
      <c r="AE265" t="b">
        <f t="shared" si="54"/>
        <v>1</v>
      </c>
    </row>
    <row r="266" spans="1:31" x14ac:dyDescent="0.25">
      <c r="A266">
        <v>1</v>
      </c>
      <c r="B266">
        <v>264</v>
      </c>
      <c r="C266">
        <v>261</v>
      </c>
      <c r="D266" s="11" t="s">
        <v>149</v>
      </c>
      <c r="E266" t="s">
        <v>409</v>
      </c>
      <c r="F266" t="s">
        <v>207</v>
      </c>
      <c r="G266" s="11" t="s">
        <v>505</v>
      </c>
      <c r="H266">
        <v>3</v>
      </c>
      <c r="I266" s="11" t="s">
        <v>172</v>
      </c>
      <c r="J266" t="s">
        <v>384</v>
      </c>
      <c r="K266" t="s">
        <v>219</v>
      </c>
      <c r="L266" s="11" t="s">
        <v>39</v>
      </c>
      <c r="M266" s="11" t="s">
        <v>39</v>
      </c>
      <c r="N266" s="11" t="s">
        <v>39</v>
      </c>
      <c r="O266" s="11" t="s">
        <v>39</v>
      </c>
      <c r="P266" t="s">
        <v>11</v>
      </c>
      <c r="Q266">
        <v>14</v>
      </c>
      <c r="R266">
        <v>0</v>
      </c>
      <c r="S266">
        <v>0</v>
      </c>
      <c r="T266" t="str">
        <f t="shared" si="44"/>
        <v>-</v>
      </c>
      <c r="U266" t="str">
        <f t="shared" si="45"/>
        <v>-</v>
      </c>
      <c r="V266" t="str">
        <f t="shared" si="46"/>
        <v>-</v>
      </c>
      <c r="W266" t="str">
        <f t="shared" si="47"/>
        <v>-</v>
      </c>
      <c r="X266" t="str">
        <f t="shared" si="48"/>
        <v>-</v>
      </c>
      <c r="Y266" t="str">
        <f t="shared" si="49"/>
        <v>-</v>
      </c>
      <c r="Z266" t="str">
        <f t="shared" si="50"/>
        <v>-</v>
      </c>
      <c r="AA266" t="str">
        <f t="shared" si="51"/>
        <v>-</v>
      </c>
      <c r="AB266" t="str">
        <f>IF(_xlfn.IFNA(VLOOKUP(P266,Set_Ref!$B$6:$B$1048576,1,FALSE),"")&lt;&gt;"","-",FALSE)</f>
        <v>-</v>
      </c>
      <c r="AC266" t="str">
        <f t="shared" si="52"/>
        <v>-</v>
      </c>
      <c r="AD266" t="str">
        <f t="shared" si="53"/>
        <v>-</v>
      </c>
      <c r="AE266" t="b">
        <f t="shared" si="54"/>
        <v>1</v>
      </c>
    </row>
    <row r="267" spans="1:31" x14ac:dyDescent="0.25">
      <c r="A267">
        <v>1</v>
      </c>
      <c r="B267">
        <v>265</v>
      </c>
      <c r="C267">
        <v>261</v>
      </c>
      <c r="D267" s="11" t="s">
        <v>149</v>
      </c>
      <c r="E267" t="s">
        <v>410</v>
      </c>
      <c r="F267" t="s">
        <v>208</v>
      </c>
      <c r="G267" s="11" t="s">
        <v>506</v>
      </c>
      <c r="H267">
        <v>1</v>
      </c>
      <c r="I267" s="11" t="s">
        <v>427</v>
      </c>
      <c r="J267" t="s">
        <v>507</v>
      </c>
      <c r="K267" t="s">
        <v>267</v>
      </c>
      <c r="L267" s="11" t="s">
        <v>39</v>
      </c>
      <c r="M267" s="11" t="s">
        <v>39</v>
      </c>
      <c r="N267" s="11" t="s">
        <v>39</v>
      </c>
      <c r="O267" s="11" t="s">
        <v>39</v>
      </c>
      <c r="P267" t="s">
        <v>9</v>
      </c>
      <c r="Q267">
        <v>100</v>
      </c>
      <c r="R267">
        <v>0</v>
      </c>
      <c r="S267">
        <v>0</v>
      </c>
      <c r="T267" t="str">
        <f t="shared" si="44"/>
        <v>-</v>
      </c>
      <c r="U267" t="str">
        <f t="shared" si="45"/>
        <v>-</v>
      </c>
      <c r="V267" t="str">
        <f t="shared" si="46"/>
        <v>-</v>
      </c>
      <c r="W267" t="str">
        <f t="shared" si="47"/>
        <v>-</v>
      </c>
      <c r="X267" t="str">
        <f t="shared" si="48"/>
        <v>-</v>
      </c>
      <c r="Y267" t="str">
        <f t="shared" si="49"/>
        <v>-</v>
      </c>
      <c r="Z267" t="str">
        <f t="shared" si="50"/>
        <v>-</v>
      </c>
      <c r="AA267" t="str">
        <f t="shared" si="51"/>
        <v>-</v>
      </c>
      <c r="AB267" t="str">
        <f>IF(_xlfn.IFNA(VLOOKUP(P267,Set_Ref!$B$6:$B$1048576,1,FALSE),"")&lt;&gt;"","-",FALSE)</f>
        <v>-</v>
      </c>
      <c r="AC267" t="str">
        <f t="shared" si="52"/>
        <v>-</v>
      </c>
      <c r="AD267" t="str">
        <f t="shared" si="53"/>
        <v>-</v>
      </c>
      <c r="AE267" t="b">
        <f t="shared" si="54"/>
        <v>1</v>
      </c>
    </row>
    <row r="268" spans="1:31" x14ac:dyDescent="0.25">
      <c r="A268">
        <v>1</v>
      </c>
      <c r="B268">
        <v>266</v>
      </c>
      <c r="C268">
        <v>261</v>
      </c>
      <c r="D268" s="11" t="s">
        <v>149</v>
      </c>
      <c r="E268" t="s">
        <v>410</v>
      </c>
      <c r="F268" t="s">
        <v>208</v>
      </c>
      <c r="G268" s="11" t="s">
        <v>506</v>
      </c>
      <c r="H268">
        <v>1</v>
      </c>
      <c r="I268" s="11" t="s">
        <v>427</v>
      </c>
      <c r="J268" t="s">
        <v>507</v>
      </c>
      <c r="K268" t="s">
        <v>267</v>
      </c>
      <c r="L268" s="11" t="s">
        <v>39</v>
      </c>
      <c r="M268" s="11" t="s">
        <v>39</v>
      </c>
      <c r="N268" s="11" t="s">
        <v>39</v>
      </c>
      <c r="O268" s="11" t="s">
        <v>39</v>
      </c>
      <c r="P268" t="s">
        <v>9</v>
      </c>
      <c r="Q268">
        <v>260</v>
      </c>
      <c r="R268">
        <v>0</v>
      </c>
      <c r="S268">
        <v>0</v>
      </c>
      <c r="T268" t="str">
        <f t="shared" si="44"/>
        <v>-</v>
      </c>
      <c r="U268" t="str">
        <f t="shared" si="45"/>
        <v>-</v>
      </c>
      <c r="V268" t="str">
        <f t="shared" si="46"/>
        <v>-</v>
      </c>
      <c r="W268" t="str">
        <f t="shared" si="47"/>
        <v>-</v>
      </c>
      <c r="X268" t="str">
        <f t="shared" si="48"/>
        <v>-</v>
      </c>
      <c r="Y268" t="str">
        <f t="shared" si="49"/>
        <v>-</v>
      </c>
      <c r="Z268" t="str">
        <f t="shared" si="50"/>
        <v>-</v>
      </c>
      <c r="AA268" t="str">
        <f t="shared" si="51"/>
        <v>-</v>
      </c>
      <c r="AB268" t="str">
        <f>IF(_xlfn.IFNA(VLOOKUP(P268,Set_Ref!$B$6:$B$1048576,1,FALSE),"")&lt;&gt;"","-",FALSE)</f>
        <v>-</v>
      </c>
      <c r="AC268" t="str">
        <f t="shared" si="52"/>
        <v>-</v>
      </c>
      <c r="AD268" t="str">
        <f t="shared" si="53"/>
        <v>-</v>
      </c>
      <c r="AE268" t="b">
        <f t="shared" si="54"/>
        <v>1</v>
      </c>
    </row>
    <row r="269" spans="1:31" x14ac:dyDescent="0.25">
      <c r="A269">
        <v>1</v>
      </c>
      <c r="B269">
        <v>267</v>
      </c>
      <c r="C269">
        <v>261</v>
      </c>
      <c r="D269" s="11" t="s">
        <v>149</v>
      </c>
      <c r="E269" t="s">
        <v>410</v>
      </c>
      <c r="F269" t="s">
        <v>208</v>
      </c>
      <c r="G269" s="11" t="s">
        <v>506</v>
      </c>
      <c r="H269">
        <v>1</v>
      </c>
      <c r="I269" s="11" t="s">
        <v>427</v>
      </c>
      <c r="J269" t="s">
        <v>507</v>
      </c>
      <c r="K269" t="s">
        <v>267</v>
      </c>
      <c r="L269" s="11" t="s">
        <v>39</v>
      </c>
      <c r="M269" s="11" t="s">
        <v>39</v>
      </c>
      <c r="N269" s="11" t="s">
        <v>39</v>
      </c>
      <c r="O269" s="11" t="s">
        <v>39</v>
      </c>
      <c r="P269" t="s">
        <v>9</v>
      </c>
      <c r="Q269">
        <v>460</v>
      </c>
      <c r="R269">
        <v>0</v>
      </c>
      <c r="S269">
        <v>0</v>
      </c>
      <c r="T269" t="str">
        <f t="shared" si="44"/>
        <v>-</v>
      </c>
      <c r="U269" t="str">
        <f t="shared" si="45"/>
        <v>-</v>
      </c>
      <c r="V269" t="str">
        <f t="shared" si="46"/>
        <v>-</v>
      </c>
      <c r="W269" t="str">
        <f t="shared" si="47"/>
        <v>-</v>
      </c>
      <c r="X269" t="str">
        <f t="shared" si="48"/>
        <v>-</v>
      </c>
      <c r="Y269" t="str">
        <f t="shared" si="49"/>
        <v>-</v>
      </c>
      <c r="Z269" t="str">
        <f t="shared" si="50"/>
        <v>-</v>
      </c>
      <c r="AA269" t="str">
        <f t="shared" si="51"/>
        <v>-</v>
      </c>
      <c r="AB269" t="str">
        <f>IF(_xlfn.IFNA(VLOOKUP(P269,Set_Ref!$B$6:$B$1048576,1,FALSE),"")&lt;&gt;"","-",FALSE)</f>
        <v>-</v>
      </c>
      <c r="AC269" t="str">
        <f t="shared" si="52"/>
        <v>-</v>
      </c>
      <c r="AD269" t="str">
        <f t="shared" si="53"/>
        <v>-</v>
      </c>
      <c r="AE269" t="b">
        <f t="shared" si="54"/>
        <v>1</v>
      </c>
    </row>
    <row r="270" spans="1:31" x14ac:dyDescent="0.25">
      <c r="A270">
        <v>1</v>
      </c>
      <c r="B270">
        <v>268</v>
      </c>
      <c r="C270">
        <v>261</v>
      </c>
      <c r="D270" s="11" t="s">
        <v>149</v>
      </c>
      <c r="E270" t="s">
        <v>410</v>
      </c>
      <c r="F270" t="s">
        <v>208</v>
      </c>
      <c r="G270" s="11" t="s">
        <v>506</v>
      </c>
      <c r="H270">
        <v>1</v>
      </c>
      <c r="I270" s="11" t="s">
        <v>427</v>
      </c>
      <c r="J270" t="s">
        <v>507</v>
      </c>
      <c r="K270" t="s">
        <v>267</v>
      </c>
      <c r="L270" s="11" t="s">
        <v>39</v>
      </c>
      <c r="M270" s="11" t="s">
        <v>39</v>
      </c>
      <c r="N270" s="11" t="s">
        <v>39</v>
      </c>
      <c r="O270" s="11" t="s">
        <v>39</v>
      </c>
      <c r="P270" t="s">
        <v>9</v>
      </c>
      <c r="Q270">
        <v>250</v>
      </c>
      <c r="R270">
        <v>0</v>
      </c>
      <c r="S270">
        <v>0</v>
      </c>
      <c r="T270" t="str">
        <f t="shared" si="44"/>
        <v>-</v>
      </c>
      <c r="U270" t="str">
        <f t="shared" si="45"/>
        <v>-</v>
      </c>
      <c r="V270" t="str">
        <f t="shared" si="46"/>
        <v>-</v>
      </c>
      <c r="W270" t="str">
        <f t="shared" si="47"/>
        <v>-</v>
      </c>
      <c r="X270" t="str">
        <f t="shared" si="48"/>
        <v>-</v>
      </c>
      <c r="Y270" t="str">
        <f t="shared" si="49"/>
        <v>-</v>
      </c>
      <c r="Z270" t="str">
        <f t="shared" si="50"/>
        <v>-</v>
      </c>
      <c r="AA270" t="str">
        <f t="shared" si="51"/>
        <v>-</v>
      </c>
      <c r="AB270" t="str">
        <f>IF(_xlfn.IFNA(VLOOKUP(P270,Set_Ref!$B$6:$B$1048576,1,FALSE),"")&lt;&gt;"","-",FALSE)</f>
        <v>-</v>
      </c>
      <c r="AC270" t="str">
        <f t="shared" si="52"/>
        <v>-</v>
      </c>
      <c r="AD270" t="str">
        <f t="shared" si="53"/>
        <v>-</v>
      </c>
      <c r="AE270" t="b">
        <f t="shared" si="54"/>
        <v>1</v>
      </c>
    </row>
    <row r="271" spans="1:31" x14ac:dyDescent="0.25">
      <c r="A271">
        <v>1</v>
      </c>
      <c r="B271">
        <v>269</v>
      </c>
      <c r="C271">
        <v>261</v>
      </c>
      <c r="D271" s="11" t="s">
        <v>149</v>
      </c>
      <c r="E271" t="s">
        <v>410</v>
      </c>
      <c r="F271" t="s">
        <v>208</v>
      </c>
      <c r="G271" s="11" t="s">
        <v>506</v>
      </c>
      <c r="H271">
        <v>1</v>
      </c>
      <c r="I271" s="11" t="s">
        <v>427</v>
      </c>
      <c r="J271" t="s">
        <v>507</v>
      </c>
      <c r="K271" t="s">
        <v>267</v>
      </c>
      <c r="L271" s="11" t="s">
        <v>39</v>
      </c>
      <c r="M271" s="11" t="s">
        <v>39</v>
      </c>
      <c r="N271" s="11" t="s">
        <v>39</v>
      </c>
      <c r="O271" s="11" t="s">
        <v>39</v>
      </c>
      <c r="P271" t="s">
        <v>9</v>
      </c>
      <c r="Q271">
        <v>110</v>
      </c>
      <c r="R271">
        <v>0</v>
      </c>
      <c r="S271">
        <v>0</v>
      </c>
      <c r="T271" t="str">
        <f t="shared" si="44"/>
        <v>-</v>
      </c>
      <c r="U271" t="str">
        <f t="shared" si="45"/>
        <v>-</v>
      </c>
      <c r="V271" t="str">
        <f t="shared" si="46"/>
        <v>-</v>
      </c>
      <c r="W271" t="str">
        <f t="shared" si="47"/>
        <v>-</v>
      </c>
      <c r="X271" t="str">
        <f t="shared" si="48"/>
        <v>-</v>
      </c>
      <c r="Y271" t="str">
        <f t="shared" si="49"/>
        <v>-</v>
      </c>
      <c r="Z271" t="str">
        <f t="shared" si="50"/>
        <v>-</v>
      </c>
      <c r="AA271" t="str">
        <f t="shared" si="51"/>
        <v>-</v>
      </c>
      <c r="AB271" t="str">
        <f>IF(_xlfn.IFNA(VLOOKUP(P271,Set_Ref!$B$6:$B$1048576,1,FALSE),"")&lt;&gt;"","-",FALSE)</f>
        <v>-</v>
      </c>
      <c r="AC271" t="str">
        <f t="shared" si="52"/>
        <v>-</v>
      </c>
      <c r="AD271" t="str">
        <f t="shared" si="53"/>
        <v>-</v>
      </c>
      <c r="AE271" t="b">
        <f t="shared" si="54"/>
        <v>1</v>
      </c>
    </row>
    <row r="272" spans="1:31" x14ac:dyDescent="0.25">
      <c r="A272">
        <v>1</v>
      </c>
      <c r="B272">
        <v>270</v>
      </c>
      <c r="C272">
        <v>261</v>
      </c>
      <c r="D272" s="11" t="s">
        <v>149</v>
      </c>
      <c r="E272" t="s">
        <v>410</v>
      </c>
      <c r="F272" t="s">
        <v>208</v>
      </c>
      <c r="G272" s="11" t="s">
        <v>506</v>
      </c>
      <c r="H272">
        <v>1</v>
      </c>
      <c r="I272" s="11" t="s">
        <v>427</v>
      </c>
      <c r="J272" t="s">
        <v>507</v>
      </c>
      <c r="K272" t="s">
        <v>267</v>
      </c>
      <c r="L272" s="11" t="s">
        <v>39</v>
      </c>
      <c r="M272" s="11" t="s">
        <v>39</v>
      </c>
      <c r="N272" s="11" t="s">
        <v>39</v>
      </c>
      <c r="O272" s="11" t="s">
        <v>39</v>
      </c>
      <c r="P272" t="s">
        <v>9</v>
      </c>
      <c r="Q272">
        <v>60</v>
      </c>
      <c r="R272">
        <v>0</v>
      </c>
      <c r="S272">
        <v>0</v>
      </c>
      <c r="T272" t="str">
        <f t="shared" si="44"/>
        <v>-</v>
      </c>
      <c r="U272" t="str">
        <f t="shared" si="45"/>
        <v>-</v>
      </c>
      <c r="V272" t="str">
        <f t="shared" si="46"/>
        <v>-</v>
      </c>
      <c r="W272" t="str">
        <f t="shared" si="47"/>
        <v>-</v>
      </c>
      <c r="X272" t="str">
        <f t="shared" si="48"/>
        <v>-</v>
      </c>
      <c r="Y272" t="str">
        <f t="shared" si="49"/>
        <v>-</v>
      </c>
      <c r="Z272" t="str">
        <f t="shared" si="50"/>
        <v>-</v>
      </c>
      <c r="AA272" t="str">
        <f t="shared" si="51"/>
        <v>-</v>
      </c>
      <c r="AB272" t="str">
        <f>IF(_xlfn.IFNA(VLOOKUP(P272,Set_Ref!$B$6:$B$1048576,1,FALSE),"")&lt;&gt;"","-",FALSE)</f>
        <v>-</v>
      </c>
      <c r="AC272" t="str">
        <f t="shared" si="52"/>
        <v>-</v>
      </c>
      <c r="AD272" t="str">
        <f t="shared" si="53"/>
        <v>-</v>
      </c>
      <c r="AE272" t="b">
        <f t="shared" si="54"/>
        <v>1</v>
      </c>
    </row>
    <row r="273" spans="1:31" x14ac:dyDescent="0.25">
      <c r="A273">
        <v>1</v>
      </c>
      <c r="B273">
        <v>271</v>
      </c>
      <c r="C273">
        <v>261</v>
      </c>
      <c r="D273" s="11" t="s">
        <v>149</v>
      </c>
      <c r="E273" t="s">
        <v>410</v>
      </c>
      <c r="F273" t="s">
        <v>208</v>
      </c>
      <c r="G273" s="11" t="s">
        <v>506</v>
      </c>
      <c r="H273">
        <v>1</v>
      </c>
      <c r="I273" s="11" t="s">
        <v>427</v>
      </c>
      <c r="J273" t="s">
        <v>507</v>
      </c>
      <c r="K273" t="s">
        <v>267</v>
      </c>
      <c r="L273" s="11" t="s">
        <v>39</v>
      </c>
      <c r="M273" s="11" t="s">
        <v>39</v>
      </c>
      <c r="N273" s="11" t="s">
        <v>39</v>
      </c>
      <c r="O273" s="11" t="s">
        <v>39</v>
      </c>
      <c r="P273" t="s">
        <v>9</v>
      </c>
      <c r="Q273">
        <v>10</v>
      </c>
      <c r="R273">
        <v>0</v>
      </c>
      <c r="S273">
        <v>0</v>
      </c>
      <c r="T273" t="str">
        <f t="shared" si="44"/>
        <v>-</v>
      </c>
      <c r="U273" t="str">
        <f t="shared" si="45"/>
        <v>-</v>
      </c>
      <c r="V273" t="str">
        <f t="shared" si="46"/>
        <v>-</v>
      </c>
      <c r="W273" t="str">
        <f t="shared" si="47"/>
        <v>-</v>
      </c>
      <c r="X273" t="str">
        <f t="shared" si="48"/>
        <v>-</v>
      </c>
      <c r="Y273" t="str">
        <f t="shared" si="49"/>
        <v>-</v>
      </c>
      <c r="Z273" t="str">
        <f t="shared" si="50"/>
        <v>-</v>
      </c>
      <c r="AA273" t="str">
        <f t="shared" si="51"/>
        <v>-</v>
      </c>
      <c r="AB273" t="str">
        <f>IF(_xlfn.IFNA(VLOOKUP(P273,Set_Ref!$B$6:$B$1048576,1,FALSE),"")&lt;&gt;"","-",FALSE)</f>
        <v>-</v>
      </c>
      <c r="AC273" t="str">
        <f t="shared" si="52"/>
        <v>-</v>
      </c>
      <c r="AD273" t="str">
        <f t="shared" si="53"/>
        <v>-</v>
      </c>
      <c r="AE273" t="b">
        <f t="shared" si="54"/>
        <v>1</v>
      </c>
    </row>
    <row r="274" spans="1:31" x14ac:dyDescent="0.25">
      <c r="A274">
        <v>1</v>
      </c>
      <c r="B274">
        <v>272</v>
      </c>
      <c r="C274">
        <v>261</v>
      </c>
      <c r="D274" s="11" t="s">
        <v>149</v>
      </c>
      <c r="E274" t="s">
        <v>410</v>
      </c>
      <c r="F274" t="s">
        <v>208</v>
      </c>
      <c r="G274" s="11" t="s">
        <v>506</v>
      </c>
      <c r="H274">
        <v>1</v>
      </c>
      <c r="I274" s="11" t="s">
        <v>427</v>
      </c>
      <c r="J274" t="s">
        <v>507</v>
      </c>
      <c r="K274" t="s">
        <v>267</v>
      </c>
      <c r="L274" s="11" t="s">
        <v>39</v>
      </c>
      <c r="M274" s="11" t="s">
        <v>39</v>
      </c>
      <c r="N274" s="11" t="s">
        <v>39</v>
      </c>
      <c r="O274" s="11" t="s">
        <v>39</v>
      </c>
      <c r="P274" t="s">
        <v>9</v>
      </c>
      <c r="Q274">
        <v>20</v>
      </c>
      <c r="R274">
        <v>0</v>
      </c>
      <c r="S274">
        <v>0</v>
      </c>
      <c r="T274" t="str">
        <f t="shared" si="44"/>
        <v>-</v>
      </c>
      <c r="U274" t="str">
        <f t="shared" si="45"/>
        <v>-</v>
      </c>
      <c r="V274" t="str">
        <f t="shared" si="46"/>
        <v>-</v>
      </c>
      <c r="W274" t="str">
        <f t="shared" si="47"/>
        <v>-</v>
      </c>
      <c r="X274" t="str">
        <f t="shared" si="48"/>
        <v>-</v>
      </c>
      <c r="Y274" t="str">
        <f t="shared" si="49"/>
        <v>-</v>
      </c>
      <c r="Z274" t="str">
        <f t="shared" si="50"/>
        <v>-</v>
      </c>
      <c r="AA274" t="str">
        <f t="shared" si="51"/>
        <v>-</v>
      </c>
      <c r="AB274" t="str">
        <f>IF(_xlfn.IFNA(VLOOKUP(P274,Set_Ref!$B$6:$B$1048576,1,FALSE),"")&lt;&gt;"","-",FALSE)</f>
        <v>-</v>
      </c>
      <c r="AC274" t="str">
        <f t="shared" si="52"/>
        <v>-</v>
      </c>
      <c r="AD274" t="str">
        <f t="shared" si="53"/>
        <v>-</v>
      </c>
      <c r="AE274" t="b">
        <f t="shared" si="54"/>
        <v>1</v>
      </c>
    </row>
    <row r="275" spans="1:31" x14ac:dyDescent="0.25">
      <c r="A275">
        <v>1</v>
      </c>
      <c r="B275">
        <v>273</v>
      </c>
      <c r="C275">
        <v>261</v>
      </c>
      <c r="D275" s="11" t="s">
        <v>149</v>
      </c>
      <c r="E275" t="s">
        <v>410</v>
      </c>
      <c r="F275" t="s">
        <v>208</v>
      </c>
      <c r="G275" s="11" t="s">
        <v>506</v>
      </c>
      <c r="H275">
        <v>1</v>
      </c>
      <c r="I275" s="11" t="s">
        <v>427</v>
      </c>
      <c r="J275" t="s">
        <v>507</v>
      </c>
      <c r="K275" t="s">
        <v>267</v>
      </c>
      <c r="L275" s="11" t="s">
        <v>39</v>
      </c>
      <c r="M275" s="11" t="s">
        <v>39</v>
      </c>
      <c r="N275" s="11" t="s">
        <v>39</v>
      </c>
      <c r="O275" s="11" t="s">
        <v>39</v>
      </c>
      <c r="P275" t="s">
        <v>9</v>
      </c>
      <c r="Q275">
        <v>66</v>
      </c>
      <c r="R275">
        <v>0</v>
      </c>
      <c r="S275">
        <v>0</v>
      </c>
      <c r="T275" t="str">
        <f t="shared" si="44"/>
        <v>-</v>
      </c>
      <c r="U275" t="str">
        <f t="shared" si="45"/>
        <v>-</v>
      </c>
      <c r="V275" t="str">
        <f t="shared" si="46"/>
        <v>-</v>
      </c>
      <c r="W275" t="str">
        <f t="shared" si="47"/>
        <v>-</v>
      </c>
      <c r="X275" t="str">
        <f t="shared" si="48"/>
        <v>-</v>
      </c>
      <c r="Y275" t="str">
        <f t="shared" si="49"/>
        <v>-</v>
      </c>
      <c r="Z275" t="str">
        <f t="shared" si="50"/>
        <v>-</v>
      </c>
      <c r="AA275" t="str">
        <f t="shared" si="51"/>
        <v>-</v>
      </c>
      <c r="AB275" t="str">
        <f>IF(_xlfn.IFNA(VLOOKUP(P275,Set_Ref!$B$6:$B$1048576,1,FALSE),"")&lt;&gt;"","-",FALSE)</f>
        <v>-</v>
      </c>
      <c r="AC275" t="str">
        <f t="shared" si="52"/>
        <v>-</v>
      </c>
      <c r="AD275" t="str">
        <f t="shared" si="53"/>
        <v>-</v>
      </c>
      <c r="AE275" t="b">
        <f t="shared" si="54"/>
        <v>1</v>
      </c>
    </row>
    <row r="276" spans="1:31" x14ac:dyDescent="0.25">
      <c r="A276">
        <v>1</v>
      </c>
      <c r="B276">
        <v>274</v>
      </c>
      <c r="C276">
        <v>261</v>
      </c>
      <c r="D276" s="11" t="s">
        <v>149</v>
      </c>
      <c r="E276" t="s">
        <v>410</v>
      </c>
      <c r="F276" t="s">
        <v>208</v>
      </c>
      <c r="G276" s="11" t="s">
        <v>506</v>
      </c>
      <c r="H276">
        <v>1</v>
      </c>
      <c r="I276" s="11" t="s">
        <v>427</v>
      </c>
      <c r="J276" t="s">
        <v>507</v>
      </c>
      <c r="K276" t="s">
        <v>267</v>
      </c>
      <c r="L276" s="11" t="s">
        <v>39</v>
      </c>
      <c r="M276" s="11" t="s">
        <v>39</v>
      </c>
      <c r="N276" s="11" t="s">
        <v>39</v>
      </c>
      <c r="O276" s="11" t="s">
        <v>39</v>
      </c>
      <c r="P276" t="s">
        <v>9</v>
      </c>
      <c r="Q276">
        <v>240</v>
      </c>
      <c r="R276">
        <v>0</v>
      </c>
      <c r="S276">
        <v>0</v>
      </c>
      <c r="T276" t="str">
        <f t="shared" si="44"/>
        <v>-</v>
      </c>
      <c r="U276" t="str">
        <f t="shared" si="45"/>
        <v>-</v>
      </c>
      <c r="V276" t="str">
        <f t="shared" si="46"/>
        <v>-</v>
      </c>
      <c r="W276" t="str">
        <f t="shared" si="47"/>
        <v>-</v>
      </c>
      <c r="X276" t="str">
        <f t="shared" si="48"/>
        <v>-</v>
      </c>
      <c r="Y276" t="str">
        <f t="shared" si="49"/>
        <v>-</v>
      </c>
      <c r="Z276" t="str">
        <f t="shared" si="50"/>
        <v>-</v>
      </c>
      <c r="AA276" t="str">
        <f t="shared" si="51"/>
        <v>-</v>
      </c>
      <c r="AB276" t="str">
        <f>IF(_xlfn.IFNA(VLOOKUP(P276,Set_Ref!$B$6:$B$1048576,1,FALSE),"")&lt;&gt;"","-",FALSE)</f>
        <v>-</v>
      </c>
      <c r="AC276" t="str">
        <f t="shared" si="52"/>
        <v>-</v>
      </c>
      <c r="AD276" t="str">
        <f t="shared" si="53"/>
        <v>-</v>
      </c>
      <c r="AE276" t="b">
        <f t="shared" si="54"/>
        <v>1</v>
      </c>
    </row>
    <row r="277" spans="1:31" x14ac:dyDescent="0.25">
      <c r="A277">
        <v>1</v>
      </c>
      <c r="B277">
        <v>275</v>
      </c>
      <c r="C277">
        <v>261</v>
      </c>
      <c r="D277" s="11" t="s">
        <v>149</v>
      </c>
      <c r="E277" t="s">
        <v>410</v>
      </c>
      <c r="F277" t="s">
        <v>208</v>
      </c>
      <c r="G277" s="11" t="s">
        <v>506</v>
      </c>
      <c r="H277">
        <v>1</v>
      </c>
      <c r="I277" s="11" t="s">
        <v>427</v>
      </c>
      <c r="J277" t="s">
        <v>507</v>
      </c>
      <c r="K277" t="s">
        <v>267</v>
      </c>
      <c r="L277" s="11" t="s">
        <v>39</v>
      </c>
      <c r="M277" s="11" t="s">
        <v>39</v>
      </c>
      <c r="N277" s="11" t="s">
        <v>39</v>
      </c>
      <c r="O277" s="11" t="s">
        <v>39</v>
      </c>
      <c r="P277" t="s">
        <v>9</v>
      </c>
      <c r="Q277">
        <v>270</v>
      </c>
      <c r="R277">
        <v>0</v>
      </c>
      <c r="S277">
        <v>0</v>
      </c>
      <c r="T277" t="str">
        <f t="shared" si="44"/>
        <v>-</v>
      </c>
      <c r="U277" t="str">
        <f t="shared" si="45"/>
        <v>-</v>
      </c>
      <c r="V277" t="str">
        <f t="shared" si="46"/>
        <v>-</v>
      </c>
      <c r="W277" t="str">
        <f t="shared" si="47"/>
        <v>-</v>
      </c>
      <c r="X277" t="str">
        <f t="shared" si="48"/>
        <v>-</v>
      </c>
      <c r="Y277" t="str">
        <f t="shared" si="49"/>
        <v>-</v>
      </c>
      <c r="Z277" t="str">
        <f t="shared" si="50"/>
        <v>-</v>
      </c>
      <c r="AA277" t="str">
        <f t="shared" si="51"/>
        <v>-</v>
      </c>
      <c r="AB277" t="str">
        <f>IF(_xlfn.IFNA(VLOOKUP(P277,Set_Ref!$B$6:$B$1048576,1,FALSE),"")&lt;&gt;"","-",FALSE)</f>
        <v>-</v>
      </c>
      <c r="AC277" t="str">
        <f t="shared" si="52"/>
        <v>-</v>
      </c>
      <c r="AD277" t="str">
        <f t="shared" si="53"/>
        <v>-</v>
      </c>
      <c r="AE277" t="b">
        <f t="shared" si="54"/>
        <v>1</v>
      </c>
    </row>
    <row r="278" spans="1:31" x14ac:dyDescent="0.25">
      <c r="A278">
        <v>1</v>
      </c>
      <c r="B278">
        <v>276</v>
      </c>
      <c r="C278">
        <v>261</v>
      </c>
      <c r="D278" s="11" t="s">
        <v>149</v>
      </c>
      <c r="E278" t="s">
        <v>410</v>
      </c>
      <c r="F278" t="s">
        <v>208</v>
      </c>
      <c r="G278" s="11" t="s">
        <v>506</v>
      </c>
      <c r="H278">
        <v>1</v>
      </c>
      <c r="I278" s="11" t="s">
        <v>427</v>
      </c>
      <c r="J278" t="s">
        <v>507</v>
      </c>
      <c r="K278" t="s">
        <v>267</v>
      </c>
      <c r="L278" s="11" t="s">
        <v>39</v>
      </c>
      <c r="M278" s="11" t="s">
        <v>39</v>
      </c>
      <c r="N278" s="11" t="s">
        <v>39</v>
      </c>
      <c r="O278" s="11" t="s">
        <v>39</v>
      </c>
      <c r="P278" t="s">
        <v>9</v>
      </c>
      <c r="Q278">
        <v>110</v>
      </c>
      <c r="R278">
        <v>0</v>
      </c>
      <c r="S278">
        <v>0</v>
      </c>
      <c r="T278" t="str">
        <f t="shared" si="44"/>
        <v>-</v>
      </c>
      <c r="U278" t="str">
        <f t="shared" si="45"/>
        <v>-</v>
      </c>
      <c r="V278" t="str">
        <f t="shared" si="46"/>
        <v>-</v>
      </c>
      <c r="W278" t="str">
        <f t="shared" si="47"/>
        <v>-</v>
      </c>
      <c r="X278" t="str">
        <f t="shared" si="48"/>
        <v>-</v>
      </c>
      <c r="Y278" t="str">
        <f t="shared" si="49"/>
        <v>-</v>
      </c>
      <c r="Z278" t="str">
        <f t="shared" si="50"/>
        <v>-</v>
      </c>
      <c r="AA278" t="str">
        <f t="shared" si="51"/>
        <v>-</v>
      </c>
      <c r="AB278" t="str">
        <f>IF(_xlfn.IFNA(VLOOKUP(P278,Set_Ref!$B$6:$B$1048576,1,FALSE),"")&lt;&gt;"","-",FALSE)</f>
        <v>-</v>
      </c>
      <c r="AC278" t="str">
        <f t="shared" si="52"/>
        <v>-</v>
      </c>
      <c r="AD278" t="str">
        <f t="shared" si="53"/>
        <v>-</v>
      </c>
      <c r="AE278" t="b">
        <f t="shared" si="54"/>
        <v>1</v>
      </c>
    </row>
    <row r="279" spans="1:31" x14ac:dyDescent="0.25">
      <c r="A279">
        <v>1</v>
      </c>
      <c r="B279">
        <v>277</v>
      </c>
      <c r="C279">
        <v>261</v>
      </c>
      <c r="D279" s="11" t="s">
        <v>149</v>
      </c>
      <c r="E279" t="s">
        <v>410</v>
      </c>
      <c r="F279" t="s">
        <v>208</v>
      </c>
      <c r="G279" s="11" t="s">
        <v>506</v>
      </c>
      <c r="H279">
        <v>1</v>
      </c>
      <c r="I279" s="11" t="s">
        <v>427</v>
      </c>
      <c r="J279" t="s">
        <v>507</v>
      </c>
      <c r="K279" t="s">
        <v>267</v>
      </c>
      <c r="L279" s="11" t="s">
        <v>39</v>
      </c>
      <c r="M279" s="11" t="s">
        <v>39</v>
      </c>
      <c r="N279" s="11" t="s">
        <v>39</v>
      </c>
      <c r="O279" s="11" t="s">
        <v>39</v>
      </c>
      <c r="P279" t="s">
        <v>9</v>
      </c>
      <c r="Q279">
        <v>44</v>
      </c>
      <c r="R279">
        <v>0</v>
      </c>
      <c r="S279">
        <v>0</v>
      </c>
      <c r="T279" t="str">
        <f t="shared" si="44"/>
        <v>-</v>
      </c>
      <c r="U279" t="str">
        <f t="shared" si="45"/>
        <v>-</v>
      </c>
      <c r="V279" t="str">
        <f t="shared" si="46"/>
        <v>-</v>
      </c>
      <c r="W279" t="str">
        <f t="shared" si="47"/>
        <v>-</v>
      </c>
      <c r="X279" t="str">
        <f t="shared" si="48"/>
        <v>-</v>
      </c>
      <c r="Y279" t="str">
        <f t="shared" si="49"/>
        <v>-</v>
      </c>
      <c r="Z279" t="str">
        <f t="shared" si="50"/>
        <v>-</v>
      </c>
      <c r="AA279" t="str">
        <f t="shared" si="51"/>
        <v>-</v>
      </c>
      <c r="AB279" t="str">
        <f>IF(_xlfn.IFNA(VLOOKUP(P279,Set_Ref!$B$6:$B$1048576,1,FALSE),"")&lt;&gt;"","-",FALSE)</f>
        <v>-</v>
      </c>
      <c r="AC279" t="str">
        <f t="shared" si="52"/>
        <v>-</v>
      </c>
      <c r="AD279" t="str">
        <f t="shared" si="53"/>
        <v>-</v>
      </c>
      <c r="AE279" t="b">
        <f t="shared" si="54"/>
        <v>1</v>
      </c>
    </row>
    <row r="280" spans="1:31" x14ac:dyDescent="0.25">
      <c r="A280">
        <v>1</v>
      </c>
      <c r="B280">
        <v>278</v>
      </c>
      <c r="C280">
        <v>261</v>
      </c>
      <c r="D280" s="11" t="s">
        <v>149</v>
      </c>
      <c r="E280" t="s">
        <v>411</v>
      </c>
      <c r="F280" t="s">
        <v>209</v>
      </c>
      <c r="G280" s="11" t="s">
        <v>508</v>
      </c>
      <c r="H280">
        <v>1</v>
      </c>
      <c r="I280" s="11" t="s">
        <v>427</v>
      </c>
      <c r="J280" t="s">
        <v>298</v>
      </c>
      <c r="K280" t="s">
        <v>237</v>
      </c>
      <c r="L280" s="11" t="s">
        <v>39</v>
      </c>
      <c r="M280" s="11" t="s">
        <v>39</v>
      </c>
      <c r="N280" s="11" t="s">
        <v>39</v>
      </c>
      <c r="O280" s="11" t="s">
        <v>39</v>
      </c>
      <c r="P280" t="s">
        <v>9</v>
      </c>
      <c r="Q280">
        <v>30</v>
      </c>
      <c r="R280">
        <v>0</v>
      </c>
      <c r="S280">
        <v>0</v>
      </c>
      <c r="T280" t="str">
        <f t="shared" si="44"/>
        <v>-</v>
      </c>
      <c r="U280" t="str">
        <f t="shared" si="45"/>
        <v>-</v>
      </c>
      <c r="V280" t="str">
        <f t="shared" si="46"/>
        <v>-</v>
      </c>
      <c r="W280" t="str">
        <f t="shared" si="47"/>
        <v>-</v>
      </c>
      <c r="X280" t="str">
        <f t="shared" si="48"/>
        <v>-</v>
      </c>
      <c r="Y280" t="str">
        <f t="shared" si="49"/>
        <v>-</v>
      </c>
      <c r="Z280" t="str">
        <f t="shared" si="50"/>
        <v>-</v>
      </c>
      <c r="AA280" t="str">
        <f t="shared" si="51"/>
        <v>-</v>
      </c>
      <c r="AB280" t="str">
        <f>IF(_xlfn.IFNA(VLOOKUP(P280,Set_Ref!$B$6:$B$1048576,1,FALSE),"")&lt;&gt;"","-",FALSE)</f>
        <v>-</v>
      </c>
      <c r="AC280" t="str">
        <f t="shared" si="52"/>
        <v>-</v>
      </c>
      <c r="AD280" t="str">
        <f t="shared" si="53"/>
        <v>-</v>
      </c>
      <c r="AE280" t="b">
        <f t="shared" si="54"/>
        <v>1</v>
      </c>
    </row>
    <row r="281" spans="1:31" x14ac:dyDescent="0.25">
      <c r="A281">
        <v>1</v>
      </c>
      <c r="B281">
        <v>279</v>
      </c>
      <c r="C281">
        <v>261</v>
      </c>
      <c r="D281" s="11" t="s">
        <v>149</v>
      </c>
      <c r="E281" t="s">
        <v>412</v>
      </c>
      <c r="F281" t="s">
        <v>209</v>
      </c>
      <c r="G281" s="11" t="s">
        <v>509</v>
      </c>
      <c r="H281">
        <v>1</v>
      </c>
      <c r="I281" s="11" t="s">
        <v>427</v>
      </c>
      <c r="J281" t="s">
        <v>413</v>
      </c>
      <c r="K281" t="s">
        <v>268</v>
      </c>
      <c r="L281" s="11" t="s">
        <v>39</v>
      </c>
      <c r="M281" s="11" t="s">
        <v>39</v>
      </c>
      <c r="N281" s="11" t="s">
        <v>39</v>
      </c>
      <c r="O281" s="11" t="s">
        <v>39</v>
      </c>
      <c r="P281" t="s">
        <v>9</v>
      </c>
      <c r="Q281">
        <v>200</v>
      </c>
      <c r="R281">
        <v>0</v>
      </c>
      <c r="S281">
        <v>0</v>
      </c>
      <c r="T281" t="str">
        <f t="shared" si="44"/>
        <v>-</v>
      </c>
      <c r="U281" t="str">
        <f t="shared" si="45"/>
        <v>-</v>
      </c>
      <c r="V281" t="str">
        <f t="shared" si="46"/>
        <v>-</v>
      </c>
      <c r="W281" t="str">
        <f t="shared" si="47"/>
        <v>-</v>
      </c>
      <c r="X281" t="str">
        <f t="shared" si="48"/>
        <v>-</v>
      </c>
      <c r="Y281" t="str">
        <f t="shared" si="49"/>
        <v>-</v>
      </c>
      <c r="Z281" t="str">
        <f t="shared" si="50"/>
        <v>-</v>
      </c>
      <c r="AA281" t="str">
        <f t="shared" si="51"/>
        <v>-</v>
      </c>
      <c r="AB281" t="str">
        <f>IF(_xlfn.IFNA(VLOOKUP(P281,Set_Ref!$B$6:$B$1048576,1,FALSE),"")&lt;&gt;"","-",FALSE)</f>
        <v>-</v>
      </c>
      <c r="AC281" t="str">
        <f t="shared" si="52"/>
        <v>-</v>
      </c>
      <c r="AD281" t="str">
        <f t="shared" si="53"/>
        <v>-</v>
      </c>
      <c r="AE281" t="b">
        <f t="shared" si="54"/>
        <v>1</v>
      </c>
    </row>
    <row r="282" spans="1:31" x14ac:dyDescent="0.25">
      <c r="A282">
        <v>1</v>
      </c>
      <c r="B282">
        <v>280</v>
      </c>
      <c r="C282">
        <v>261</v>
      </c>
      <c r="D282" s="11" t="s">
        <v>149</v>
      </c>
      <c r="E282" t="s">
        <v>414</v>
      </c>
      <c r="F282" t="s">
        <v>210</v>
      </c>
      <c r="G282" s="11" t="s">
        <v>510</v>
      </c>
      <c r="H282">
        <v>1</v>
      </c>
      <c r="I282" s="11" t="s">
        <v>427</v>
      </c>
      <c r="J282" t="s">
        <v>511</v>
      </c>
      <c r="K282" t="s">
        <v>237</v>
      </c>
      <c r="L282" s="11" t="s">
        <v>39</v>
      </c>
      <c r="M282" s="11" t="s">
        <v>39</v>
      </c>
      <c r="N282" s="11" t="s">
        <v>39</v>
      </c>
      <c r="O282" s="11" t="s">
        <v>39</v>
      </c>
      <c r="P282" t="s">
        <v>9</v>
      </c>
      <c r="Q282">
        <v>180</v>
      </c>
      <c r="R282">
        <v>0</v>
      </c>
      <c r="S282">
        <v>0</v>
      </c>
      <c r="T282" t="str">
        <f t="shared" si="44"/>
        <v>-</v>
      </c>
      <c r="U282" t="str">
        <f t="shared" si="45"/>
        <v>-</v>
      </c>
      <c r="V282" t="str">
        <f t="shared" si="46"/>
        <v>-</v>
      </c>
      <c r="W282" t="str">
        <f t="shared" si="47"/>
        <v>-</v>
      </c>
      <c r="X282" t="str">
        <f t="shared" si="48"/>
        <v>-</v>
      </c>
      <c r="Y282" t="str">
        <f t="shared" si="49"/>
        <v>-</v>
      </c>
      <c r="Z282" t="str">
        <f t="shared" si="50"/>
        <v>-</v>
      </c>
      <c r="AA282" t="str">
        <f t="shared" si="51"/>
        <v>-</v>
      </c>
      <c r="AB282" t="str">
        <f>IF(_xlfn.IFNA(VLOOKUP(P282,Set_Ref!$B$6:$B$1048576,1,FALSE),"")&lt;&gt;"","-",FALSE)</f>
        <v>-</v>
      </c>
      <c r="AC282" t="str">
        <f t="shared" si="52"/>
        <v>-</v>
      </c>
      <c r="AD282" t="str">
        <f t="shared" si="53"/>
        <v>-</v>
      </c>
      <c r="AE282" t="b">
        <f t="shared" si="54"/>
        <v>1</v>
      </c>
    </row>
    <row r="283" spans="1:31" x14ac:dyDescent="0.25">
      <c r="A283">
        <v>1</v>
      </c>
      <c r="B283">
        <v>281</v>
      </c>
      <c r="C283">
        <v>261</v>
      </c>
      <c r="D283" s="11" t="s">
        <v>149</v>
      </c>
      <c r="E283" t="s">
        <v>414</v>
      </c>
      <c r="F283" t="s">
        <v>210</v>
      </c>
      <c r="G283" s="11" t="s">
        <v>510</v>
      </c>
      <c r="H283">
        <v>1</v>
      </c>
      <c r="I283" s="11" t="s">
        <v>427</v>
      </c>
      <c r="J283" t="s">
        <v>511</v>
      </c>
      <c r="K283" t="s">
        <v>237</v>
      </c>
      <c r="L283" s="11" t="s">
        <v>39</v>
      </c>
      <c r="M283" s="11" t="s">
        <v>39</v>
      </c>
      <c r="N283" s="11" t="s">
        <v>39</v>
      </c>
      <c r="O283" s="11" t="s">
        <v>39</v>
      </c>
      <c r="P283" t="s">
        <v>9</v>
      </c>
      <c r="Q283">
        <v>100</v>
      </c>
      <c r="R283">
        <v>0</v>
      </c>
      <c r="S283">
        <v>0</v>
      </c>
      <c r="T283" t="str">
        <f t="shared" si="44"/>
        <v>-</v>
      </c>
      <c r="U283" t="str">
        <f t="shared" si="45"/>
        <v>-</v>
      </c>
      <c r="V283" t="str">
        <f t="shared" si="46"/>
        <v>-</v>
      </c>
      <c r="W283" t="str">
        <f t="shared" si="47"/>
        <v>-</v>
      </c>
      <c r="X283" t="str">
        <f t="shared" si="48"/>
        <v>-</v>
      </c>
      <c r="Y283" t="str">
        <f t="shared" si="49"/>
        <v>-</v>
      </c>
      <c r="Z283" t="str">
        <f t="shared" si="50"/>
        <v>-</v>
      </c>
      <c r="AA283" t="str">
        <f t="shared" si="51"/>
        <v>-</v>
      </c>
      <c r="AB283" t="str">
        <f>IF(_xlfn.IFNA(VLOOKUP(P283,Set_Ref!$B$6:$B$1048576,1,FALSE),"")&lt;&gt;"","-",FALSE)</f>
        <v>-</v>
      </c>
      <c r="AC283" t="str">
        <f t="shared" si="52"/>
        <v>-</v>
      </c>
      <c r="AD283" t="str">
        <f t="shared" si="53"/>
        <v>-</v>
      </c>
      <c r="AE283" t="b">
        <f t="shared" si="54"/>
        <v>1</v>
      </c>
    </row>
    <row r="284" spans="1:31" x14ac:dyDescent="0.25">
      <c r="A284">
        <v>1</v>
      </c>
      <c r="B284">
        <v>282</v>
      </c>
      <c r="C284">
        <v>261</v>
      </c>
      <c r="D284" s="11" t="s">
        <v>149</v>
      </c>
      <c r="E284" t="s">
        <v>414</v>
      </c>
      <c r="F284" t="s">
        <v>210</v>
      </c>
      <c r="G284" s="11" t="s">
        <v>510</v>
      </c>
      <c r="H284">
        <v>1</v>
      </c>
      <c r="I284" s="11" t="s">
        <v>427</v>
      </c>
      <c r="J284" t="s">
        <v>511</v>
      </c>
      <c r="K284" t="s">
        <v>237</v>
      </c>
      <c r="L284" s="11" t="s">
        <v>39</v>
      </c>
      <c r="M284" s="11" t="s">
        <v>39</v>
      </c>
      <c r="N284" s="11" t="s">
        <v>39</v>
      </c>
      <c r="O284" s="11" t="s">
        <v>39</v>
      </c>
      <c r="P284" t="s">
        <v>9</v>
      </c>
      <c r="Q284">
        <v>18</v>
      </c>
      <c r="R284">
        <v>0</v>
      </c>
      <c r="S284">
        <v>0</v>
      </c>
      <c r="T284" t="str">
        <f t="shared" si="44"/>
        <v>-</v>
      </c>
      <c r="U284" t="str">
        <f t="shared" si="45"/>
        <v>-</v>
      </c>
      <c r="V284" t="str">
        <f t="shared" si="46"/>
        <v>-</v>
      </c>
      <c r="W284" t="str">
        <f t="shared" si="47"/>
        <v>-</v>
      </c>
      <c r="X284" t="str">
        <f t="shared" si="48"/>
        <v>-</v>
      </c>
      <c r="Y284" t="str">
        <f t="shared" si="49"/>
        <v>-</v>
      </c>
      <c r="Z284" t="str">
        <f t="shared" si="50"/>
        <v>-</v>
      </c>
      <c r="AA284" t="str">
        <f t="shared" si="51"/>
        <v>-</v>
      </c>
      <c r="AB284" t="str">
        <f>IF(_xlfn.IFNA(VLOOKUP(P284,Set_Ref!$B$6:$B$1048576,1,FALSE),"")&lt;&gt;"","-",FALSE)</f>
        <v>-</v>
      </c>
      <c r="AC284" t="str">
        <f t="shared" si="52"/>
        <v>-</v>
      </c>
      <c r="AD284" t="str">
        <f t="shared" si="53"/>
        <v>-</v>
      </c>
      <c r="AE284" t="b">
        <f t="shared" si="54"/>
        <v>1</v>
      </c>
    </row>
    <row r="285" spans="1:31" x14ac:dyDescent="0.25">
      <c r="A285">
        <v>1</v>
      </c>
      <c r="B285">
        <v>283</v>
      </c>
      <c r="C285">
        <v>261</v>
      </c>
      <c r="D285" s="11" t="s">
        <v>149</v>
      </c>
      <c r="E285" t="s">
        <v>414</v>
      </c>
      <c r="F285" t="s">
        <v>210</v>
      </c>
      <c r="G285" s="11" t="s">
        <v>510</v>
      </c>
      <c r="H285">
        <v>1</v>
      </c>
      <c r="I285" s="11" t="s">
        <v>427</v>
      </c>
      <c r="J285" t="s">
        <v>511</v>
      </c>
      <c r="K285" t="s">
        <v>237</v>
      </c>
      <c r="L285" s="11" t="s">
        <v>39</v>
      </c>
      <c r="M285" s="11" t="s">
        <v>39</v>
      </c>
      <c r="N285" s="11" t="s">
        <v>39</v>
      </c>
      <c r="O285" s="11" t="s">
        <v>39</v>
      </c>
      <c r="P285" t="s">
        <v>9</v>
      </c>
      <c r="Q285">
        <v>60</v>
      </c>
      <c r="R285">
        <v>0</v>
      </c>
      <c r="S285">
        <v>0</v>
      </c>
      <c r="T285" t="str">
        <f t="shared" si="44"/>
        <v>-</v>
      </c>
      <c r="U285" t="str">
        <f t="shared" si="45"/>
        <v>-</v>
      </c>
      <c r="V285" t="str">
        <f t="shared" si="46"/>
        <v>-</v>
      </c>
      <c r="W285" t="str">
        <f t="shared" si="47"/>
        <v>-</v>
      </c>
      <c r="X285" t="str">
        <f t="shared" si="48"/>
        <v>-</v>
      </c>
      <c r="Y285" t="str">
        <f t="shared" si="49"/>
        <v>-</v>
      </c>
      <c r="Z285" t="str">
        <f t="shared" si="50"/>
        <v>-</v>
      </c>
      <c r="AA285" t="str">
        <f t="shared" si="51"/>
        <v>-</v>
      </c>
      <c r="AB285" t="str">
        <f>IF(_xlfn.IFNA(VLOOKUP(P285,Set_Ref!$B$6:$B$1048576,1,FALSE),"")&lt;&gt;"","-",FALSE)</f>
        <v>-</v>
      </c>
      <c r="AC285" t="str">
        <f t="shared" si="52"/>
        <v>-</v>
      </c>
      <c r="AD285" t="str">
        <f t="shared" si="53"/>
        <v>-</v>
      </c>
      <c r="AE285" t="b">
        <f t="shared" si="54"/>
        <v>1</v>
      </c>
    </row>
    <row r="286" spans="1:31" x14ac:dyDescent="0.25">
      <c r="A286">
        <v>1</v>
      </c>
      <c r="B286">
        <v>284</v>
      </c>
      <c r="C286">
        <v>261</v>
      </c>
      <c r="D286" s="11" t="s">
        <v>149</v>
      </c>
      <c r="E286" t="s">
        <v>414</v>
      </c>
      <c r="F286" t="s">
        <v>210</v>
      </c>
      <c r="G286" s="11" t="s">
        <v>510</v>
      </c>
      <c r="H286">
        <v>1</v>
      </c>
      <c r="I286" s="11" t="s">
        <v>427</v>
      </c>
      <c r="J286" t="s">
        <v>511</v>
      </c>
      <c r="K286" t="s">
        <v>237</v>
      </c>
      <c r="L286" s="11" t="s">
        <v>39</v>
      </c>
      <c r="M286" s="11" t="s">
        <v>39</v>
      </c>
      <c r="N286" s="11" t="s">
        <v>39</v>
      </c>
      <c r="O286" s="11" t="s">
        <v>39</v>
      </c>
      <c r="P286" t="s">
        <v>9</v>
      </c>
      <c r="Q286">
        <v>40</v>
      </c>
      <c r="R286">
        <v>0</v>
      </c>
      <c r="S286">
        <v>0</v>
      </c>
      <c r="T286" t="str">
        <f t="shared" si="44"/>
        <v>-</v>
      </c>
      <c r="U286" t="str">
        <f t="shared" si="45"/>
        <v>-</v>
      </c>
      <c r="V286" t="str">
        <f t="shared" si="46"/>
        <v>-</v>
      </c>
      <c r="W286" t="str">
        <f t="shared" si="47"/>
        <v>-</v>
      </c>
      <c r="X286" t="str">
        <f t="shared" si="48"/>
        <v>-</v>
      </c>
      <c r="Y286" t="str">
        <f t="shared" si="49"/>
        <v>-</v>
      </c>
      <c r="Z286" t="str">
        <f t="shared" si="50"/>
        <v>-</v>
      </c>
      <c r="AA286" t="str">
        <f t="shared" si="51"/>
        <v>-</v>
      </c>
      <c r="AB286" t="str">
        <f>IF(_xlfn.IFNA(VLOOKUP(P286,Set_Ref!$B$6:$B$1048576,1,FALSE),"")&lt;&gt;"","-",FALSE)</f>
        <v>-</v>
      </c>
      <c r="AC286" t="str">
        <f t="shared" si="52"/>
        <v>-</v>
      </c>
      <c r="AD286" t="str">
        <f t="shared" si="53"/>
        <v>-</v>
      </c>
      <c r="AE286" t="b">
        <f t="shared" si="54"/>
        <v>1</v>
      </c>
    </row>
    <row r="287" spans="1:31" x14ac:dyDescent="0.25">
      <c r="A287">
        <v>1</v>
      </c>
      <c r="B287">
        <v>285</v>
      </c>
      <c r="C287">
        <v>261</v>
      </c>
      <c r="D287" s="11" t="s">
        <v>149</v>
      </c>
      <c r="E287" t="s">
        <v>414</v>
      </c>
      <c r="F287" t="s">
        <v>210</v>
      </c>
      <c r="G287" s="11" t="s">
        <v>510</v>
      </c>
      <c r="H287">
        <v>2</v>
      </c>
      <c r="I287" s="11" t="s">
        <v>178</v>
      </c>
      <c r="J287" t="s">
        <v>322</v>
      </c>
      <c r="K287" t="s">
        <v>248</v>
      </c>
      <c r="L287" s="11" t="s">
        <v>39</v>
      </c>
      <c r="M287" s="11" t="s">
        <v>39</v>
      </c>
      <c r="N287" s="11" t="s">
        <v>39</v>
      </c>
      <c r="O287" s="11" t="s">
        <v>39</v>
      </c>
      <c r="P287" t="s">
        <v>38</v>
      </c>
      <c r="Q287">
        <v>0.95</v>
      </c>
      <c r="R287">
        <v>0</v>
      </c>
      <c r="S287">
        <v>0</v>
      </c>
      <c r="T287" t="str">
        <f t="shared" si="44"/>
        <v>-</v>
      </c>
      <c r="U287" t="str">
        <f t="shared" si="45"/>
        <v>-</v>
      </c>
      <c r="V287" t="str">
        <f t="shared" si="46"/>
        <v>-</v>
      </c>
      <c r="W287" t="str">
        <f t="shared" si="47"/>
        <v>-</v>
      </c>
      <c r="X287" t="str">
        <f t="shared" si="48"/>
        <v>-</v>
      </c>
      <c r="Y287" t="str">
        <f t="shared" si="49"/>
        <v>-</v>
      </c>
      <c r="Z287" t="str">
        <f t="shared" si="50"/>
        <v>-</v>
      </c>
      <c r="AA287" t="str">
        <f t="shared" si="51"/>
        <v>-</v>
      </c>
      <c r="AB287" t="str">
        <f>IF(_xlfn.IFNA(VLOOKUP(P287,Set_Ref!$B$6:$B$1048576,1,FALSE),"")&lt;&gt;"","-",FALSE)</f>
        <v>-</v>
      </c>
      <c r="AC287" t="str">
        <f t="shared" si="52"/>
        <v>-</v>
      </c>
      <c r="AD287" t="str">
        <f t="shared" si="53"/>
        <v>-</v>
      </c>
      <c r="AE287" t="b">
        <f t="shared" si="54"/>
        <v>1</v>
      </c>
    </row>
    <row r="288" spans="1:31" x14ac:dyDescent="0.25">
      <c r="A288">
        <v>1</v>
      </c>
      <c r="B288">
        <v>286</v>
      </c>
      <c r="C288">
        <v>261</v>
      </c>
      <c r="D288" s="11" t="s">
        <v>149</v>
      </c>
      <c r="E288" t="s">
        <v>414</v>
      </c>
      <c r="F288" t="s">
        <v>210</v>
      </c>
      <c r="G288" s="11" t="s">
        <v>510</v>
      </c>
      <c r="H288">
        <v>1</v>
      </c>
      <c r="I288" s="11" t="s">
        <v>427</v>
      </c>
      <c r="J288" t="s">
        <v>511</v>
      </c>
      <c r="K288" t="s">
        <v>237</v>
      </c>
      <c r="L288" s="11" t="s">
        <v>39</v>
      </c>
      <c r="M288" s="11" t="s">
        <v>39</v>
      </c>
      <c r="N288" s="11" t="s">
        <v>39</v>
      </c>
      <c r="O288" s="11" t="s">
        <v>39</v>
      </c>
      <c r="P288" t="s">
        <v>9</v>
      </c>
      <c r="Q288">
        <v>39</v>
      </c>
      <c r="R288">
        <v>0</v>
      </c>
      <c r="S288">
        <v>0</v>
      </c>
      <c r="T288" t="str">
        <f t="shared" si="44"/>
        <v>-</v>
      </c>
      <c r="U288" t="str">
        <f t="shared" si="45"/>
        <v>-</v>
      </c>
      <c r="V288" t="str">
        <f t="shared" si="46"/>
        <v>-</v>
      </c>
      <c r="W288" t="str">
        <f t="shared" si="47"/>
        <v>-</v>
      </c>
      <c r="X288" t="str">
        <f t="shared" si="48"/>
        <v>-</v>
      </c>
      <c r="Y288" t="str">
        <f t="shared" si="49"/>
        <v>-</v>
      </c>
      <c r="Z288" t="str">
        <f t="shared" si="50"/>
        <v>-</v>
      </c>
      <c r="AA288" t="str">
        <f t="shared" si="51"/>
        <v>-</v>
      </c>
      <c r="AB288" t="str">
        <f>IF(_xlfn.IFNA(VLOOKUP(P288,Set_Ref!$B$6:$B$1048576,1,FALSE),"")&lt;&gt;"","-",FALSE)</f>
        <v>-</v>
      </c>
      <c r="AC288" t="str">
        <f t="shared" si="52"/>
        <v>-</v>
      </c>
      <c r="AD288" t="str">
        <f t="shared" si="53"/>
        <v>-</v>
      </c>
      <c r="AE288" t="b">
        <f t="shared" si="54"/>
        <v>1</v>
      </c>
    </row>
    <row r="289" spans="1:31" x14ac:dyDescent="0.25">
      <c r="A289">
        <v>1</v>
      </c>
      <c r="B289">
        <v>287</v>
      </c>
      <c r="C289">
        <v>261</v>
      </c>
      <c r="D289" s="11" t="s">
        <v>149</v>
      </c>
      <c r="E289" t="s">
        <v>414</v>
      </c>
      <c r="F289" t="s">
        <v>210</v>
      </c>
      <c r="G289" s="11" t="s">
        <v>510</v>
      </c>
      <c r="H289">
        <v>1</v>
      </c>
      <c r="I289" s="11" t="s">
        <v>427</v>
      </c>
      <c r="J289" t="s">
        <v>511</v>
      </c>
      <c r="K289" t="s">
        <v>237</v>
      </c>
      <c r="L289" s="11" t="s">
        <v>39</v>
      </c>
      <c r="M289" s="11" t="s">
        <v>39</v>
      </c>
      <c r="N289" s="11" t="s">
        <v>39</v>
      </c>
      <c r="O289" s="11" t="s">
        <v>39</v>
      </c>
      <c r="P289" t="s">
        <v>9</v>
      </c>
      <c r="Q289">
        <v>10</v>
      </c>
      <c r="R289">
        <v>0</v>
      </c>
      <c r="S289">
        <v>0</v>
      </c>
      <c r="T289" t="str">
        <f t="shared" si="44"/>
        <v>-</v>
      </c>
      <c r="U289" t="str">
        <f t="shared" si="45"/>
        <v>-</v>
      </c>
      <c r="V289" t="str">
        <f t="shared" si="46"/>
        <v>-</v>
      </c>
      <c r="W289" t="str">
        <f t="shared" si="47"/>
        <v>-</v>
      </c>
      <c r="X289" t="str">
        <f t="shared" si="48"/>
        <v>-</v>
      </c>
      <c r="Y289" t="str">
        <f t="shared" si="49"/>
        <v>-</v>
      </c>
      <c r="Z289" t="str">
        <f t="shared" si="50"/>
        <v>-</v>
      </c>
      <c r="AA289" t="str">
        <f t="shared" si="51"/>
        <v>-</v>
      </c>
      <c r="AB289" t="str">
        <f>IF(_xlfn.IFNA(VLOOKUP(P289,Set_Ref!$B$6:$B$1048576,1,FALSE),"")&lt;&gt;"","-",FALSE)</f>
        <v>-</v>
      </c>
      <c r="AC289" t="str">
        <f t="shared" si="52"/>
        <v>-</v>
      </c>
      <c r="AD289" t="str">
        <f t="shared" si="53"/>
        <v>-</v>
      </c>
      <c r="AE289" t="b">
        <f t="shared" si="54"/>
        <v>1</v>
      </c>
    </row>
    <row r="290" spans="1:31" x14ac:dyDescent="0.25">
      <c r="A290">
        <v>1</v>
      </c>
      <c r="B290">
        <v>288</v>
      </c>
      <c r="C290">
        <v>261</v>
      </c>
      <c r="D290" s="11" t="s">
        <v>149</v>
      </c>
      <c r="E290" t="s">
        <v>416</v>
      </c>
      <c r="F290" t="s">
        <v>210</v>
      </c>
      <c r="G290" s="11" t="s">
        <v>512</v>
      </c>
      <c r="H290">
        <v>1</v>
      </c>
      <c r="I290" s="11" t="s">
        <v>427</v>
      </c>
      <c r="J290" t="s">
        <v>295</v>
      </c>
      <c r="K290" t="s">
        <v>237</v>
      </c>
      <c r="L290" s="11" t="s">
        <v>39</v>
      </c>
      <c r="M290" s="11" t="s">
        <v>39</v>
      </c>
      <c r="N290" s="11" t="s">
        <v>39</v>
      </c>
      <c r="O290" s="11" t="s">
        <v>39</v>
      </c>
      <c r="P290" t="s">
        <v>9</v>
      </c>
      <c r="Q290">
        <v>1</v>
      </c>
      <c r="R290">
        <v>0</v>
      </c>
      <c r="S290">
        <v>0</v>
      </c>
      <c r="T290" t="str">
        <f t="shared" si="44"/>
        <v>-</v>
      </c>
      <c r="U290" t="str">
        <f t="shared" si="45"/>
        <v>-</v>
      </c>
      <c r="V290" t="str">
        <f t="shared" si="46"/>
        <v>-</v>
      </c>
      <c r="W290" t="str">
        <f t="shared" si="47"/>
        <v>-</v>
      </c>
      <c r="X290" t="str">
        <f t="shared" si="48"/>
        <v>-</v>
      </c>
      <c r="Y290" t="str">
        <f t="shared" si="49"/>
        <v>-</v>
      </c>
      <c r="Z290" t="str">
        <f t="shared" si="50"/>
        <v>-</v>
      </c>
      <c r="AA290" t="str">
        <f t="shared" si="51"/>
        <v>-</v>
      </c>
      <c r="AB290" t="str">
        <f>IF(_xlfn.IFNA(VLOOKUP(P290,Set_Ref!$B$6:$B$1048576,1,FALSE),"")&lt;&gt;"","-",FALSE)</f>
        <v>-</v>
      </c>
      <c r="AC290" t="str">
        <f t="shared" si="52"/>
        <v>-</v>
      </c>
      <c r="AD290" t="str">
        <f t="shared" si="53"/>
        <v>-</v>
      </c>
      <c r="AE290" t="b">
        <f t="shared" si="54"/>
        <v>1</v>
      </c>
    </row>
    <row r="291" spans="1:31" x14ac:dyDescent="0.25">
      <c r="A291">
        <v>1</v>
      </c>
      <c r="B291">
        <v>289</v>
      </c>
      <c r="C291">
        <v>261</v>
      </c>
      <c r="D291" s="11" t="s">
        <v>149</v>
      </c>
      <c r="E291" t="s">
        <v>417</v>
      </c>
      <c r="F291" t="s">
        <v>211</v>
      </c>
      <c r="G291" s="11" t="s">
        <v>513</v>
      </c>
      <c r="H291">
        <v>1</v>
      </c>
      <c r="I291" s="11" t="s">
        <v>177</v>
      </c>
      <c r="J291" t="s">
        <v>324</v>
      </c>
      <c r="K291" t="s">
        <v>250</v>
      </c>
      <c r="L291" s="11" t="s">
        <v>39</v>
      </c>
      <c r="M291" s="11" t="s">
        <v>39</v>
      </c>
      <c r="N291" s="11" t="s">
        <v>39</v>
      </c>
      <c r="O291" s="11" t="s">
        <v>39</v>
      </c>
      <c r="P291" t="s">
        <v>9</v>
      </c>
      <c r="Q291">
        <v>10</v>
      </c>
      <c r="R291">
        <v>0</v>
      </c>
      <c r="S291">
        <v>0</v>
      </c>
      <c r="T291" t="str">
        <f t="shared" si="44"/>
        <v>-</v>
      </c>
      <c r="U291" t="str">
        <f t="shared" si="45"/>
        <v>-</v>
      </c>
      <c r="V291" t="str">
        <f t="shared" si="46"/>
        <v>-</v>
      </c>
      <c r="W291" t="str">
        <f t="shared" si="47"/>
        <v>-</v>
      </c>
      <c r="X291" t="str">
        <f t="shared" si="48"/>
        <v>-</v>
      </c>
      <c r="Y291" t="str">
        <f t="shared" si="49"/>
        <v>-</v>
      </c>
      <c r="Z291" t="str">
        <f t="shared" si="50"/>
        <v>-</v>
      </c>
      <c r="AA291" t="str">
        <f t="shared" si="51"/>
        <v>-</v>
      </c>
      <c r="AB291" t="str">
        <f>IF(_xlfn.IFNA(VLOOKUP(P291,Set_Ref!$B$6:$B$1048576,1,FALSE),"")&lt;&gt;"","-",FALSE)</f>
        <v>-</v>
      </c>
      <c r="AC291" t="str">
        <f t="shared" si="52"/>
        <v>-</v>
      </c>
      <c r="AD291" t="str">
        <f t="shared" si="53"/>
        <v>-</v>
      </c>
      <c r="AE291" t="b">
        <f t="shared" si="54"/>
        <v>1</v>
      </c>
    </row>
    <row r="292" spans="1:31" x14ac:dyDescent="0.25">
      <c r="A292">
        <v>1</v>
      </c>
      <c r="B292">
        <v>290</v>
      </c>
      <c r="C292">
        <v>261</v>
      </c>
      <c r="D292" s="11" t="s">
        <v>149</v>
      </c>
      <c r="E292" t="s">
        <v>418</v>
      </c>
      <c r="F292" t="s">
        <v>211</v>
      </c>
      <c r="G292" s="11" t="s">
        <v>514</v>
      </c>
      <c r="H292">
        <v>1</v>
      </c>
      <c r="I292" s="11" t="s">
        <v>498</v>
      </c>
      <c r="J292" t="s">
        <v>401</v>
      </c>
      <c r="K292" t="s">
        <v>263</v>
      </c>
      <c r="L292" s="11" t="s">
        <v>39</v>
      </c>
      <c r="M292" s="11" t="s">
        <v>39</v>
      </c>
      <c r="N292" s="11" t="s">
        <v>39</v>
      </c>
      <c r="O292" s="11" t="s">
        <v>39</v>
      </c>
      <c r="P292" t="s">
        <v>38</v>
      </c>
      <c r="Q292">
        <v>14</v>
      </c>
      <c r="R292">
        <v>0</v>
      </c>
      <c r="S292">
        <v>0</v>
      </c>
      <c r="T292" t="str">
        <f t="shared" si="44"/>
        <v>-</v>
      </c>
      <c r="U292" t="str">
        <f t="shared" si="45"/>
        <v>-</v>
      </c>
      <c r="V292" t="str">
        <f t="shared" si="46"/>
        <v>-</v>
      </c>
      <c r="W292" t="str">
        <f t="shared" si="47"/>
        <v>-</v>
      </c>
      <c r="X292" t="str">
        <f t="shared" si="48"/>
        <v>-</v>
      </c>
      <c r="Y292" t="str">
        <f t="shared" si="49"/>
        <v>-</v>
      </c>
      <c r="Z292" t="str">
        <f t="shared" si="50"/>
        <v>-</v>
      </c>
      <c r="AA292" t="str">
        <f t="shared" si="51"/>
        <v>-</v>
      </c>
      <c r="AB292" t="str">
        <f>IF(_xlfn.IFNA(VLOOKUP(P292,Set_Ref!$B$6:$B$1048576,1,FALSE),"")&lt;&gt;"","-",FALSE)</f>
        <v>-</v>
      </c>
      <c r="AC292" t="str">
        <f t="shared" si="52"/>
        <v>-</v>
      </c>
      <c r="AD292" t="str">
        <f t="shared" si="53"/>
        <v>-</v>
      </c>
      <c r="AE292" t="b">
        <f t="shared" si="54"/>
        <v>1</v>
      </c>
    </row>
    <row r="293" spans="1:31" x14ac:dyDescent="0.25">
      <c r="A293">
        <v>1</v>
      </c>
      <c r="B293">
        <v>291</v>
      </c>
      <c r="C293">
        <v>261</v>
      </c>
      <c r="D293" s="11" t="s">
        <v>149</v>
      </c>
      <c r="E293" t="s">
        <v>419</v>
      </c>
      <c r="F293" t="s">
        <v>173</v>
      </c>
      <c r="G293" s="11" t="s">
        <v>515</v>
      </c>
      <c r="H293">
        <v>1</v>
      </c>
      <c r="I293" s="11" t="s">
        <v>427</v>
      </c>
      <c r="J293" t="s">
        <v>280</v>
      </c>
      <c r="K293" t="s">
        <v>220</v>
      </c>
      <c r="L293" s="11" t="s">
        <v>39</v>
      </c>
      <c r="M293" s="11" t="s">
        <v>39</v>
      </c>
      <c r="N293" s="11" t="s">
        <v>39</v>
      </c>
      <c r="O293" s="11" t="s">
        <v>39</v>
      </c>
      <c r="P293" t="s">
        <v>9</v>
      </c>
      <c r="Q293">
        <v>144</v>
      </c>
      <c r="R293">
        <v>0</v>
      </c>
      <c r="S293">
        <v>0</v>
      </c>
      <c r="T293" t="str">
        <f t="shared" si="44"/>
        <v>-</v>
      </c>
      <c r="U293" t="str">
        <f t="shared" si="45"/>
        <v>-</v>
      </c>
      <c r="V293" t="str">
        <f t="shared" si="46"/>
        <v>-</v>
      </c>
      <c r="W293" t="str">
        <f t="shared" si="47"/>
        <v>-</v>
      </c>
      <c r="X293" t="str">
        <f t="shared" si="48"/>
        <v>-</v>
      </c>
      <c r="Y293" t="str">
        <f t="shared" si="49"/>
        <v>-</v>
      </c>
      <c r="Z293" t="str">
        <f t="shared" si="50"/>
        <v>-</v>
      </c>
      <c r="AA293" t="str">
        <f t="shared" si="51"/>
        <v>-</v>
      </c>
      <c r="AB293" t="str">
        <f>IF(_xlfn.IFNA(VLOOKUP(P293,Set_Ref!$B$6:$B$1048576,1,FALSE),"")&lt;&gt;"","-",FALSE)</f>
        <v>-</v>
      </c>
      <c r="AC293" t="str">
        <f t="shared" si="52"/>
        <v>-</v>
      </c>
      <c r="AD293" t="str">
        <f t="shared" si="53"/>
        <v>-</v>
      </c>
      <c r="AE293" t="b">
        <f t="shared" si="54"/>
        <v>1</v>
      </c>
    </row>
    <row r="294" spans="1:31" x14ac:dyDescent="0.25">
      <c r="A294">
        <v>1</v>
      </c>
      <c r="B294">
        <v>292</v>
      </c>
      <c r="C294">
        <v>261</v>
      </c>
      <c r="D294" s="11" t="s">
        <v>149</v>
      </c>
      <c r="E294" t="s">
        <v>420</v>
      </c>
      <c r="F294" t="s">
        <v>173</v>
      </c>
      <c r="G294" s="11" t="s">
        <v>516</v>
      </c>
      <c r="H294">
        <v>1</v>
      </c>
      <c r="I294" s="11" t="s">
        <v>427</v>
      </c>
      <c r="J294" t="s">
        <v>517</v>
      </c>
      <c r="K294" t="s">
        <v>267</v>
      </c>
      <c r="L294" s="11" t="s">
        <v>39</v>
      </c>
      <c r="M294" s="11" t="s">
        <v>39</v>
      </c>
      <c r="N294" s="11" t="s">
        <v>39</v>
      </c>
      <c r="O294" s="11" t="s">
        <v>39</v>
      </c>
      <c r="P294" t="s">
        <v>9</v>
      </c>
      <c r="Q294">
        <v>30</v>
      </c>
      <c r="R294">
        <v>0</v>
      </c>
      <c r="S294">
        <v>0</v>
      </c>
      <c r="T294" t="str">
        <f t="shared" si="44"/>
        <v>-</v>
      </c>
      <c r="U294" t="str">
        <f t="shared" si="45"/>
        <v>-</v>
      </c>
      <c r="V294" t="str">
        <f t="shared" si="46"/>
        <v>-</v>
      </c>
      <c r="W294" t="str">
        <f t="shared" si="47"/>
        <v>-</v>
      </c>
      <c r="X294" t="str">
        <f t="shared" si="48"/>
        <v>-</v>
      </c>
      <c r="Y294" t="str">
        <f t="shared" si="49"/>
        <v>-</v>
      </c>
      <c r="Z294" t="str">
        <f t="shared" si="50"/>
        <v>-</v>
      </c>
      <c r="AA294" t="str">
        <f t="shared" si="51"/>
        <v>-</v>
      </c>
      <c r="AB294" t="str">
        <f>IF(_xlfn.IFNA(VLOOKUP(P294,Set_Ref!$B$6:$B$1048576,1,FALSE),"")&lt;&gt;"","-",FALSE)</f>
        <v>-</v>
      </c>
      <c r="AC294" t="str">
        <f t="shared" si="52"/>
        <v>-</v>
      </c>
      <c r="AD294" t="str">
        <f t="shared" si="53"/>
        <v>-</v>
      </c>
      <c r="AE294" t="b">
        <f t="shared" si="54"/>
        <v>1</v>
      </c>
    </row>
    <row r="295" spans="1:31" x14ac:dyDescent="0.25">
      <c r="A295">
        <v>1</v>
      </c>
      <c r="B295">
        <v>293</v>
      </c>
      <c r="C295">
        <v>261</v>
      </c>
      <c r="D295" s="11" t="s">
        <v>149</v>
      </c>
      <c r="E295" t="s">
        <v>420</v>
      </c>
      <c r="F295" t="s">
        <v>173</v>
      </c>
      <c r="G295" s="11" t="s">
        <v>516</v>
      </c>
      <c r="H295">
        <v>1</v>
      </c>
      <c r="I295" s="11" t="s">
        <v>427</v>
      </c>
      <c r="J295" t="s">
        <v>517</v>
      </c>
      <c r="K295" t="s">
        <v>267</v>
      </c>
      <c r="L295" s="11" t="s">
        <v>39</v>
      </c>
      <c r="M295" s="11" t="s">
        <v>39</v>
      </c>
      <c r="N295" s="11" t="s">
        <v>39</v>
      </c>
      <c r="O295" s="11" t="s">
        <v>39</v>
      </c>
      <c r="P295" t="s">
        <v>9</v>
      </c>
      <c r="Q295">
        <v>70</v>
      </c>
      <c r="R295">
        <v>0</v>
      </c>
      <c r="S295">
        <v>0</v>
      </c>
      <c r="T295" t="str">
        <f t="shared" si="44"/>
        <v>-</v>
      </c>
      <c r="U295" t="str">
        <f t="shared" si="45"/>
        <v>-</v>
      </c>
      <c r="V295" t="str">
        <f t="shared" si="46"/>
        <v>-</v>
      </c>
      <c r="W295" t="str">
        <f t="shared" si="47"/>
        <v>-</v>
      </c>
      <c r="X295" t="str">
        <f t="shared" si="48"/>
        <v>-</v>
      </c>
      <c r="Y295" t="str">
        <f t="shared" si="49"/>
        <v>-</v>
      </c>
      <c r="Z295" t="str">
        <f t="shared" si="50"/>
        <v>-</v>
      </c>
      <c r="AA295" t="str">
        <f t="shared" si="51"/>
        <v>-</v>
      </c>
      <c r="AB295" t="str">
        <f>IF(_xlfn.IFNA(VLOOKUP(P295,Set_Ref!$B$6:$B$1048576,1,FALSE),"")&lt;&gt;"","-",FALSE)</f>
        <v>-</v>
      </c>
      <c r="AC295" t="str">
        <f t="shared" si="52"/>
        <v>-</v>
      </c>
      <c r="AD295" t="str">
        <f t="shared" si="53"/>
        <v>-</v>
      </c>
      <c r="AE295" t="b">
        <f t="shared" si="54"/>
        <v>1</v>
      </c>
    </row>
    <row r="296" spans="1:31" x14ac:dyDescent="0.25">
      <c r="A296">
        <v>1</v>
      </c>
      <c r="B296">
        <v>294</v>
      </c>
      <c r="C296">
        <v>261</v>
      </c>
      <c r="D296" s="11" t="s">
        <v>149</v>
      </c>
      <c r="E296" t="s">
        <v>420</v>
      </c>
      <c r="F296" t="s">
        <v>173</v>
      </c>
      <c r="G296" s="11" t="s">
        <v>516</v>
      </c>
      <c r="H296">
        <v>1</v>
      </c>
      <c r="I296" s="11" t="s">
        <v>427</v>
      </c>
      <c r="J296" t="s">
        <v>517</v>
      </c>
      <c r="K296" t="s">
        <v>267</v>
      </c>
      <c r="L296" s="11" t="s">
        <v>39</v>
      </c>
      <c r="M296" s="11" t="s">
        <v>39</v>
      </c>
      <c r="N296" s="11" t="s">
        <v>39</v>
      </c>
      <c r="O296" s="11" t="s">
        <v>39</v>
      </c>
      <c r="P296" t="s">
        <v>9</v>
      </c>
      <c r="Q296">
        <v>120</v>
      </c>
      <c r="R296">
        <v>0</v>
      </c>
      <c r="S296">
        <v>0</v>
      </c>
      <c r="T296" t="str">
        <f t="shared" si="44"/>
        <v>-</v>
      </c>
      <c r="U296" t="str">
        <f t="shared" si="45"/>
        <v>-</v>
      </c>
      <c r="V296" t="str">
        <f t="shared" si="46"/>
        <v>-</v>
      </c>
      <c r="W296" t="str">
        <f t="shared" si="47"/>
        <v>-</v>
      </c>
      <c r="X296" t="str">
        <f t="shared" si="48"/>
        <v>-</v>
      </c>
      <c r="Y296" t="str">
        <f t="shared" si="49"/>
        <v>-</v>
      </c>
      <c r="Z296" t="str">
        <f t="shared" si="50"/>
        <v>-</v>
      </c>
      <c r="AA296" t="str">
        <f t="shared" si="51"/>
        <v>-</v>
      </c>
      <c r="AB296" t="str">
        <f>IF(_xlfn.IFNA(VLOOKUP(P296,Set_Ref!$B$6:$B$1048576,1,FALSE),"")&lt;&gt;"","-",FALSE)</f>
        <v>-</v>
      </c>
      <c r="AC296" t="str">
        <f t="shared" si="52"/>
        <v>-</v>
      </c>
      <c r="AD296" t="str">
        <f t="shared" si="53"/>
        <v>-</v>
      </c>
      <c r="AE296" t="b">
        <f t="shared" si="54"/>
        <v>1</v>
      </c>
    </row>
    <row r="297" spans="1:31" x14ac:dyDescent="0.25">
      <c r="A297">
        <v>1</v>
      </c>
      <c r="B297">
        <v>295</v>
      </c>
      <c r="C297">
        <v>261</v>
      </c>
      <c r="D297" s="11" t="s">
        <v>149</v>
      </c>
      <c r="E297" t="s">
        <v>420</v>
      </c>
      <c r="F297" t="s">
        <v>173</v>
      </c>
      <c r="G297" s="11" t="s">
        <v>516</v>
      </c>
      <c r="H297">
        <v>1</v>
      </c>
      <c r="I297" s="11" t="s">
        <v>427</v>
      </c>
      <c r="J297" t="s">
        <v>517</v>
      </c>
      <c r="K297" t="s">
        <v>267</v>
      </c>
      <c r="L297" s="11" t="s">
        <v>39</v>
      </c>
      <c r="M297" s="11" t="s">
        <v>39</v>
      </c>
      <c r="N297" s="11" t="s">
        <v>39</v>
      </c>
      <c r="O297" s="11" t="s">
        <v>39</v>
      </c>
      <c r="P297" t="s">
        <v>9</v>
      </c>
      <c r="Q297">
        <v>150</v>
      </c>
      <c r="R297">
        <v>0</v>
      </c>
      <c r="S297">
        <v>0</v>
      </c>
      <c r="T297" t="str">
        <f t="shared" si="44"/>
        <v>-</v>
      </c>
      <c r="U297" t="str">
        <f t="shared" si="45"/>
        <v>-</v>
      </c>
      <c r="V297" t="str">
        <f t="shared" si="46"/>
        <v>-</v>
      </c>
      <c r="W297" t="str">
        <f t="shared" si="47"/>
        <v>-</v>
      </c>
      <c r="X297" t="str">
        <f t="shared" si="48"/>
        <v>-</v>
      </c>
      <c r="Y297" t="str">
        <f t="shared" si="49"/>
        <v>-</v>
      </c>
      <c r="Z297" t="str">
        <f t="shared" si="50"/>
        <v>-</v>
      </c>
      <c r="AA297" t="str">
        <f t="shared" si="51"/>
        <v>-</v>
      </c>
      <c r="AB297" t="str">
        <f>IF(_xlfn.IFNA(VLOOKUP(P297,Set_Ref!$B$6:$B$1048576,1,FALSE),"")&lt;&gt;"","-",FALSE)</f>
        <v>-</v>
      </c>
      <c r="AC297" t="str">
        <f t="shared" si="52"/>
        <v>-</v>
      </c>
      <c r="AD297" t="str">
        <f t="shared" si="53"/>
        <v>-</v>
      </c>
      <c r="AE297" t="b">
        <f t="shared" si="54"/>
        <v>1</v>
      </c>
    </row>
    <row r="298" spans="1:31" x14ac:dyDescent="0.25">
      <c r="A298">
        <v>1</v>
      </c>
      <c r="B298">
        <v>296</v>
      </c>
      <c r="C298">
        <v>261</v>
      </c>
      <c r="D298" s="11" t="s">
        <v>149</v>
      </c>
      <c r="E298" t="s">
        <v>420</v>
      </c>
      <c r="F298" t="s">
        <v>173</v>
      </c>
      <c r="G298" s="11" t="s">
        <v>516</v>
      </c>
      <c r="H298">
        <v>1</v>
      </c>
      <c r="I298" s="11" t="s">
        <v>427</v>
      </c>
      <c r="J298" t="s">
        <v>517</v>
      </c>
      <c r="K298" t="s">
        <v>267</v>
      </c>
      <c r="L298" s="11" t="s">
        <v>39</v>
      </c>
      <c r="M298" s="11" t="s">
        <v>39</v>
      </c>
      <c r="N298" s="11" t="s">
        <v>39</v>
      </c>
      <c r="O298" s="11" t="s">
        <v>39</v>
      </c>
      <c r="P298" t="s">
        <v>9</v>
      </c>
      <c r="Q298">
        <v>150</v>
      </c>
      <c r="R298">
        <v>0</v>
      </c>
      <c r="S298">
        <v>0</v>
      </c>
      <c r="T298" t="str">
        <f t="shared" si="44"/>
        <v>-</v>
      </c>
      <c r="U298" t="str">
        <f t="shared" si="45"/>
        <v>-</v>
      </c>
      <c r="V298" t="str">
        <f t="shared" si="46"/>
        <v>-</v>
      </c>
      <c r="W298" t="str">
        <f t="shared" si="47"/>
        <v>-</v>
      </c>
      <c r="X298" t="str">
        <f t="shared" si="48"/>
        <v>-</v>
      </c>
      <c r="Y298" t="str">
        <f t="shared" si="49"/>
        <v>-</v>
      </c>
      <c r="Z298" t="str">
        <f t="shared" si="50"/>
        <v>-</v>
      </c>
      <c r="AA298" t="str">
        <f t="shared" si="51"/>
        <v>-</v>
      </c>
      <c r="AB298" t="str">
        <f>IF(_xlfn.IFNA(VLOOKUP(P298,Set_Ref!$B$6:$B$1048576,1,FALSE),"")&lt;&gt;"","-",FALSE)</f>
        <v>-</v>
      </c>
      <c r="AC298" t="str">
        <f t="shared" si="52"/>
        <v>-</v>
      </c>
      <c r="AD298" t="str">
        <f t="shared" si="53"/>
        <v>-</v>
      </c>
      <c r="AE298" t="b">
        <f t="shared" si="54"/>
        <v>1</v>
      </c>
    </row>
    <row r="299" spans="1:31" x14ac:dyDescent="0.25">
      <c r="A299">
        <v>1</v>
      </c>
      <c r="B299">
        <v>297</v>
      </c>
      <c r="C299">
        <v>261</v>
      </c>
      <c r="D299" s="11" t="s">
        <v>149</v>
      </c>
      <c r="E299" t="s">
        <v>420</v>
      </c>
      <c r="F299" t="s">
        <v>173</v>
      </c>
      <c r="G299" s="11" t="s">
        <v>516</v>
      </c>
      <c r="H299">
        <v>1</v>
      </c>
      <c r="I299" s="11" t="s">
        <v>427</v>
      </c>
      <c r="J299" t="s">
        <v>517</v>
      </c>
      <c r="K299" t="s">
        <v>267</v>
      </c>
      <c r="L299" s="11" t="s">
        <v>39</v>
      </c>
      <c r="M299" s="11" t="s">
        <v>39</v>
      </c>
      <c r="N299" s="11" t="s">
        <v>39</v>
      </c>
      <c r="O299" s="11" t="s">
        <v>39</v>
      </c>
      <c r="P299" t="s">
        <v>9</v>
      </c>
      <c r="Q299">
        <v>120</v>
      </c>
      <c r="R299">
        <v>0</v>
      </c>
      <c r="S299">
        <v>0</v>
      </c>
      <c r="T299" t="str">
        <f t="shared" si="44"/>
        <v>-</v>
      </c>
      <c r="U299" t="str">
        <f t="shared" si="45"/>
        <v>-</v>
      </c>
      <c r="V299" t="str">
        <f t="shared" si="46"/>
        <v>-</v>
      </c>
      <c r="W299" t="str">
        <f t="shared" si="47"/>
        <v>-</v>
      </c>
      <c r="X299" t="str">
        <f t="shared" si="48"/>
        <v>-</v>
      </c>
      <c r="Y299" t="str">
        <f t="shared" si="49"/>
        <v>-</v>
      </c>
      <c r="Z299" t="str">
        <f t="shared" si="50"/>
        <v>-</v>
      </c>
      <c r="AA299" t="str">
        <f t="shared" si="51"/>
        <v>-</v>
      </c>
      <c r="AB299" t="str">
        <f>IF(_xlfn.IFNA(VLOOKUP(P299,Set_Ref!$B$6:$B$1048576,1,FALSE),"")&lt;&gt;"","-",FALSE)</f>
        <v>-</v>
      </c>
      <c r="AC299" t="str">
        <f t="shared" si="52"/>
        <v>-</v>
      </c>
      <c r="AD299" t="str">
        <f t="shared" si="53"/>
        <v>-</v>
      </c>
      <c r="AE299" t="b">
        <f t="shared" si="54"/>
        <v>1</v>
      </c>
    </row>
    <row r="300" spans="1:31" x14ac:dyDescent="0.25">
      <c r="A300">
        <v>1</v>
      </c>
      <c r="B300">
        <v>298</v>
      </c>
      <c r="C300">
        <v>261</v>
      </c>
      <c r="D300" s="11" t="s">
        <v>149</v>
      </c>
      <c r="E300" t="s">
        <v>420</v>
      </c>
      <c r="F300" t="s">
        <v>173</v>
      </c>
      <c r="G300" s="11" t="s">
        <v>516</v>
      </c>
      <c r="H300">
        <v>1</v>
      </c>
      <c r="I300" s="11" t="s">
        <v>427</v>
      </c>
      <c r="J300" t="s">
        <v>517</v>
      </c>
      <c r="K300" t="s">
        <v>267</v>
      </c>
      <c r="L300" s="11" t="s">
        <v>39</v>
      </c>
      <c r="M300" s="11" t="s">
        <v>39</v>
      </c>
      <c r="N300" s="11" t="s">
        <v>39</v>
      </c>
      <c r="O300" s="11" t="s">
        <v>39</v>
      </c>
      <c r="P300" t="s">
        <v>9</v>
      </c>
      <c r="Q300">
        <v>90</v>
      </c>
      <c r="R300">
        <v>0</v>
      </c>
      <c r="S300">
        <v>0</v>
      </c>
      <c r="T300" t="str">
        <f t="shared" si="44"/>
        <v>-</v>
      </c>
      <c r="U300" t="str">
        <f t="shared" si="45"/>
        <v>-</v>
      </c>
      <c r="V300" t="str">
        <f t="shared" si="46"/>
        <v>-</v>
      </c>
      <c r="W300" t="str">
        <f t="shared" si="47"/>
        <v>-</v>
      </c>
      <c r="X300" t="str">
        <f t="shared" si="48"/>
        <v>-</v>
      </c>
      <c r="Y300" t="str">
        <f t="shared" si="49"/>
        <v>-</v>
      </c>
      <c r="Z300" t="str">
        <f t="shared" si="50"/>
        <v>-</v>
      </c>
      <c r="AA300" t="str">
        <f t="shared" si="51"/>
        <v>-</v>
      </c>
      <c r="AB300" t="str">
        <f>IF(_xlfn.IFNA(VLOOKUP(P300,Set_Ref!$B$6:$B$1048576,1,FALSE),"")&lt;&gt;"","-",FALSE)</f>
        <v>-</v>
      </c>
      <c r="AC300" t="str">
        <f t="shared" si="52"/>
        <v>-</v>
      </c>
      <c r="AD300" t="str">
        <f t="shared" si="53"/>
        <v>-</v>
      </c>
      <c r="AE300" t="b">
        <f t="shared" si="54"/>
        <v>1</v>
      </c>
    </row>
    <row r="301" spans="1:31" x14ac:dyDescent="0.25">
      <c r="A301">
        <v>1</v>
      </c>
      <c r="B301">
        <v>299</v>
      </c>
      <c r="C301">
        <v>261</v>
      </c>
      <c r="D301" s="11" t="s">
        <v>149</v>
      </c>
      <c r="E301" t="s">
        <v>420</v>
      </c>
      <c r="F301" t="s">
        <v>173</v>
      </c>
      <c r="G301" s="11" t="s">
        <v>516</v>
      </c>
      <c r="H301">
        <v>1</v>
      </c>
      <c r="I301" s="11" t="s">
        <v>427</v>
      </c>
      <c r="J301" t="s">
        <v>517</v>
      </c>
      <c r="K301" t="s">
        <v>267</v>
      </c>
      <c r="L301" s="11" t="s">
        <v>39</v>
      </c>
      <c r="M301" s="11" t="s">
        <v>39</v>
      </c>
      <c r="N301" s="11" t="s">
        <v>39</v>
      </c>
      <c r="O301" s="11" t="s">
        <v>39</v>
      </c>
      <c r="P301" t="s">
        <v>9</v>
      </c>
      <c r="Q301">
        <v>80</v>
      </c>
      <c r="R301">
        <v>0</v>
      </c>
      <c r="S301">
        <v>0</v>
      </c>
      <c r="T301" t="str">
        <f t="shared" si="44"/>
        <v>-</v>
      </c>
      <c r="U301" t="str">
        <f t="shared" si="45"/>
        <v>-</v>
      </c>
      <c r="V301" t="str">
        <f t="shared" si="46"/>
        <v>-</v>
      </c>
      <c r="W301" t="str">
        <f t="shared" si="47"/>
        <v>-</v>
      </c>
      <c r="X301" t="str">
        <f t="shared" si="48"/>
        <v>-</v>
      </c>
      <c r="Y301" t="str">
        <f t="shared" si="49"/>
        <v>-</v>
      </c>
      <c r="Z301" t="str">
        <f t="shared" si="50"/>
        <v>-</v>
      </c>
      <c r="AA301" t="str">
        <f t="shared" si="51"/>
        <v>-</v>
      </c>
      <c r="AB301" t="str">
        <f>IF(_xlfn.IFNA(VLOOKUP(P301,Set_Ref!$B$6:$B$1048576,1,FALSE),"")&lt;&gt;"","-",FALSE)</f>
        <v>-</v>
      </c>
      <c r="AC301" t="str">
        <f t="shared" si="52"/>
        <v>-</v>
      </c>
      <c r="AD301" t="str">
        <f t="shared" si="53"/>
        <v>-</v>
      </c>
      <c r="AE301" t="b">
        <f t="shared" si="54"/>
        <v>1</v>
      </c>
    </row>
    <row r="302" spans="1:31" x14ac:dyDescent="0.25">
      <c r="A302">
        <v>1</v>
      </c>
      <c r="B302">
        <v>300</v>
      </c>
      <c r="C302">
        <v>261</v>
      </c>
      <c r="D302" s="11" t="s">
        <v>149</v>
      </c>
      <c r="E302" t="s">
        <v>420</v>
      </c>
      <c r="F302" t="s">
        <v>173</v>
      </c>
      <c r="G302" s="11" t="s">
        <v>516</v>
      </c>
      <c r="H302">
        <v>1</v>
      </c>
      <c r="I302" s="11" t="s">
        <v>427</v>
      </c>
      <c r="J302" t="s">
        <v>517</v>
      </c>
      <c r="K302" t="s">
        <v>267</v>
      </c>
      <c r="L302" s="11" t="s">
        <v>39</v>
      </c>
      <c r="M302" s="11" t="s">
        <v>39</v>
      </c>
      <c r="N302" s="11" t="s">
        <v>39</v>
      </c>
      <c r="O302" s="11" t="s">
        <v>39</v>
      </c>
      <c r="P302" t="s">
        <v>9</v>
      </c>
      <c r="Q302">
        <v>40</v>
      </c>
      <c r="R302">
        <v>0</v>
      </c>
      <c r="S302">
        <v>0</v>
      </c>
      <c r="T302" t="str">
        <f t="shared" si="44"/>
        <v>-</v>
      </c>
      <c r="U302" t="str">
        <f t="shared" si="45"/>
        <v>-</v>
      </c>
      <c r="V302" t="str">
        <f t="shared" si="46"/>
        <v>-</v>
      </c>
      <c r="W302" t="str">
        <f t="shared" si="47"/>
        <v>-</v>
      </c>
      <c r="X302" t="str">
        <f t="shared" si="48"/>
        <v>-</v>
      </c>
      <c r="Y302" t="str">
        <f t="shared" si="49"/>
        <v>-</v>
      </c>
      <c r="Z302" t="str">
        <f t="shared" si="50"/>
        <v>-</v>
      </c>
      <c r="AA302" t="str">
        <f t="shared" si="51"/>
        <v>-</v>
      </c>
      <c r="AB302" t="str">
        <f>IF(_xlfn.IFNA(VLOOKUP(P302,Set_Ref!$B$6:$B$1048576,1,FALSE),"")&lt;&gt;"","-",FALSE)</f>
        <v>-</v>
      </c>
      <c r="AC302" t="str">
        <f t="shared" si="52"/>
        <v>-</v>
      </c>
      <c r="AD302" t="str">
        <f t="shared" si="53"/>
        <v>-</v>
      </c>
      <c r="AE302" t="b">
        <f t="shared" si="54"/>
        <v>1</v>
      </c>
    </row>
    <row r="303" spans="1:31" x14ac:dyDescent="0.25">
      <c r="A303">
        <v>1</v>
      </c>
      <c r="B303">
        <v>301</v>
      </c>
      <c r="C303">
        <v>261</v>
      </c>
      <c r="D303" s="11" t="s">
        <v>149</v>
      </c>
      <c r="E303" t="s">
        <v>421</v>
      </c>
      <c r="F303" t="s">
        <v>212</v>
      </c>
      <c r="G303" s="11" t="s">
        <v>518</v>
      </c>
      <c r="H303">
        <v>1</v>
      </c>
      <c r="I303" s="11" t="s">
        <v>427</v>
      </c>
      <c r="J303" t="s">
        <v>519</v>
      </c>
      <c r="K303" t="s">
        <v>267</v>
      </c>
      <c r="L303" s="11" t="s">
        <v>39</v>
      </c>
      <c r="M303" s="11" t="s">
        <v>39</v>
      </c>
      <c r="N303" s="11" t="s">
        <v>39</v>
      </c>
      <c r="O303" s="11" t="s">
        <v>39</v>
      </c>
      <c r="P303" t="s">
        <v>9</v>
      </c>
      <c r="Q303">
        <v>20</v>
      </c>
      <c r="R303">
        <v>0</v>
      </c>
      <c r="S303">
        <v>0</v>
      </c>
      <c r="T303" t="str">
        <f t="shared" si="44"/>
        <v>-</v>
      </c>
      <c r="U303" t="str">
        <f t="shared" si="45"/>
        <v>-</v>
      </c>
      <c r="V303" t="str">
        <f t="shared" si="46"/>
        <v>-</v>
      </c>
      <c r="W303" t="str">
        <f t="shared" si="47"/>
        <v>-</v>
      </c>
      <c r="X303" t="str">
        <f t="shared" si="48"/>
        <v>-</v>
      </c>
      <c r="Y303" t="str">
        <f t="shared" si="49"/>
        <v>-</v>
      </c>
      <c r="Z303" t="str">
        <f t="shared" si="50"/>
        <v>-</v>
      </c>
      <c r="AA303" t="str">
        <f t="shared" si="51"/>
        <v>-</v>
      </c>
      <c r="AB303" t="str">
        <f>IF(_xlfn.IFNA(VLOOKUP(P303,Set_Ref!$B$6:$B$1048576,1,FALSE),"")&lt;&gt;"","-",FALSE)</f>
        <v>-</v>
      </c>
      <c r="AC303" t="str">
        <f t="shared" si="52"/>
        <v>-</v>
      </c>
      <c r="AD303" t="str">
        <f t="shared" si="53"/>
        <v>-</v>
      </c>
      <c r="AE303" t="b">
        <f t="shared" si="54"/>
        <v>1</v>
      </c>
    </row>
    <row r="304" spans="1:31" x14ac:dyDescent="0.25">
      <c r="A304">
        <v>1</v>
      </c>
      <c r="B304">
        <v>302</v>
      </c>
      <c r="C304">
        <v>261</v>
      </c>
      <c r="D304" s="11" t="s">
        <v>149</v>
      </c>
      <c r="E304" t="s">
        <v>421</v>
      </c>
      <c r="F304" t="s">
        <v>212</v>
      </c>
      <c r="G304" s="11" t="s">
        <v>518</v>
      </c>
      <c r="H304">
        <v>1</v>
      </c>
      <c r="I304" s="11" t="s">
        <v>427</v>
      </c>
      <c r="J304" t="s">
        <v>519</v>
      </c>
      <c r="K304" t="s">
        <v>267</v>
      </c>
      <c r="L304" s="11" t="s">
        <v>39</v>
      </c>
      <c r="M304" s="11" t="s">
        <v>39</v>
      </c>
      <c r="N304" s="11" t="s">
        <v>39</v>
      </c>
      <c r="O304" s="11" t="s">
        <v>39</v>
      </c>
      <c r="P304" t="s">
        <v>9</v>
      </c>
      <c r="Q304">
        <v>40</v>
      </c>
      <c r="R304">
        <v>0</v>
      </c>
      <c r="S304">
        <v>0</v>
      </c>
      <c r="T304" t="str">
        <f t="shared" si="44"/>
        <v>-</v>
      </c>
      <c r="U304" t="str">
        <f t="shared" si="45"/>
        <v>-</v>
      </c>
      <c r="V304" t="str">
        <f t="shared" si="46"/>
        <v>-</v>
      </c>
      <c r="W304" t="str">
        <f t="shared" si="47"/>
        <v>-</v>
      </c>
      <c r="X304" t="str">
        <f t="shared" si="48"/>
        <v>-</v>
      </c>
      <c r="Y304" t="str">
        <f t="shared" si="49"/>
        <v>-</v>
      </c>
      <c r="Z304" t="str">
        <f t="shared" si="50"/>
        <v>-</v>
      </c>
      <c r="AA304" t="str">
        <f t="shared" si="51"/>
        <v>-</v>
      </c>
      <c r="AB304" t="str">
        <f>IF(_xlfn.IFNA(VLOOKUP(P304,Set_Ref!$B$6:$B$1048576,1,FALSE),"")&lt;&gt;"","-",FALSE)</f>
        <v>-</v>
      </c>
      <c r="AC304" t="str">
        <f t="shared" si="52"/>
        <v>-</v>
      </c>
      <c r="AD304" t="str">
        <f t="shared" si="53"/>
        <v>-</v>
      </c>
      <c r="AE304" t="b">
        <f t="shared" si="54"/>
        <v>1</v>
      </c>
    </row>
    <row r="305" spans="1:31" x14ac:dyDescent="0.25">
      <c r="A305">
        <v>1</v>
      </c>
      <c r="B305">
        <v>303</v>
      </c>
      <c r="C305">
        <v>261</v>
      </c>
      <c r="D305" s="11" t="s">
        <v>149</v>
      </c>
      <c r="E305" t="s">
        <v>421</v>
      </c>
      <c r="F305" t="s">
        <v>212</v>
      </c>
      <c r="G305" s="11" t="s">
        <v>518</v>
      </c>
      <c r="H305">
        <v>1</v>
      </c>
      <c r="I305" s="11" t="s">
        <v>427</v>
      </c>
      <c r="J305" t="s">
        <v>519</v>
      </c>
      <c r="K305" t="s">
        <v>267</v>
      </c>
      <c r="L305" s="11" t="s">
        <v>39</v>
      </c>
      <c r="M305" s="11" t="s">
        <v>39</v>
      </c>
      <c r="N305" s="11" t="s">
        <v>39</v>
      </c>
      <c r="O305" s="11" t="s">
        <v>39</v>
      </c>
      <c r="P305" t="s">
        <v>9</v>
      </c>
      <c r="Q305">
        <v>70</v>
      </c>
      <c r="R305">
        <v>0</v>
      </c>
      <c r="S305">
        <v>0</v>
      </c>
      <c r="T305" t="str">
        <f t="shared" si="44"/>
        <v>-</v>
      </c>
      <c r="U305" t="str">
        <f t="shared" si="45"/>
        <v>-</v>
      </c>
      <c r="V305" t="str">
        <f t="shared" si="46"/>
        <v>-</v>
      </c>
      <c r="W305" t="str">
        <f t="shared" si="47"/>
        <v>-</v>
      </c>
      <c r="X305" t="str">
        <f t="shared" si="48"/>
        <v>-</v>
      </c>
      <c r="Y305" t="str">
        <f t="shared" si="49"/>
        <v>-</v>
      </c>
      <c r="Z305" t="str">
        <f t="shared" si="50"/>
        <v>-</v>
      </c>
      <c r="AA305" t="str">
        <f t="shared" si="51"/>
        <v>-</v>
      </c>
      <c r="AB305" t="str">
        <f>IF(_xlfn.IFNA(VLOOKUP(P305,Set_Ref!$B$6:$B$1048576,1,FALSE),"")&lt;&gt;"","-",FALSE)</f>
        <v>-</v>
      </c>
      <c r="AC305" t="str">
        <f t="shared" si="52"/>
        <v>-</v>
      </c>
      <c r="AD305" t="str">
        <f t="shared" si="53"/>
        <v>-</v>
      </c>
      <c r="AE305" t="b">
        <f t="shared" si="54"/>
        <v>1</v>
      </c>
    </row>
    <row r="306" spans="1:31" x14ac:dyDescent="0.25">
      <c r="A306">
        <v>1</v>
      </c>
      <c r="B306">
        <v>304</v>
      </c>
      <c r="C306">
        <v>261</v>
      </c>
      <c r="D306" s="11" t="s">
        <v>149</v>
      </c>
      <c r="E306" t="s">
        <v>421</v>
      </c>
      <c r="F306" t="s">
        <v>212</v>
      </c>
      <c r="G306" s="11" t="s">
        <v>518</v>
      </c>
      <c r="H306">
        <v>1</v>
      </c>
      <c r="I306" s="11" t="s">
        <v>427</v>
      </c>
      <c r="J306" t="s">
        <v>519</v>
      </c>
      <c r="K306" t="s">
        <v>267</v>
      </c>
      <c r="L306" s="11" t="s">
        <v>39</v>
      </c>
      <c r="M306" s="11" t="s">
        <v>39</v>
      </c>
      <c r="N306" s="11" t="s">
        <v>39</v>
      </c>
      <c r="O306" s="11" t="s">
        <v>39</v>
      </c>
      <c r="P306" t="s">
        <v>9</v>
      </c>
      <c r="Q306">
        <v>50</v>
      </c>
      <c r="R306">
        <v>0</v>
      </c>
      <c r="S306">
        <v>0</v>
      </c>
      <c r="T306" t="str">
        <f t="shared" si="44"/>
        <v>-</v>
      </c>
      <c r="U306" t="str">
        <f t="shared" si="45"/>
        <v>-</v>
      </c>
      <c r="V306" t="str">
        <f t="shared" si="46"/>
        <v>-</v>
      </c>
      <c r="W306" t="str">
        <f t="shared" si="47"/>
        <v>-</v>
      </c>
      <c r="X306" t="str">
        <f t="shared" si="48"/>
        <v>-</v>
      </c>
      <c r="Y306" t="str">
        <f t="shared" si="49"/>
        <v>-</v>
      </c>
      <c r="Z306" t="str">
        <f t="shared" si="50"/>
        <v>-</v>
      </c>
      <c r="AA306" t="str">
        <f t="shared" si="51"/>
        <v>-</v>
      </c>
      <c r="AB306" t="str">
        <f>IF(_xlfn.IFNA(VLOOKUP(P306,Set_Ref!$B$6:$B$1048576,1,FALSE),"")&lt;&gt;"","-",FALSE)</f>
        <v>-</v>
      </c>
      <c r="AC306" t="str">
        <f t="shared" si="52"/>
        <v>-</v>
      </c>
      <c r="AD306" t="str">
        <f t="shared" si="53"/>
        <v>-</v>
      </c>
      <c r="AE306" t="b">
        <f t="shared" si="54"/>
        <v>1</v>
      </c>
    </row>
    <row r="307" spans="1:31" x14ac:dyDescent="0.25">
      <c r="A307">
        <v>1</v>
      </c>
      <c r="B307">
        <v>305</v>
      </c>
      <c r="C307">
        <v>261</v>
      </c>
      <c r="D307" s="11" t="s">
        <v>149</v>
      </c>
      <c r="E307" t="s">
        <v>421</v>
      </c>
      <c r="F307" t="s">
        <v>212</v>
      </c>
      <c r="G307" s="11" t="s">
        <v>518</v>
      </c>
      <c r="H307">
        <v>1</v>
      </c>
      <c r="I307" s="11" t="s">
        <v>427</v>
      </c>
      <c r="J307" t="s">
        <v>519</v>
      </c>
      <c r="K307" t="s">
        <v>267</v>
      </c>
      <c r="L307" s="11" t="s">
        <v>39</v>
      </c>
      <c r="M307" s="11" t="s">
        <v>39</v>
      </c>
      <c r="N307" s="11" t="s">
        <v>39</v>
      </c>
      <c r="O307" s="11" t="s">
        <v>39</v>
      </c>
      <c r="P307" t="s">
        <v>9</v>
      </c>
      <c r="Q307">
        <v>10</v>
      </c>
      <c r="R307">
        <v>0</v>
      </c>
      <c r="S307">
        <v>0</v>
      </c>
      <c r="T307" t="str">
        <f t="shared" si="44"/>
        <v>-</v>
      </c>
      <c r="U307" t="str">
        <f t="shared" si="45"/>
        <v>-</v>
      </c>
      <c r="V307" t="str">
        <f t="shared" si="46"/>
        <v>-</v>
      </c>
      <c r="W307" t="str">
        <f t="shared" si="47"/>
        <v>-</v>
      </c>
      <c r="X307" t="str">
        <f t="shared" si="48"/>
        <v>-</v>
      </c>
      <c r="Y307" t="str">
        <f t="shared" si="49"/>
        <v>-</v>
      </c>
      <c r="Z307" t="str">
        <f t="shared" si="50"/>
        <v>-</v>
      </c>
      <c r="AA307" t="str">
        <f t="shared" si="51"/>
        <v>-</v>
      </c>
      <c r="AB307" t="str">
        <f>IF(_xlfn.IFNA(VLOOKUP(P307,Set_Ref!$B$6:$B$1048576,1,FALSE),"")&lt;&gt;"","-",FALSE)</f>
        <v>-</v>
      </c>
      <c r="AC307" t="str">
        <f t="shared" si="52"/>
        <v>-</v>
      </c>
      <c r="AD307" t="str">
        <f t="shared" si="53"/>
        <v>-</v>
      </c>
      <c r="AE307" t="b">
        <f t="shared" si="54"/>
        <v>1</v>
      </c>
    </row>
    <row r="308" spans="1:31" x14ac:dyDescent="0.25">
      <c r="A308">
        <v>1</v>
      </c>
      <c r="B308">
        <v>306</v>
      </c>
      <c r="C308">
        <v>261</v>
      </c>
      <c r="D308" s="11" t="s">
        <v>149</v>
      </c>
      <c r="E308" t="s">
        <v>421</v>
      </c>
      <c r="F308" t="s">
        <v>212</v>
      </c>
      <c r="G308" s="11" t="s">
        <v>518</v>
      </c>
      <c r="H308">
        <v>1</v>
      </c>
      <c r="I308" s="11" t="s">
        <v>427</v>
      </c>
      <c r="J308" t="s">
        <v>519</v>
      </c>
      <c r="K308" t="s">
        <v>267</v>
      </c>
      <c r="L308" s="11" t="s">
        <v>39</v>
      </c>
      <c r="M308" s="11" t="s">
        <v>39</v>
      </c>
      <c r="N308" s="11" t="s">
        <v>39</v>
      </c>
      <c r="O308" s="11" t="s">
        <v>39</v>
      </c>
      <c r="P308" t="s">
        <v>9</v>
      </c>
      <c r="Q308">
        <v>10</v>
      </c>
      <c r="R308">
        <v>0</v>
      </c>
      <c r="S308">
        <v>0</v>
      </c>
      <c r="T308" t="str">
        <f t="shared" si="44"/>
        <v>-</v>
      </c>
      <c r="U308" t="str">
        <f t="shared" si="45"/>
        <v>-</v>
      </c>
      <c r="V308" t="str">
        <f t="shared" si="46"/>
        <v>-</v>
      </c>
      <c r="W308" t="str">
        <f t="shared" si="47"/>
        <v>-</v>
      </c>
      <c r="X308" t="str">
        <f t="shared" si="48"/>
        <v>-</v>
      </c>
      <c r="Y308" t="str">
        <f t="shared" si="49"/>
        <v>-</v>
      </c>
      <c r="Z308" t="str">
        <f t="shared" si="50"/>
        <v>-</v>
      </c>
      <c r="AA308" t="str">
        <f t="shared" si="51"/>
        <v>-</v>
      </c>
      <c r="AB308" t="str">
        <f>IF(_xlfn.IFNA(VLOOKUP(P308,Set_Ref!$B$6:$B$1048576,1,FALSE),"")&lt;&gt;"","-",FALSE)</f>
        <v>-</v>
      </c>
      <c r="AC308" t="str">
        <f t="shared" si="52"/>
        <v>-</v>
      </c>
      <c r="AD308" t="str">
        <f t="shared" si="53"/>
        <v>-</v>
      </c>
      <c r="AE308" t="b">
        <f t="shared" si="54"/>
        <v>1</v>
      </c>
    </row>
    <row r="309" spans="1:31" x14ac:dyDescent="0.25">
      <c r="A309">
        <v>1</v>
      </c>
      <c r="B309">
        <v>307</v>
      </c>
      <c r="C309">
        <v>261</v>
      </c>
      <c r="D309" s="11" t="s">
        <v>149</v>
      </c>
      <c r="E309" t="s">
        <v>421</v>
      </c>
      <c r="F309" t="s">
        <v>212</v>
      </c>
      <c r="G309" s="11" t="s">
        <v>518</v>
      </c>
      <c r="H309">
        <v>1</v>
      </c>
      <c r="I309" s="11" t="s">
        <v>427</v>
      </c>
      <c r="J309" t="s">
        <v>519</v>
      </c>
      <c r="K309" t="s">
        <v>267</v>
      </c>
      <c r="L309" s="11" t="s">
        <v>39</v>
      </c>
      <c r="M309" s="11" t="s">
        <v>39</v>
      </c>
      <c r="N309" s="11" t="s">
        <v>39</v>
      </c>
      <c r="O309" s="11" t="s">
        <v>39</v>
      </c>
      <c r="P309" t="s">
        <v>9</v>
      </c>
      <c r="Q309">
        <v>10</v>
      </c>
      <c r="R309">
        <v>0</v>
      </c>
      <c r="S309">
        <v>0</v>
      </c>
      <c r="T309" t="str">
        <f t="shared" si="44"/>
        <v>-</v>
      </c>
      <c r="U309" t="str">
        <f t="shared" si="45"/>
        <v>-</v>
      </c>
      <c r="V309" t="str">
        <f t="shared" si="46"/>
        <v>-</v>
      </c>
      <c r="W309" t="str">
        <f t="shared" si="47"/>
        <v>-</v>
      </c>
      <c r="X309" t="str">
        <f t="shared" si="48"/>
        <v>-</v>
      </c>
      <c r="Y309" t="str">
        <f t="shared" si="49"/>
        <v>-</v>
      </c>
      <c r="Z309" t="str">
        <f t="shared" si="50"/>
        <v>-</v>
      </c>
      <c r="AA309" t="str">
        <f t="shared" si="51"/>
        <v>-</v>
      </c>
      <c r="AB309" t="str">
        <f>IF(_xlfn.IFNA(VLOOKUP(P309,Set_Ref!$B$6:$B$1048576,1,FALSE),"")&lt;&gt;"","-",FALSE)</f>
        <v>-</v>
      </c>
      <c r="AC309" t="str">
        <f t="shared" si="52"/>
        <v>-</v>
      </c>
      <c r="AD309" t="str">
        <f t="shared" si="53"/>
        <v>-</v>
      </c>
      <c r="AE309" t="b">
        <f t="shared" si="54"/>
        <v>1</v>
      </c>
    </row>
    <row r="310" spans="1:31" x14ac:dyDescent="0.25">
      <c r="A310">
        <v>1</v>
      </c>
      <c r="B310">
        <v>308</v>
      </c>
      <c r="C310">
        <v>261</v>
      </c>
      <c r="D310" s="11" t="s">
        <v>149</v>
      </c>
      <c r="E310" t="s">
        <v>421</v>
      </c>
      <c r="F310" t="s">
        <v>212</v>
      </c>
      <c r="G310" s="11" t="s">
        <v>518</v>
      </c>
      <c r="H310">
        <v>1</v>
      </c>
      <c r="I310" s="11" t="s">
        <v>427</v>
      </c>
      <c r="J310" t="s">
        <v>519</v>
      </c>
      <c r="K310" t="s">
        <v>267</v>
      </c>
      <c r="L310" s="11" t="s">
        <v>39</v>
      </c>
      <c r="M310" s="11" t="s">
        <v>39</v>
      </c>
      <c r="N310" s="11" t="s">
        <v>39</v>
      </c>
      <c r="O310" s="11" t="s">
        <v>39</v>
      </c>
      <c r="P310" t="s">
        <v>9</v>
      </c>
      <c r="Q310">
        <v>20</v>
      </c>
      <c r="R310">
        <v>0</v>
      </c>
      <c r="S310">
        <v>0</v>
      </c>
      <c r="T310" t="str">
        <f t="shared" si="44"/>
        <v>-</v>
      </c>
      <c r="U310" t="str">
        <f t="shared" si="45"/>
        <v>-</v>
      </c>
      <c r="V310" t="str">
        <f t="shared" si="46"/>
        <v>-</v>
      </c>
      <c r="W310" t="str">
        <f t="shared" si="47"/>
        <v>-</v>
      </c>
      <c r="X310" t="str">
        <f t="shared" si="48"/>
        <v>-</v>
      </c>
      <c r="Y310" t="str">
        <f t="shared" si="49"/>
        <v>-</v>
      </c>
      <c r="Z310" t="str">
        <f t="shared" si="50"/>
        <v>-</v>
      </c>
      <c r="AA310" t="str">
        <f t="shared" si="51"/>
        <v>-</v>
      </c>
      <c r="AB310" t="str">
        <f>IF(_xlfn.IFNA(VLOOKUP(P310,Set_Ref!$B$6:$B$1048576,1,FALSE),"")&lt;&gt;"","-",FALSE)</f>
        <v>-</v>
      </c>
      <c r="AC310" t="str">
        <f t="shared" si="52"/>
        <v>-</v>
      </c>
      <c r="AD310" t="str">
        <f t="shared" si="53"/>
        <v>-</v>
      </c>
      <c r="AE310" t="b">
        <f t="shared" si="54"/>
        <v>1</v>
      </c>
    </row>
    <row r="311" spans="1:31" x14ac:dyDescent="0.25">
      <c r="A311">
        <v>1</v>
      </c>
      <c r="B311">
        <v>309</v>
      </c>
      <c r="C311">
        <v>261</v>
      </c>
      <c r="D311" s="11" t="s">
        <v>149</v>
      </c>
      <c r="E311" t="s">
        <v>421</v>
      </c>
      <c r="F311" t="s">
        <v>212</v>
      </c>
      <c r="G311" s="11" t="s">
        <v>518</v>
      </c>
      <c r="H311">
        <v>1</v>
      </c>
      <c r="I311" s="11" t="s">
        <v>427</v>
      </c>
      <c r="J311" t="s">
        <v>519</v>
      </c>
      <c r="K311" t="s">
        <v>267</v>
      </c>
      <c r="L311" s="11" t="s">
        <v>39</v>
      </c>
      <c r="M311" s="11" t="s">
        <v>39</v>
      </c>
      <c r="N311" s="11" t="s">
        <v>39</v>
      </c>
      <c r="O311" s="11" t="s">
        <v>39</v>
      </c>
      <c r="P311" t="s">
        <v>9</v>
      </c>
      <c r="Q311">
        <v>100</v>
      </c>
      <c r="R311">
        <v>0</v>
      </c>
      <c r="S311">
        <v>0</v>
      </c>
      <c r="T311" t="str">
        <f t="shared" si="44"/>
        <v>-</v>
      </c>
      <c r="U311" t="str">
        <f t="shared" si="45"/>
        <v>-</v>
      </c>
      <c r="V311" t="str">
        <f t="shared" si="46"/>
        <v>-</v>
      </c>
      <c r="W311" t="str">
        <f t="shared" si="47"/>
        <v>-</v>
      </c>
      <c r="X311" t="str">
        <f t="shared" si="48"/>
        <v>-</v>
      </c>
      <c r="Y311" t="str">
        <f t="shared" si="49"/>
        <v>-</v>
      </c>
      <c r="Z311" t="str">
        <f t="shared" si="50"/>
        <v>-</v>
      </c>
      <c r="AA311" t="str">
        <f t="shared" si="51"/>
        <v>-</v>
      </c>
      <c r="AB311" t="str">
        <f>IF(_xlfn.IFNA(VLOOKUP(P311,Set_Ref!$B$6:$B$1048576,1,FALSE),"")&lt;&gt;"","-",FALSE)</f>
        <v>-</v>
      </c>
      <c r="AC311" t="str">
        <f t="shared" si="52"/>
        <v>-</v>
      </c>
      <c r="AD311" t="str">
        <f t="shared" si="53"/>
        <v>-</v>
      </c>
      <c r="AE311" t="b">
        <f t="shared" si="54"/>
        <v>1</v>
      </c>
    </row>
    <row r="312" spans="1:31" x14ac:dyDescent="0.25">
      <c r="A312">
        <v>1</v>
      </c>
      <c r="B312">
        <v>310</v>
      </c>
      <c r="C312">
        <v>261</v>
      </c>
      <c r="D312" s="11" t="s">
        <v>149</v>
      </c>
      <c r="E312" t="s">
        <v>421</v>
      </c>
      <c r="F312" t="s">
        <v>212</v>
      </c>
      <c r="G312" s="11" t="s">
        <v>518</v>
      </c>
      <c r="H312">
        <v>1</v>
      </c>
      <c r="I312" s="11" t="s">
        <v>427</v>
      </c>
      <c r="J312" t="s">
        <v>519</v>
      </c>
      <c r="K312" t="s">
        <v>267</v>
      </c>
      <c r="L312" s="11" t="s">
        <v>39</v>
      </c>
      <c r="M312" s="11" t="s">
        <v>39</v>
      </c>
      <c r="N312" s="11" t="s">
        <v>39</v>
      </c>
      <c r="O312" s="11" t="s">
        <v>39</v>
      </c>
      <c r="P312" t="s">
        <v>9</v>
      </c>
      <c r="Q312">
        <v>140</v>
      </c>
      <c r="R312">
        <v>0</v>
      </c>
      <c r="S312">
        <v>0</v>
      </c>
      <c r="T312" t="str">
        <f t="shared" si="44"/>
        <v>-</v>
      </c>
      <c r="U312" t="str">
        <f t="shared" si="45"/>
        <v>-</v>
      </c>
      <c r="V312" t="str">
        <f t="shared" si="46"/>
        <v>-</v>
      </c>
      <c r="W312" t="str">
        <f t="shared" si="47"/>
        <v>-</v>
      </c>
      <c r="X312" t="str">
        <f t="shared" si="48"/>
        <v>-</v>
      </c>
      <c r="Y312" t="str">
        <f t="shared" si="49"/>
        <v>-</v>
      </c>
      <c r="Z312" t="str">
        <f t="shared" si="50"/>
        <v>-</v>
      </c>
      <c r="AA312" t="str">
        <f t="shared" si="51"/>
        <v>-</v>
      </c>
      <c r="AB312" t="str">
        <f>IF(_xlfn.IFNA(VLOOKUP(P312,Set_Ref!$B$6:$B$1048576,1,FALSE),"")&lt;&gt;"","-",FALSE)</f>
        <v>-</v>
      </c>
      <c r="AC312" t="str">
        <f t="shared" si="52"/>
        <v>-</v>
      </c>
      <c r="AD312" t="str">
        <f t="shared" si="53"/>
        <v>-</v>
      </c>
      <c r="AE312" t="b">
        <f t="shared" si="54"/>
        <v>1</v>
      </c>
    </row>
    <row r="313" spans="1:31" x14ac:dyDescent="0.25">
      <c r="A313">
        <v>1</v>
      </c>
      <c r="B313">
        <v>311</v>
      </c>
      <c r="C313">
        <v>261</v>
      </c>
      <c r="D313" s="11" t="s">
        <v>149</v>
      </c>
      <c r="E313" t="s">
        <v>421</v>
      </c>
      <c r="F313" t="s">
        <v>212</v>
      </c>
      <c r="G313" s="11" t="s">
        <v>518</v>
      </c>
      <c r="H313">
        <v>1</v>
      </c>
      <c r="I313" s="11" t="s">
        <v>427</v>
      </c>
      <c r="J313" t="s">
        <v>519</v>
      </c>
      <c r="K313" t="s">
        <v>267</v>
      </c>
      <c r="L313" s="11" t="s">
        <v>39</v>
      </c>
      <c r="M313" s="11" t="s">
        <v>39</v>
      </c>
      <c r="N313" s="11" t="s">
        <v>39</v>
      </c>
      <c r="O313" s="11" t="s">
        <v>39</v>
      </c>
      <c r="P313" t="s">
        <v>9</v>
      </c>
      <c r="Q313">
        <v>40</v>
      </c>
      <c r="R313">
        <v>0</v>
      </c>
      <c r="S313">
        <v>0</v>
      </c>
      <c r="T313" t="str">
        <f t="shared" si="44"/>
        <v>-</v>
      </c>
      <c r="U313" t="str">
        <f t="shared" si="45"/>
        <v>-</v>
      </c>
      <c r="V313" t="str">
        <f t="shared" si="46"/>
        <v>-</v>
      </c>
      <c r="W313" t="str">
        <f t="shared" si="47"/>
        <v>-</v>
      </c>
      <c r="X313" t="str">
        <f t="shared" si="48"/>
        <v>-</v>
      </c>
      <c r="Y313" t="str">
        <f t="shared" si="49"/>
        <v>-</v>
      </c>
      <c r="Z313" t="str">
        <f t="shared" si="50"/>
        <v>-</v>
      </c>
      <c r="AA313" t="str">
        <f t="shared" si="51"/>
        <v>-</v>
      </c>
      <c r="AB313" t="str">
        <f>IF(_xlfn.IFNA(VLOOKUP(P313,Set_Ref!$B$6:$B$1048576,1,FALSE),"")&lt;&gt;"","-",FALSE)</f>
        <v>-</v>
      </c>
      <c r="AC313" t="str">
        <f t="shared" si="52"/>
        <v>-</v>
      </c>
      <c r="AD313" t="str">
        <f t="shared" si="53"/>
        <v>-</v>
      </c>
      <c r="AE313" t="b">
        <f t="shared" si="54"/>
        <v>1</v>
      </c>
    </row>
    <row r="314" spans="1:31" x14ac:dyDescent="0.25">
      <c r="A314">
        <v>1</v>
      </c>
      <c r="B314">
        <v>312</v>
      </c>
      <c r="C314">
        <v>261</v>
      </c>
      <c r="D314" s="11" t="s">
        <v>149</v>
      </c>
      <c r="E314" t="s">
        <v>421</v>
      </c>
      <c r="F314" t="s">
        <v>212</v>
      </c>
      <c r="G314" s="11" t="s">
        <v>518</v>
      </c>
      <c r="H314">
        <v>1</v>
      </c>
      <c r="I314" s="11" t="s">
        <v>427</v>
      </c>
      <c r="J314" t="s">
        <v>519</v>
      </c>
      <c r="K314" t="s">
        <v>267</v>
      </c>
      <c r="L314" s="11" t="s">
        <v>39</v>
      </c>
      <c r="M314" s="11" t="s">
        <v>39</v>
      </c>
      <c r="N314" s="11" t="s">
        <v>39</v>
      </c>
      <c r="O314" s="11" t="s">
        <v>39</v>
      </c>
      <c r="P314" t="s">
        <v>9</v>
      </c>
      <c r="Q314">
        <v>30</v>
      </c>
      <c r="R314">
        <v>0</v>
      </c>
      <c r="S314">
        <v>0</v>
      </c>
      <c r="T314" t="str">
        <f t="shared" si="44"/>
        <v>-</v>
      </c>
      <c r="U314" t="str">
        <f t="shared" si="45"/>
        <v>-</v>
      </c>
      <c r="V314" t="str">
        <f t="shared" si="46"/>
        <v>-</v>
      </c>
      <c r="W314" t="str">
        <f t="shared" si="47"/>
        <v>-</v>
      </c>
      <c r="X314" t="str">
        <f t="shared" si="48"/>
        <v>-</v>
      </c>
      <c r="Y314" t="str">
        <f t="shared" si="49"/>
        <v>-</v>
      </c>
      <c r="Z314" t="str">
        <f t="shared" si="50"/>
        <v>-</v>
      </c>
      <c r="AA314" t="str">
        <f t="shared" si="51"/>
        <v>-</v>
      </c>
      <c r="AB314" t="str">
        <f>IF(_xlfn.IFNA(VLOOKUP(P314,Set_Ref!$B$6:$B$1048576,1,FALSE),"")&lt;&gt;"","-",FALSE)</f>
        <v>-</v>
      </c>
      <c r="AC314" t="str">
        <f t="shared" si="52"/>
        <v>-</v>
      </c>
      <c r="AD314" t="str">
        <f t="shared" si="53"/>
        <v>-</v>
      </c>
      <c r="AE314" t="b">
        <f t="shared" si="54"/>
        <v>1</v>
      </c>
    </row>
    <row r="315" spans="1:31" x14ac:dyDescent="0.25">
      <c r="A315">
        <v>1</v>
      </c>
      <c r="B315">
        <v>313</v>
      </c>
      <c r="C315">
        <v>261</v>
      </c>
      <c r="D315" s="11" t="s">
        <v>149</v>
      </c>
      <c r="E315" t="s">
        <v>421</v>
      </c>
      <c r="F315" t="s">
        <v>212</v>
      </c>
      <c r="G315" s="11" t="s">
        <v>518</v>
      </c>
      <c r="H315">
        <v>1</v>
      </c>
      <c r="I315" s="11" t="s">
        <v>427</v>
      </c>
      <c r="J315" t="s">
        <v>519</v>
      </c>
      <c r="K315" t="s">
        <v>267</v>
      </c>
      <c r="L315" s="11" t="s">
        <v>39</v>
      </c>
      <c r="M315" s="11" t="s">
        <v>39</v>
      </c>
      <c r="N315" s="11" t="s">
        <v>39</v>
      </c>
      <c r="O315" s="11" t="s">
        <v>39</v>
      </c>
      <c r="P315" t="s">
        <v>9</v>
      </c>
      <c r="Q315">
        <v>10</v>
      </c>
      <c r="R315">
        <v>0</v>
      </c>
      <c r="S315">
        <v>0</v>
      </c>
      <c r="T315" t="str">
        <f t="shared" si="44"/>
        <v>-</v>
      </c>
      <c r="U315" t="str">
        <f t="shared" si="45"/>
        <v>-</v>
      </c>
      <c r="V315" t="str">
        <f t="shared" si="46"/>
        <v>-</v>
      </c>
      <c r="W315" t="str">
        <f t="shared" si="47"/>
        <v>-</v>
      </c>
      <c r="X315" t="str">
        <f t="shared" si="48"/>
        <v>-</v>
      </c>
      <c r="Y315" t="str">
        <f t="shared" si="49"/>
        <v>-</v>
      </c>
      <c r="Z315" t="str">
        <f t="shared" si="50"/>
        <v>-</v>
      </c>
      <c r="AA315" t="str">
        <f t="shared" si="51"/>
        <v>-</v>
      </c>
      <c r="AB315" t="str">
        <f>IF(_xlfn.IFNA(VLOOKUP(P315,Set_Ref!$B$6:$B$1048576,1,FALSE),"")&lt;&gt;"","-",FALSE)</f>
        <v>-</v>
      </c>
      <c r="AC315" t="str">
        <f t="shared" si="52"/>
        <v>-</v>
      </c>
      <c r="AD315" t="str">
        <f t="shared" si="53"/>
        <v>-</v>
      </c>
      <c r="AE315" t="b">
        <f t="shared" si="54"/>
        <v>1</v>
      </c>
    </row>
    <row r="316" spans="1:31" x14ac:dyDescent="0.25">
      <c r="A316">
        <v>1</v>
      </c>
      <c r="B316">
        <v>314</v>
      </c>
      <c r="C316">
        <v>261</v>
      </c>
      <c r="D316" s="11" t="s">
        <v>149</v>
      </c>
      <c r="E316" t="s">
        <v>422</v>
      </c>
      <c r="F316" t="s">
        <v>174</v>
      </c>
      <c r="G316" s="11" t="s">
        <v>520</v>
      </c>
      <c r="H316">
        <v>1</v>
      </c>
      <c r="I316" s="11" t="s">
        <v>427</v>
      </c>
      <c r="J316" t="s">
        <v>521</v>
      </c>
      <c r="K316" t="s">
        <v>237</v>
      </c>
      <c r="L316" s="11" t="s">
        <v>39</v>
      </c>
      <c r="M316" s="11" t="s">
        <v>39</v>
      </c>
      <c r="N316" s="11" t="s">
        <v>39</v>
      </c>
      <c r="O316" s="11" t="s">
        <v>39</v>
      </c>
      <c r="P316" t="s">
        <v>9</v>
      </c>
      <c r="Q316">
        <v>2</v>
      </c>
      <c r="R316">
        <v>0</v>
      </c>
      <c r="S316">
        <v>0</v>
      </c>
      <c r="T316" t="str">
        <f t="shared" si="44"/>
        <v>-</v>
      </c>
      <c r="U316" t="str">
        <f t="shared" si="45"/>
        <v>-</v>
      </c>
      <c r="V316" t="str">
        <f t="shared" si="46"/>
        <v>-</v>
      </c>
      <c r="W316" t="str">
        <f t="shared" si="47"/>
        <v>-</v>
      </c>
      <c r="X316" t="str">
        <f t="shared" si="48"/>
        <v>-</v>
      </c>
      <c r="Y316" t="str">
        <f t="shared" si="49"/>
        <v>-</v>
      </c>
      <c r="Z316" t="str">
        <f t="shared" si="50"/>
        <v>-</v>
      </c>
      <c r="AA316" t="str">
        <f t="shared" si="51"/>
        <v>-</v>
      </c>
      <c r="AB316" t="str">
        <f>IF(_xlfn.IFNA(VLOOKUP(P316,Set_Ref!$B$6:$B$1048576,1,FALSE),"")&lt;&gt;"","-",FALSE)</f>
        <v>-</v>
      </c>
      <c r="AC316" t="str">
        <f t="shared" si="52"/>
        <v>-</v>
      </c>
      <c r="AD316" t="str">
        <f t="shared" si="53"/>
        <v>-</v>
      </c>
      <c r="AE316" t="b">
        <f t="shared" si="54"/>
        <v>1</v>
      </c>
    </row>
    <row r="317" spans="1:31" x14ac:dyDescent="0.25">
      <c r="A317">
        <v>1</v>
      </c>
      <c r="B317">
        <v>315</v>
      </c>
      <c r="C317">
        <v>261</v>
      </c>
      <c r="D317" s="11" t="s">
        <v>149</v>
      </c>
      <c r="E317" t="s">
        <v>422</v>
      </c>
      <c r="F317" t="s">
        <v>174</v>
      </c>
      <c r="G317" s="11" t="s">
        <v>520</v>
      </c>
      <c r="H317">
        <v>1</v>
      </c>
      <c r="I317" s="11" t="s">
        <v>427</v>
      </c>
      <c r="J317" t="s">
        <v>521</v>
      </c>
      <c r="K317" t="s">
        <v>237</v>
      </c>
      <c r="L317" s="11" t="s">
        <v>39</v>
      </c>
      <c r="M317" s="11" t="s">
        <v>39</v>
      </c>
      <c r="N317" s="11" t="s">
        <v>39</v>
      </c>
      <c r="O317" s="11" t="s">
        <v>39</v>
      </c>
      <c r="P317" t="s">
        <v>9</v>
      </c>
      <c r="Q317">
        <v>22</v>
      </c>
      <c r="R317">
        <v>0</v>
      </c>
      <c r="S317">
        <v>0</v>
      </c>
      <c r="T317" t="str">
        <f t="shared" si="44"/>
        <v>-</v>
      </c>
      <c r="U317" t="str">
        <f t="shared" si="45"/>
        <v>-</v>
      </c>
      <c r="V317" t="str">
        <f t="shared" si="46"/>
        <v>-</v>
      </c>
      <c r="W317" t="str">
        <f t="shared" si="47"/>
        <v>-</v>
      </c>
      <c r="X317" t="str">
        <f t="shared" si="48"/>
        <v>-</v>
      </c>
      <c r="Y317" t="str">
        <f t="shared" si="49"/>
        <v>-</v>
      </c>
      <c r="Z317" t="str">
        <f t="shared" si="50"/>
        <v>-</v>
      </c>
      <c r="AA317" t="str">
        <f t="shared" si="51"/>
        <v>-</v>
      </c>
      <c r="AB317" t="str">
        <f>IF(_xlfn.IFNA(VLOOKUP(P317,Set_Ref!$B$6:$B$1048576,1,FALSE),"")&lt;&gt;"","-",FALSE)</f>
        <v>-</v>
      </c>
      <c r="AC317" t="str">
        <f t="shared" si="52"/>
        <v>-</v>
      </c>
      <c r="AD317" t="str">
        <f t="shared" si="53"/>
        <v>-</v>
      </c>
      <c r="AE317" t="b">
        <f t="shared" si="54"/>
        <v>1</v>
      </c>
    </row>
    <row r="318" spans="1:31" x14ac:dyDescent="0.25">
      <c r="A318">
        <v>1</v>
      </c>
      <c r="B318">
        <v>316</v>
      </c>
      <c r="C318">
        <v>261</v>
      </c>
      <c r="D318" s="11" t="s">
        <v>149</v>
      </c>
      <c r="E318" t="s">
        <v>423</v>
      </c>
      <c r="F318" t="s">
        <v>174</v>
      </c>
      <c r="G318" s="11" t="s">
        <v>522</v>
      </c>
      <c r="H318">
        <v>1</v>
      </c>
      <c r="I318" s="11" t="s">
        <v>427</v>
      </c>
      <c r="J318" t="s">
        <v>424</v>
      </c>
      <c r="K318" t="s">
        <v>237</v>
      </c>
      <c r="L318" s="11" t="s">
        <v>39</v>
      </c>
      <c r="M318" s="11" t="s">
        <v>39</v>
      </c>
      <c r="N318" s="11" t="s">
        <v>39</v>
      </c>
      <c r="O318" s="11" t="s">
        <v>39</v>
      </c>
      <c r="P318" t="s">
        <v>9</v>
      </c>
      <c r="Q318">
        <v>10</v>
      </c>
      <c r="R318">
        <v>0</v>
      </c>
      <c r="S318">
        <v>0</v>
      </c>
      <c r="T318" t="str">
        <f t="shared" si="44"/>
        <v>-</v>
      </c>
      <c r="U318" t="str">
        <f t="shared" si="45"/>
        <v>-</v>
      </c>
      <c r="V318" t="str">
        <f t="shared" si="46"/>
        <v>-</v>
      </c>
      <c r="W318" t="str">
        <f t="shared" si="47"/>
        <v>-</v>
      </c>
      <c r="X318" t="str">
        <f t="shared" si="48"/>
        <v>-</v>
      </c>
      <c r="Y318" t="str">
        <f t="shared" si="49"/>
        <v>-</v>
      </c>
      <c r="Z318" t="str">
        <f t="shared" si="50"/>
        <v>-</v>
      </c>
      <c r="AA318" t="str">
        <f t="shared" si="51"/>
        <v>-</v>
      </c>
      <c r="AB318" t="str">
        <f>IF(_xlfn.IFNA(VLOOKUP(P318,Set_Ref!$B$6:$B$1048576,1,FALSE),"")&lt;&gt;"","-",FALSE)</f>
        <v>-</v>
      </c>
      <c r="AC318" t="str">
        <f t="shared" si="52"/>
        <v>-</v>
      </c>
      <c r="AD318" t="str">
        <f t="shared" si="53"/>
        <v>-</v>
      </c>
      <c r="AE318" t="b">
        <f t="shared" si="54"/>
        <v>1</v>
      </c>
    </row>
    <row r="319" spans="1:31" x14ac:dyDescent="0.25">
      <c r="A319">
        <v>1</v>
      </c>
      <c r="B319">
        <v>317</v>
      </c>
      <c r="C319">
        <v>261</v>
      </c>
      <c r="D319" s="11" t="s">
        <v>149</v>
      </c>
      <c r="E319" t="s">
        <v>425</v>
      </c>
      <c r="F319" t="s">
        <v>213</v>
      </c>
      <c r="G319" s="11" t="s">
        <v>523</v>
      </c>
      <c r="H319">
        <v>1</v>
      </c>
      <c r="I319" s="11" t="s">
        <v>427</v>
      </c>
      <c r="J319" t="s">
        <v>415</v>
      </c>
      <c r="K319" t="s">
        <v>237</v>
      </c>
      <c r="L319" s="11" t="s">
        <v>39</v>
      </c>
      <c r="M319" s="11" t="s">
        <v>39</v>
      </c>
      <c r="N319" s="11" t="s">
        <v>39</v>
      </c>
      <c r="O319" s="11" t="s">
        <v>39</v>
      </c>
      <c r="P319" t="s">
        <v>9</v>
      </c>
      <c r="Q319">
        <v>61</v>
      </c>
      <c r="R319">
        <v>0</v>
      </c>
      <c r="S319">
        <v>0</v>
      </c>
      <c r="T319" t="str">
        <f t="shared" si="44"/>
        <v>-</v>
      </c>
      <c r="U319" t="str">
        <f t="shared" si="45"/>
        <v>-</v>
      </c>
      <c r="V319" t="str">
        <f t="shared" si="46"/>
        <v>-</v>
      </c>
      <c r="W319" t="str">
        <f t="shared" si="47"/>
        <v>-</v>
      </c>
      <c r="X319" t="str">
        <f t="shared" si="48"/>
        <v>-</v>
      </c>
      <c r="Y319" t="str">
        <f t="shared" si="49"/>
        <v>-</v>
      </c>
      <c r="Z319" t="str">
        <f t="shared" si="50"/>
        <v>-</v>
      </c>
      <c r="AA319" t="str">
        <f t="shared" si="51"/>
        <v>-</v>
      </c>
      <c r="AB319" t="str">
        <f>IF(_xlfn.IFNA(VLOOKUP(P319,Set_Ref!$B$6:$B$1048576,1,FALSE),"")&lt;&gt;"","-",FALSE)</f>
        <v>-</v>
      </c>
      <c r="AC319" t="str">
        <f t="shared" si="52"/>
        <v>-</v>
      </c>
      <c r="AD319" t="str">
        <f t="shared" si="53"/>
        <v>-</v>
      </c>
      <c r="AE319" t="b">
        <f t="shared" si="54"/>
        <v>1</v>
      </c>
    </row>
    <row r="320" spans="1:31" x14ac:dyDescent="0.25">
      <c r="A320">
        <v>2</v>
      </c>
      <c r="B320">
        <v>1</v>
      </c>
      <c r="C320">
        <v>261</v>
      </c>
      <c r="D320" s="11" t="s">
        <v>149</v>
      </c>
      <c r="E320" t="s">
        <v>273</v>
      </c>
      <c r="F320" s="87" t="s">
        <v>183</v>
      </c>
      <c r="G320" s="11" t="s">
        <v>426</v>
      </c>
      <c r="H320">
        <v>1</v>
      </c>
      <c r="I320" s="11" t="s">
        <v>427</v>
      </c>
      <c r="J320" t="s">
        <v>274</v>
      </c>
      <c r="K320" t="s">
        <v>214</v>
      </c>
      <c r="L320" s="11" t="s">
        <v>39</v>
      </c>
      <c r="M320" s="11" t="s">
        <v>39</v>
      </c>
      <c r="N320" s="11" t="s">
        <v>39</v>
      </c>
      <c r="O320" s="11" t="s">
        <v>39</v>
      </c>
      <c r="P320" t="s">
        <v>9</v>
      </c>
      <c r="Q320">
        <v>3355</v>
      </c>
      <c r="R320">
        <v>0</v>
      </c>
      <c r="S320">
        <v>0</v>
      </c>
      <c r="T320" t="str">
        <f t="shared" si="44"/>
        <v>-</v>
      </c>
      <c r="U320" t="str">
        <f t="shared" si="45"/>
        <v>-</v>
      </c>
      <c r="V320" t="str">
        <f t="shared" si="46"/>
        <v>-</v>
      </c>
      <c r="W320" t="str">
        <f t="shared" si="47"/>
        <v>-</v>
      </c>
      <c r="X320" t="str">
        <f t="shared" si="48"/>
        <v>-</v>
      </c>
      <c r="Y320" t="str">
        <f t="shared" si="49"/>
        <v>-</v>
      </c>
      <c r="Z320" t="str">
        <f t="shared" si="50"/>
        <v>-</v>
      </c>
      <c r="AA320" t="str">
        <f t="shared" si="51"/>
        <v>-</v>
      </c>
      <c r="AB320" t="str">
        <f>IF(_xlfn.IFNA(VLOOKUP(P320,Set_Ref!$B$6:$B$1048576,1,FALSE),"")&lt;&gt;"","-",FALSE)</f>
        <v>-</v>
      </c>
      <c r="AC320" t="str">
        <f t="shared" si="52"/>
        <v>-</v>
      </c>
      <c r="AD320" t="str">
        <f t="shared" si="53"/>
        <v>-</v>
      </c>
      <c r="AE320" t="b">
        <f t="shared" si="54"/>
        <v>1</v>
      </c>
    </row>
    <row r="321" spans="1:31" x14ac:dyDescent="0.25">
      <c r="A321">
        <v>2</v>
      </c>
      <c r="B321">
        <v>2</v>
      </c>
      <c r="C321">
        <v>261</v>
      </c>
      <c r="D321" s="11" t="s">
        <v>149</v>
      </c>
      <c r="E321" t="s">
        <v>273</v>
      </c>
      <c r="F321" t="s">
        <v>183</v>
      </c>
      <c r="G321" s="11" t="s">
        <v>426</v>
      </c>
      <c r="H321">
        <v>2</v>
      </c>
      <c r="I321" s="11" t="s">
        <v>428</v>
      </c>
      <c r="J321" t="s">
        <v>275</v>
      </c>
      <c r="K321" t="s">
        <v>215</v>
      </c>
      <c r="L321" s="11" t="s">
        <v>39</v>
      </c>
      <c r="M321" s="11" t="s">
        <v>39</v>
      </c>
      <c r="N321" s="11" t="s">
        <v>39</v>
      </c>
      <c r="O321" s="11" t="s">
        <v>39</v>
      </c>
      <c r="P321" t="s">
        <v>9</v>
      </c>
      <c r="Q321">
        <v>3750</v>
      </c>
      <c r="R321">
        <v>0</v>
      </c>
      <c r="S321">
        <v>0</v>
      </c>
      <c r="T321" t="str">
        <f t="shared" si="44"/>
        <v>-</v>
      </c>
      <c r="U321" t="str">
        <f t="shared" si="45"/>
        <v>-</v>
      </c>
      <c r="V321" t="str">
        <f t="shared" si="46"/>
        <v>-</v>
      </c>
      <c r="W321" t="str">
        <f t="shared" si="47"/>
        <v>-</v>
      </c>
      <c r="X321" t="str">
        <f t="shared" si="48"/>
        <v>-</v>
      </c>
      <c r="Y321" t="str">
        <f t="shared" si="49"/>
        <v>-</v>
      </c>
      <c r="Z321" t="str">
        <f t="shared" si="50"/>
        <v>-</v>
      </c>
      <c r="AA321" t="str">
        <f t="shared" si="51"/>
        <v>-</v>
      </c>
      <c r="AB321" t="str">
        <f>IF(_xlfn.IFNA(VLOOKUP(P321,Set_Ref!$B$6:$B$1048576,1,FALSE),"")&lt;&gt;"","-",FALSE)</f>
        <v>-</v>
      </c>
      <c r="AC321" t="str">
        <f t="shared" si="52"/>
        <v>-</v>
      </c>
      <c r="AD321" t="str">
        <f t="shared" si="53"/>
        <v>-</v>
      </c>
      <c r="AE321" t="b">
        <f t="shared" si="54"/>
        <v>1</v>
      </c>
    </row>
    <row r="322" spans="1:31" x14ac:dyDescent="0.25">
      <c r="A322">
        <v>2</v>
      </c>
      <c r="B322">
        <v>3</v>
      </c>
      <c r="C322">
        <v>261</v>
      </c>
      <c r="D322" s="11" t="s">
        <v>149</v>
      </c>
      <c r="E322" t="s">
        <v>273</v>
      </c>
      <c r="F322" t="s">
        <v>183</v>
      </c>
      <c r="G322" s="11" t="s">
        <v>426</v>
      </c>
      <c r="H322">
        <v>3</v>
      </c>
      <c r="I322" s="11" t="s">
        <v>427</v>
      </c>
      <c r="J322" t="s">
        <v>276</v>
      </c>
      <c r="K322" t="s">
        <v>216</v>
      </c>
      <c r="L322" s="11" t="s">
        <v>39</v>
      </c>
      <c r="M322" s="11" t="s">
        <v>39</v>
      </c>
      <c r="N322" s="11" t="s">
        <v>39</v>
      </c>
      <c r="O322" s="11" t="s">
        <v>39</v>
      </c>
      <c r="P322" t="s">
        <v>9</v>
      </c>
      <c r="Q322">
        <v>7755</v>
      </c>
      <c r="R322">
        <v>0</v>
      </c>
      <c r="S322">
        <v>0</v>
      </c>
      <c r="T322" t="str">
        <f t="shared" si="44"/>
        <v>-</v>
      </c>
      <c r="U322" t="str">
        <f t="shared" si="45"/>
        <v>-</v>
      </c>
      <c r="V322" t="str">
        <f t="shared" si="46"/>
        <v>-</v>
      </c>
      <c r="W322" t="str">
        <f t="shared" si="47"/>
        <v>-</v>
      </c>
      <c r="X322" t="str">
        <f t="shared" si="48"/>
        <v>-</v>
      </c>
      <c r="Y322" t="str">
        <f t="shared" si="49"/>
        <v>-</v>
      </c>
      <c r="Z322" t="str">
        <f t="shared" si="50"/>
        <v>-</v>
      </c>
      <c r="AA322" t="str">
        <f t="shared" si="51"/>
        <v>-</v>
      </c>
      <c r="AB322" t="str">
        <f>IF(_xlfn.IFNA(VLOOKUP(P322,Set_Ref!$B$6:$B$1048576,1,FALSE),"")&lt;&gt;"","-",FALSE)</f>
        <v>-</v>
      </c>
      <c r="AC322" t="str">
        <f t="shared" si="52"/>
        <v>-</v>
      </c>
      <c r="AD322" t="str">
        <f t="shared" si="53"/>
        <v>-</v>
      </c>
      <c r="AE322" t="b">
        <f t="shared" si="54"/>
        <v>1</v>
      </c>
    </row>
    <row r="323" spans="1:31" x14ac:dyDescent="0.25">
      <c r="A323">
        <v>2</v>
      </c>
      <c r="B323">
        <v>4</v>
      </c>
      <c r="C323">
        <v>261</v>
      </c>
      <c r="D323" s="11" t="s">
        <v>149</v>
      </c>
      <c r="E323" t="s">
        <v>273</v>
      </c>
      <c r="F323" t="s">
        <v>183</v>
      </c>
      <c r="G323" s="11" t="s">
        <v>426</v>
      </c>
      <c r="H323">
        <v>4</v>
      </c>
      <c r="I323" s="11" t="s">
        <v>429</v>
      </c>
      <c r="J323" t="s">
        <v>277</v>
      </c>
      <c r="K323" t="s">
        <v>217</v>
      </c>
      <c r="L323" s="11" t="s">
        <v>39</v>
      </c>
      <c r="M323" s="11" t="s">
        <v>39</v>
      </c>
      <c r="N323" s="11" t="s">
        <v>39</v>
      </c>
      <c r="O323" s="11" t="s">
        <v>39</v>
      </c>
      <c r="P323" t="s">
        <v>9</v>
      </c>
      <c r="Q323">
        <v>329</v>
      </c>
      <c r="R323">
        <v>0</v>
      </c>
      <c r="S323">
        <v>0</v>
      </c>
      <c r="T323" t="str">
        <f t="shared" ref="T323:T386" si="55">IF(OR(A323="",A323&lt;1),FALSE,IF(ISNUMBER(A323), IF(INT(A323) = A323, "-", FALSE), FALSE))</f>
        <v>-</v>
      </c>
      <c r="U323" t="str">
        <f t="shared" ref="U323:U386" si="56">IF(OR(B323="",A323&lt;1),FALSE,IF(ISNUMBER(A323), IF(INT(A323) = A323, "-", FALSE), FALSE))</f>
        <v>-</v>
      </c>
      <c r="V323" t="str">
        <f t="shared" ref="V323:V386" si="57">IF(OR(C323="",C323="PilihSalasatu"),FALSE,"-")</f>
        <v>-</v>
      </c>
      <c r="W323" t="str">
        <f t="shared" ref="W323:W386" si="58">IF(D323="",FALSE,"-")</f>
        <v>-</v>
      </c>
      <c r="X323" t="str">
        <f t="shared" ref="X323:X386" si="59">IF(E323="",FALSE,"-")</f>
        <v>-</v>
      </c>
      <c r="Y323" t="str">
        <f t="shared" ref="Y323:Y386" si="60">IF(F323="",FALSE,"-")</f>
        <v>-</v>
      </c>
      <c r="Z323" t="str">
        <f t="shared" ref="Z323:Z386" si="61">IF(I323="",FALSE,"-")</f>
        <v>-</v>
      </c>
      <c r="AA323" t="str">
        <f t="shared" ref="AA323:AA386" si="62">IF(J323="",FALSE,"-")</f>
        <v>-</v>
      </c>
      <c r="AB323" t="str">
        <f>IF(_xlfn.IFNA(VLOOKUP(P323,Set_Ref!$B$6:$B$1048576,1,FALSE),"")&lt;&gt;"","-",FALSE)</f>
        <v>-</v>
      </c>
      <c r="AC323" t="str">
        <f t="shared" ref="AC323:AC386" si="63">IF(OR(Q323="",Q323&lt;0),FALSE,IF(ISNUMBER(Q323),"-",FALSE))</f>
        <v>-</v>
      </c>
      <c r="AD323" t="str">
        <f t="shared" ref="AD323:AD386" si="64">IF(OR(G323="",H323="",I323="",K323=""),FALSE,"-")</f>
        <v>-</v>
      </c>
      <c r="AE323" t="b">
        <f t="shared" ref="AE323:AE386" si="65">IF(COUNTIF(T323:AD323, "FALSE") &gt; 0, FALSE, TRUE)</f>
        <v>1</v>
      </c>
    </row>
    <row r="324" spans="1:31" x14ac:dyDescent="0.25">
      <c r="A324">
        <v>2</v>
      </c>
      <c r="B324">
        <v>5</v>
      </c>
      <c r="C324">
        <v>261</v>
      </c>
      <c r="D324" s="11" t="s">
        <v>149</v>
      </c>
      <c r="E324" t="s">
        <v>273</v>
      </c>
      <c r="F324" t="s">
        <v>183</v>
      </c>
      <c r="G324" s="11" t="s">
        <v>426</v>
      </c>
      <c r="H324">
        <v>5</v>
      </c>
      <c r="I324" s="11" t="s">
        <v>430</v>
      </c>
      <c r="J324" t="s">
        <v>278</v>
      </c>
      <c r="K324" t="s">
        <v>218</v>
      </c>
      <c r="L324" s="11" t="s">
        <v>39</v>
      </c>
      <c r="M324" s="11" t="s">
        <v>39</v>
      </c>
      <c r="N324" s="11" t="s">
        <v>39</v>
      </c>
      <c r="O324" s="11" t="s">
        <v>39</v>
      </c>
      <c r="P324" t="s">
        <v>58</v>
      </c>
      <c r="Q324">
        <v>1</v>
      </c>
      <c r="R324">
        <v>0</v>
      </c>
      <c r="S324">
        <v>0</v>
      </c>
      <c r="T324" t="str">
        <f t="shared" si="55"/>
        <v>-</v>
      </c>
      <c r="U324" t="str">
        <f t="shared" si="56"/>
        <v>-</v>
      </c>
      <c r="V324" t="str">
        <f t="shared" si="57"/>
        <v>-</v>
      </c>
      <c r="W324" t="str">
        <f t="shared" si="58"/>
        <v>-</v>
      </c>
      <c r="X324" t="str">
        <f t="shared" si="59"/>
        <v>-</v>
      </c>
      <c r="Y324" t="str">
        <f t="shared" si="60"/>
        <v>-</v>
      </c>
      <c r="Z324" t="str">
        <f t="shared" si="61"/>
        <v>-</v>
      </c>
      <c r="AA324" t="str">
        <f t="shared" si="62"/>
        <v>-</v>
      </c>
      <c r="AB324" t="str">
        <f>IF(_xlfn.IFNA(VLOOKUP(P324,Set_Ref!$B$6:$B$1048576,1,FALSE),"")&lt;&gt;"","-",FALSE)</f>
        <v>-</v>
      </c>
      <c r="AC324" t="str">
        <f t="shared" si="63"/>
        <v>-</v>
      </c>
      <c r="AD324" t="str">
        <f t="shared" si="64"/>
        <v>-</v>
      </c>
      <c r="AE324" t="b">
        <f t="shared" si="65"/>
        <v>1</v>
      </c>
    </row>
    <row r="325" spans="1:31" x14ac:dyDescent="0.25">
      <c r="A325">
        <v>2</v>
      </c>
      <c r="B325">
        <v>6</v>
      </c>
      <c r="C325">
        <v>261</v>
      </c>
      <c r="D325" s="11" t="s">
        <v>149</v>
      </c>
      <c r="E325" t="s">
        <v>273</v>
      </c>
      <c r="F325" t="s">
        <v>183</v>
      </c>
      <c r="G325" s="11" t="s">
        <v>426</v>
      </c>
      <c r="H325">
        <v>6</v>
      </c>
      <c r="I325" s="11" t="s">
        <v>172</v>
      </c>
      <c r="J325" t="s">
        <v>279</v>
      </c>
      <c r="K325" t="s">
        <v>219</v>
      </c>
      <c r="L325" s="11" t="s">
        <v>39</v>
      </c>
      <c r="M325" s="11" t="s">
        <v>39</v>
      </c>
      <c r="N325" s="11" t="s">
        <v>39</v>
      </c>
      <c r="O325" s="11" t="s">
        <v>39</v>
      </c>
      <c r="P325" t="s">
        <v>11</v>
      </c>
      <c r="Q325">
        <v>45</v>
      </c>
      <c r="R325">
        <v>0</v>
      </c>
      <c r="S325">
        <v>0</v>
      </c>
      <c r="T325" t="str">
        <f t="shared" si="55"/>
        <v>-</v>
      </c>
      <c r="U325" t="str">
        <f t="shared" si="56"/>
        <v>-</v>
      </c>
      <c r="V325" t="str">
        <f t="shared" si="57"/>
        <v>-</v>
      </c>
      <c r="W325" t="str">
        <f t="shared" si="58"/>
        <v>-</v>
      </c>
      <c r="X325" t="str">
        <f t="shared" si="59"/>
        <v>-</v>
      </c>
      <c r="Y325" t="str">
        <f t="shared" si="60"/>
        <v>-</v>
      </c>
      <c r="Z325" t="str">
        <f t="shared" si="61"/>
        <v>-</v>
      </c>
      <c r="AA325" t="str">
        <f t="shared" si="62"/>
        <v>-</v>
      </c>
      <c r="AB325" t="str">
        <f>IF(_xlfn.IFNA(VLOOKUP(P325,Set_Ref!$B$6:$B$1048576,1,FALSE),"")&lt;&gt;"","-",FALSE)</f>
        <v>-</v>
      </c>
      <c r="AC325" t="str">
        <f t="shared" si="63"/>
        <v>-</v>
      </c>
      <c r="AD325" t="str">
        <f t="shared" si="64"/>
        <v>-</v>
      </c>
      <c r="AE325" t="b">
        <f t="shared" si="65"/>
        <v>1</v>
      </c>
    </row>
    <row r="326" spans="1:31" x14ac:dyDescent="0.25">
      <c r="A326">
        <v>2</v>
      </c>
      <c r="B326">
        <v>7</v>
      </c>
      <c r="C326">
        <v>261</v>
      </c>
      <c r="D326" s="11" t="s">
        <v>149</v>
      </c>
      <c r="E326" t="s">
        <v>273</v>
      </c>
      <c r="F326" t="s">
        <v>183</v>
      </c>
      <c r="G326" s="11" t="s">
        <v>426</v>
      </c>
      <c r="H326">
        <v>7</v>
      </c>
      <c r="I326" s="11" t="s">
        <v>427</v>
      </c>
      <c r="J326" t="s">
        <v>280</v>
      </c>
      <c r="K326" t="s">
        <v>220</v>
      </c>
      <c r="L326" s="11" t="s">
        <v>39</v>
      </c>
      <c r="M326" s="11" t="s">
        <v>39</v>
      </c>
      <c r="N326" s="11" t="s">
        <v>39</v>
      </c>
      <c r="O326" s="11" t="s">
        <v>39</v>
      </c>
      <c r="P326" t="s">
        <v>9</v>
      </c>
      <c r="Q326">
        <v>206</v>
      </c>
      <c r="R326">
        <v>0</v>
      </c>
      <c r="S326">
        <v>0</v>
      </c>
      <c r="T326" t="str">
        <f t="shared" si="55"/>
        <v>-</v>
      </c>
      <c r="U326" t="str">
        <f t="shared" si="56"/>
        <v>-</v>
      </c>
      <c r="V326" t="str">
        <f t="shared" si="57"/>
        <v>-</v>
      </c>
      <c r="W326" t="str">
        <f t="shared" si="58"/>
        <v>-</v>
      </c>
      <c r="X326" t="str">
        <f t="shared" si="59"/>
        <v>-</v>
      </c>
      <c r="Y326" t="str">
        <f t="shared" si="60"/>
        <v>-</v>
      </c>
      <c r="Z326" t="str">
        <f t="shared" si="61"/>
        <v>-</v>
      </c>
      <c r="AA326" t="str">
        <f t="shared" si="62"/>
        <v>-</v>
      </c>
      <c r="AB326" t="str">
        <f>IF(_xlfn.IFNA(VLOOKUP(P326,Set_Ref!$B$6:$B$1048576,1,FALSE),"")&lt;&gt;"","-",FALSE)</f>
        <v>-</v>
      </c>
      <c r="AC326" t="str">
        <f t="shared" si="63"/>
        <v>-</v>
      </c>
      <c r="AD326" t="str">
        <f t="shared" si="64"/>
        <v>-</v>
      </c>
      <c r="AE326" t="b">
        <f t="shared" si="65"/>
        <v>1</v>
      </c>
    </row>
    <row r="327" spans="1:31" x14ac:dyDescent="0.25">
      <c r="A327">
        <v>2</v>
      </c>
      <c r="B327">
        <v>8</v>
      </c>
      <c r="C327">
        <v>261</v>
      </c>
      <c r="D327" s="11" t="s">
        <v>149</v>
      </c>
      <c r="E327" t="s">
        <v>273</v>
      </c>
      <c r="F327" t="s">
        <v>183</v>
      </c>
      <c r="G327" s="11" t="s">
        <v>426</v>
      </c>
      <c r="H327">
        <v>8</v>
      </c>
      <c r="I327" s="11" t="s">
        <v>431</v>
      </c>
      <c r="J327" t="s">
        <v>432</v>
      </c>
      <c r="K327" t="s">
        <v>221</v>
      </c>
      <c r="L327" s="11" t="s">
        <v>39</v>
      </c>
      <c r="M327" s="11" t="s">
        <v>39</v>
      </c>
      <c r="N327" s="11" t="s">
        <v>39</v>
      </c>
      <c r="O327" s="11" t="s">
        <v>39</v>
      </c>
      <c r="P327" t="s">
        <v>9</v>
      </c>
      <c r="Q327">
        <v>26000</v>
      </c>
      <c r="R327">
        <v>0</v>
      </c>
      <c r="S327">
        <v>0</v>
      </c>
      <c r="T327" t="str">
        <f t="shared" si="55"/>
        <v>-</v>
      </c>
      <c r="U327" t="str">
        <f t="shared" si="56"/>
        <v>-</v>
      </c>
      <c r="V327" t="str">
        <f t="shared" si="57"/>
        <v>-</v>
      </c>
      <c r="W327" t="str">
        <f t="shared" si="58"/>
        <v>-</v>
      </c>
      <c r="X327" t="str">
        <f t="shared" si="59"/>
        <v>-</v>
      </c>
      <c r="Y327" t="str">
        <f t="shared" si="60"/>
        <v>-</v>
      </c>
      <c r="Z327" t="str">
        <f t="shared" si="61"/>
        <v>-</v>
      </c>
      <c r="AA327" t="str">
        <f t="shared" si="62"/>
        <v>-</v>
      </c>
      <c r="AB327" t="str">
        <f>IF(_xlfn.IFNA(VLOOKUP(P327,Set_Ref!$B$6:$B$1048576,1,FALSE),"")&lt;&gt;"","-",FALSE)</f>
        <v>-</v>
      </c>
      <c r="AC327" t="str">
        <f t="shared" si="63"/>
        <v>-</v>
      </c>
      <c r="AD327" t="str">
        <f t="shared" si="64"/>
        <v>-</v>
      </c>
      <c r="AE327" t="b">
        <f t="shared" si="65"/>
        <v>1</v>
      </c>
    </row>
    <row r="328" spans="1:31" x14ac:dyDescent="0.25">
      <c r="A328">
        <v>2</v>
      </c>
      <c r="B328">
        <v>9</v>
      </c>
      <c r="C328">
        <v>261</v>
      </c>
      <c r="D328" s="11" t="s">
        <v>149</v>
      </c>
      <c r="E328" t="s">
        <v>273</v>
      </c>
      <c r="F328" t="s">
        <v>183</v>
      </c>
      <c r="G328" s="11" t="s">
        <v>426</v>
      </c>
      <c r="H328">
        <v>9</v>
      </c>
      <c r="I328" s="11" t="s">
        <v>433</v>
      </c>
      <c r="J328" t="s">
        <v>281</v>
      </c>
      <c r="K328" t="s">
        <v>222</v>
      </c>
      <c r="L328" s="11" t="s">
        <v>39</v>
      </c>
      <c r="M328" s="11" t="s">
        <v>39</v>
      </c>
      <c r="N328" s="11" t="s">
        <v>39</v>
      </c>
      <c r="O328" s="11" t="s">
        <v>39</v>
      </c>
      <c r="P328" t="s">
        <v>10</v>
      </c>
      <c r="Q328">
        <v>243</v>
      </c>
      <c r="R328">
        <v>0</v>
      </c>
      <c r="S328">
        <v>0</v>
      </c>
      <c r="T328" t="str">
        <f t="shared" si="55"/>
        <v>-</v>
      </c>
      <c r="U328" t="str">
        <f t="shared" si="56"/>
        <v>-</v>
      </c>
      <c r="V328" t="str">
        <f t="shared" si="57"/>
        <v>-</v>
      </c>
      <c r="W328" t="str">
        <f t="shared" si="58"/>
        <v>-</v>
      </c>
      <c r="X328" t="str">
        <f t="shared" si="59"/>
        <v>-</v>
      </c>
      <c r="Y328" t="str">
        <f t="shared" si="60"/>
        <v>-</v>
      </c>
      <c r="Z328" t="str">
        <f t="shared" si="61"/>
        <v>-</v>
      </c>
      <c r="AA328" t="str">
        <f t="shared" si="62"/>
        <v>-</v>
      </c>
      <c r="AB328" t="str">
        <f>IF(_xlfn.IFNA(VLOOKUP(P328,Set_Ref!$B$6:$B$1048576,1,FALSE),"")&lt;&gt;"","-",FALSE)</f>
        <v>-</v>
      </c>
      <c r="AC328" t="str">
        <f t="shared" si="63"/>
        <v>-</v>
      </c>
      <c r="AD328" t="str">
        <f t="shared" si="64"/>
        <v>-</v>
      </c>
      <c r="AE328" t="b">
        <f t="shared" si="65"/>
        <v>1</v>
      </c>
    </row>
    <row r="329" spans="1:31" x14ac:dyDescent="0.25">
      <c r="A329">
        <v>2</v>
      </c>
      <c r="B329">
        <v>10</v>
      </c>
      <c r="C329">
        <v>261</v>
      </c>
      <c r="D329" s="11" t="s">
        <v>149</v>
      </c>
      <c r="E329" t="s">
        <v>273</v>
      </c>
      <c r="F329" t="s">
        <v>183</v>
      </c>
      <c r="G329" s="11" t="s">
        <v>426</v>
      </c>
      <c r="H329">
        <v>10</v>
      </c>
      <c r="I329" s="11" t="s">
        <v>434</v>
      </c>
      <c r="J329" t="s">
        <v>435</v>
      </c>
      <c r="K329" t="s">
        <v>223</v>
      </c>
      <c r="L329" s="11" t="s">
        <v>39</v>
      </c>
      <c r="M329" s="11" t="s">
        <v>39</v>
      </c>
      <c r="N329" s="11" t="s">
        <v>39</v>
      </c>
      <c r="O329" s="11" t="s">
        <v>39</v>
      </c>
      <c r="P329" t="s">
        <v>9</v>
      </c>
      <c r="Q329">
        <v>7650</v>
      </c>
      <c r="R329">
        <v>0</v>
      </c>
      <c r="S329">
        <v>0</v>
      </c>
      <c r="T329" t="str">
        <f t="shared" si="55"/>
        <v>-</v>
      </c>
      <c r="U329" t="str">
        <f t="shared" si="56"/>
        <v>-</v>
      </c>
      <c r="V329" t="str">
        <f t="shared" si="57"/>
        <v>-</v>
      </c>
      <c r="W329" t="str">
        <f t="shared" si="58"/>
        <v>-</v>
      </c>
      <c r="X329" t="str">
        <f t="shared" si="59"/>
        <v>-</v>
      </c>
      <c r="Y329" t="str">
        <f t="shared" si="60"/>
        <v>-</v>
      </c>
      <c r="Z329" t="str">
        <f t="shared" si="61"/>
        <v>-</v>
      </c>
      <c r="AA329" t="str">
        <f t="shared" si="62"/>
        <v>-</v>
      </c>
      <c r="AB329" t="str">
        <f>IF(_xlfn.IFNA(VLOOKUP(P329,Set_Ref!$B$6:$B$1048576,1,FALSE),"")&lt;&gt;"","-",FALSE)</f>
        <v>-</v>
      </c>
      <c r="AC329" t="str">
        <f t="shared" si="63"/>
        <v>-</v>
      </c>
      <c r="AD329" t="str">
        <f t="shared" si="64"/>
        <v>-</v>
      </c>
      <c r="AE329" t="b">
        <f t="shared" si="65"/>
        <v>1</v>
      </c>
    </row>
    <row r="330" spans="1:31" x14ac:dyDescent="0.25">
      <c r="A330">
        <v>2</v>
      </c>
      <c r="B330">
        <v>11</v>
      </c>
      <c r="C330">
        <v>261</v>
      </c>
      <c r="D330" s="11" t="s">
        <v>149</v>
      </c>
      <c r="E330" t="s">
        <v>273</v>
      </c>
      <c r="F330" t="s">
        <v>183</v>
      </c>
      <c r="G330" s="11" t="s">
        <v>426</v>
      </c>
      <c r="H330">
        <v>10</v>
      </c>
      <c r="I330" s="11" t="s">
        <v>434</v>
      </c>
      <c r="J330" t="s">
        <v>435</v>
      </c>
      <c r="K330" t="s">
        <v>223</v>
      </c>
      <c r="L330" s="11" t="s">
        <v>39</v>
      </c>
      <c r="M330" s="11" t="s">
        <v>39</v>
      </c>
      <c r="N330" s="11" t="s">
        <v>39</v>
      </c>
      <c r="O330" s="11" t="s">
        <v>39</v>
      </c>
      <c r="P330" t="s">
        <v>9</v>
      </c>
      <c r="Q330">
        <v>7650</v>
      </c>
      <c r="R330">
        <v>0</v>
      </c>
      <c r="S330">
        <v>0</v>
      </c>
      <c r="T330" t="str">
        <f t="shared" si="55"/>
        <v>-</v>
      </c>
      <c r="U330" t="str">
        <f t="shared" si="56"/>
        <v>-</v>
      </c>
      <c r="V330" t="str">
        <f t="shared" si="57"/>
        <v>-</v>
      </c>
      <c r="W330" t="str">
        <f t="shared" si="58"/>
        <v>-</v>
      </c>
      <c r="X330" t="str">
        <f t="shared" si="59"/>
        <v>-</v>
      </c>
      <c r="Y330" t="str">
        <f t="shared" si="60"/>
        <v>-</v>
      </c>
      <c r="Z330" t="str">
        <f t="shared" si="61"/>
        <v>-</v>
      </c>
      <c r="AA330" t="str">
        <f t="shared" si="62"/>
        <v>-</v>
      </c>
      <c r="AB330" t="str">
        <f>IF(_xlfn.IFNA(VLOOKUP(P330,Set_Ref!$B$6:$B$1048576,1,FALSE),"")&lt;&gt;"","-",FALSE)</f>
        <v>-</v>
      </c>
      <c r="AC330" t="str">
        <f t="shared" si="63"/>
        <v>-</v>
      </c>
      <c r="AD330" t="str">
        <f t="shared" si="64"/>
        <v>-</v>
      </c>
      <c r="AE330" t="b">
        <f t="shared" si="65"/>
        <v>1</v>
      </c>
    </row>
    <row r="331" spans="1:31" x14ac:dyDescent="0.25">
      <c r="A331">
        <v>2</v>
      </c>
      <c r="B331">
        <v>12</v>
      </c>
      <c r="C331">
        <v>261</v>
      </c>
      <c r="D331" s="11" t="s">
        <v>149</v>
      </c>
      <c r="E331" t="s">
        <v>273</v>
      </c>
      <c r="F331" t="s">
        <v>183</v>
      </c>
      <c r="G331" s="11" t="s">
        <v>426</v>
      </c>
      <c r="H331">
        <v>10</v>
      </c>
      <c r="I331" s="11" t="s">
        <v>434</v>
      </c>
      <c r="J331" t="s">
        <v>435</v>
      </c>
      <c r="K331" t="s">
        <v>223</v>
      </c>
      <c r="L331" s="11" t="s">
        <v>39</v>
      </c>
      <c r="M331" s="11" t="s">
        <v>39</v>
      </c>
      <c r="N331" s="11" t="s">
        <v>39</v>
      </c>
      <c r="O331" s="11" t="s">
        <v>39</v>
      </c>
      <c r="P331" t="s">
        <v>9</v>
      </c>
      <c r="Q331">
        <v>7650</v>
      </c>
      <c r="R331">
        <v>0</v>
      </c>
      <c r="S331">
        <v>0</v>
      </c>
      <c r="T331" t="str">
        <f t="shared" si="55"/>
        <v>-</v>
      </c>
      <c r="U331" t="str">
        <f t="shared" si="56"/>
        <v>-</v>
      </c>
      <c r="V331" t="str">
        <f t="shared" si="57"/>
        <v>-</v>
      </c>
      <c r="W331" t="str">
        <f t="shared" si="58"/>
        <v>-</v>
      </c>
      <c r="X331" t="str">
        <f t="shared" si="59"/>
        <v>-</v>
      </c>
      <c r="Y331" t="str">
        <f t="shared" si="60"/>
        <v>-</v>
      </c>
      <c r="Z331" t="str">
        <f t="shared" si="61"/>
        <v>-</v>
      </c>
      <c r="AA331" t="str">
        <f t="shared" si="62"/>
        <v>-</v>
      </c>
      <c r="AB331" t="str">
        <f>IF(_xlfn.IFNA(VLOOKUP(P331,Set_Ref!$B$6:$B$1048576,1,FALSE),"")&lt;&gt;"","-",FALSE)</f>
        <v>-</v>
      </c>
      <c r="AC331" t="str">
        <f t="shared" si="63"/>
        <v>-</v>
      </c>
      <c r="AD331" t="str">
        <f t="shared" si="64"/>
        <v>-</v>
      </c>
      <c r="AE331" t="b">
        <f t="shared" si="65"/>
        <v>1</v>
      </c>
    </row>
    <row r="332" spans="1:31" x14ac:dyDescent="0.25">
      <c r="A332">
        <v>2</v>
      </c>
      <c r="B332">
        <v>13</v>
      </c>
      <c r="C332">
        <v>261</v>
      </c>
      <c r="D332" s="11" t="s">
        <v>149</v>
      </c>
      <c r="E332" t="s">
        <v>273</v>
      </c>
      <c r="F332" t="s">
        <v>183</v>
      </c>
      <c r="G332" s="11" t="s">
        <v>426</v>
      </c>
      <c r="H332">
        <v>10</v>
      </c>
      <c r="I332" s="11" t="s">
        <v>434</v>
      </c>
      <c r="J332" t="s">
        <v>435</v>
      </c>
      <c r="K332" t="s">
        <v>223</v>
      </c>
      <c r="L332" s="11" t="s">
        <v>39</v>
      </c>
      <c r="M332" s="11" t="s">
        <v>39</v>
      </c>
      <c r="N332" s="11" t="s">
        <v>39</v>
      </c>
      <c r="O332" s="11" t="s">
        <v>39</v>
      </c>
      <c r="P332" t="s">
        <v>9</v>
      </c>
      <c r="Q332">
        <v>7650</v>
      </c>
      <c r="R332">
        <v>0</v>
      </c>
      <c r="S332">
        <v>0</v>
      </c>
      <c r="T332" t="str">
        <f t="shared" si="55"/>
        <v>-</v>
      </c>
      <c r="U332" t="str">
        <f t="shared" si="56"/>
        <v>-</v>
      </c>
      <c r="V332" t="str">
        <f t="shared" si="57"/>
        <v>-</v>
      </c>
      <c r="W332" t="str">
        <f t="shared" si="58"/>
        <v>-</v>
      </c>
      <c r="X332" t="str">
        <f t="shared" si="59"/>
        <v>-</v>
      </c>
      <c r="Y332" t="str">
        <f t="shared" si="60"/>
        <v>-</v>
      </c>
      <c r="Z332" t="str">
        <f t="shared" si="61"/>
        <v>-</v>
      </c>
      <c r="AA332" t="str">
        <f t="shared" si="62"/>
        <v>-</v>
      </c>
      <c r="AB332" t="str">
        <f>IF(_xlfn.IFNA(VLOOKUP(P332,Set_Ref!$B$6:$B$1048576,1,FALSE),"")&lt;&gt;"","-",FALSE)</f>
        <v>-</v>
      </c>
      <c r="AC332" t="str">
        <f t="shared" si="63"/>
        <v>-</v>
      </c>
      <c r="AD332" t="str">
        <f t="shared" si="64"/>
        <v>-</v>
      </c>
      <c r="AE332" t="b">
        <f t="shared" si="65"/>
        <v>1</v>
      </c>
    </row>
    <row r="333" spans="1:31" x14ac:dyDescent="0.25">
      <c r="A333">
        <v>2</v>
      </c>
      <c r="B333">
        <v>14</v>
      </c>
      <c r="C333">
        <v>261</v>
      </c>
      <c r="D333" s="11" t="s">
        <v>149</v>
      </c>
      <c r="E333" t="s">
        <v>273</v>
      </c>
      <c r="F333" t="s">
        <v>183</v>
      </c>
      <c r="G333" s="11" t="s">
        <v>426</v>
      </c>
      <c r="H333">
        <v>11</v>
      </c>
      <c r="I333" s="11" t="s">
        <v>427</v>
      </c>
      <c r="J333" t="s">
        <v>282</v>
      </c>
      <c r="K333" t="s">
        <v>224</v>
      </c>
      <c r="L333" s="11" t="s">
        <v>39</v>
      </c>
      <c r="M333" s="11" t="s">
        <v>39</v>
      </c>
      <c r="N333" s="11" t="s">
        <v>39</v>
      </c>
      <c r="O333" s="11" t="s">
        <v>39</v>
      </c>
      <c r="P333" t="s">
        <v>9</v>
      </c>
      <c r="Q333">
        <v>500</v>
      </c>
      <c r="R333">
        <v>0</v>
      </c>
      <c r="S333">
        <v>0</v>
      </c>
      <c r="T333" t="str">
        <f t="shared" si="55"/>
        <v>-</v>
      </c>
      <c r="U333" t="str">
        <f t="shared" si="56"/>
        <v>-</v>
      </c>
      <c r="V333" t="str">
        <f t="shared" si="57"/>
        <v>-</v>
      </c>
      <c r="W333" t="str">
        <f t="shared" si="58"/>
        <v>-</v>
      </c>
      <c r="X333" t="str">
        <f t="shared" si="59"/>
        <v>-</v>
      </c>
      <c r="Y333" t="str">
        <f t="shared" si="60"/>
        <v>-</v>
      </c>
      <c r="Z333" t="str">
        <f t="shared" si="61"/>
        <v>-</v>
      </c>
      <c r="AA333" t="str">
        <f t="shared" si="62"/>
        <v>-</v>
      </c>
      <c r="AB333" t="str">
        <f>IF(_xlfn.IFNA(VLOOKUP(P333,Set_Ref!$B$6:$B$1048576,1,FALSE),"")&lt;&gt;"","-",FALSE)</f>
        <v>-</v>
      </c>
      <c r="AC333" t="str">
        <f t="shared" si="63"/>
        <v>-</v>
      </c>
      <c r="AD333" t="str">
        <f t="shared" si="64"/>
        <v>-</v>
      </c>
      <c r="AE333" t="b">
        <f t="shared" si="65"/>
        <v>1</v>
      </c>
    </row>
    <row r="334" spans="1:31" x14ac:dyDescent="0.25">
      <c r="A334">
        <v>2</v>
      </c>
      <c r="B334">
        <v>15</v>
      </c>
      <c r="C334">
        <v>261</v>
      </c>
      <c r="D334" s="11" t="s">
        <v>149</v>
      </c>
      <c r="E334" t="s">
        <v>273</v>
      </c>
      <c r="F334" t="s">
        <v>183</v>
      </c>
      <c r="G334" s="11" t="s">
        <v>426</v>
      </c>
      <c r="H334">
        <v>12</v>
      </c>
      <c r="I334" s="11" t="s">
        <v>427</v>
      </c>
      <c r="J334" t="s">
        <v>283</v>
      </c>
      <c r="K334" t="s">
        <v>225</v>
      </c>
      <c r="L334" s="11" t="s">
        <v>39</v>
      </c>
      <c r="M334" s="11" t="s">
        <v>39</v>
      </c>
      <c r="N334" s="11" t="s">
        <v>39</v>
      </c>
      <c r="O334" s="11" t="s">
        <v>39</v>
      </c>
      <c r="P334" t="s">
        <v>9</v>
      </c>
      <c r="Q334">
        <v>140</v>
      </c>
      <c r="R334">
        <v>0</v>
      </c>
      <c r="S334">
        <v>0</v>
      </c>
      <c r="T334" t="str">
        <f t="shared" si="55"/>
        <v>-</v>
      </c>
      <c r="U334" t="str">
        <f t="shared" si="56"/>
        <v>-</v>
      </c>
      <c r="V334" t="str">
        <f t="shared" si="57"/>
        <v>-</v>
      </c>
      <c r="W334" t="str">
        <f t="shared" si="58"/>
        <v>-</v>
      </c>
      <c r="X334" t="str">
        <f t="shared" si="59"/>
        <v>-</v>
      </c>
      <c r="Y334" t="str">
        <f t="shared" si="60"/>
        <v>-</v>
      </c>
      <c r="Z334" t="str">
        <f t="shared" si="61"/>
        <v>-</v>
      </c>
      <c r="AA334" t="str">
        <f t="shared" si="62"/>
        <v>-</v>
      </c>
      <c r="AB334" t="str">
        <f>IF(_xlfn.IFNA(VLOOKUP(P334,Set_Ref!$B$6:$B$1048576,1,FALSE),"")&lt;&gt;"","-",FALSE)</f>
        <v>-</v>
      </c>
      <c r="AC334" t="str">
        <f t="shared" si="63"/>
        <v>-</v>
      </c>
      <c r="AD334" t="str">
        <f t="shared" si="64"/>
        <v>-</v>
      </c>
      <c r="AE334" t="b">
        <f t="shared" si="65"/>
        <v>1</v>
      </c>
    </row>
    <row r="335" spans="1:31" x14ac:dyDescent="0.25">
      <c r="A335">
        <v>2</v>
      </c>
      <c r="B335">
        <v>16</v>
      </c>
      <c r="C335">
        <v>261</v>
      </c>
      <c r="D335" s="11" t="s">
        <v>149</v>
      </c>
      <c r="E335" t="s">
        <v>273</v>
      </c>
      <c r="F335" t="s">
        <v>183</v>
      </c>
      <c r="G335" s="11" t="s">
        <v>426</v>
      </c>
      <c r="H335">
        <v>8</v>
      </c>
      <c r="I335" s="11" t="s">
        <v>431</v>
      </c>
      <c r="J335" t="s">
        <v>432</v>
      </c>
      <c r="K335" t="s">
        <v>221</v>
      </c>
      <c r="L335" s="11" t="s">
        <v>39</v>
      </c>
      <c r="M335" s="11" t="s">
        <v>39</v>
      </c>
      <c r="N335" s="11" t="s">
        <v>39</v>
      </c>
      <c r="O335" s="11" t="s">
        <v>39</v>
      </c>
      <c r="P335" t="s">
        <v>9</v>
      </c>
      <c r="Q335">
        <v>595</v>
      </c>
      <c r="R335">
        <v>0</v>
      </c>
      <c r="S335">
        <v>0</v>
      </c>
      <c r="T335" t="str">
        <f t="shared" si="55"/>
        <v>-</v>
      </c>
      <c r="U335" t="str">
        <f t="shared" si="56"/>
        <v>-</v>
      </c>
      <c r="V335" t="str">
        <f t="shared" si="57"/>
        <v>-</v>
      </c>
      <c r="W335" t="str">
        <f t="shared" si="58"/>
        <v>-</v>
      </c>
      <c r="X335" t="str">
        <f t="shared" si="59"/>
        <v>-</v>
      </c>
      <c r="Y335" t="str">
        <f t="shared" si="60"/>
        <v>-</v>
      </c>
      <c r="Z335" t="str">
        <f t="shared" si="61"/>
        <v>-</v>
      </c>
      <c r="AA335" t="str">
        <f t="shared" si="62"/>
        <v>-</v>
      </c>
      <c r="AB335" t="str">
        <f>IF(_xlfn.IFNA(VLOOKUP(P335,Set_Ref!$B$6:$B$1048576,1,FALSE),"")&lt;&gt;"","-",FALSE)</f>
        <v>-</v>
      </c>
      <c r="AC335" t="str">
        <f t="shared" si="63"/>
        <v>-</v>
      </c>
      <c r="AD335" t="str">
        <f t="shared" si="64"/>
        <v>-</v>
      </c>
      <c r="AE335" t="b">
        <f t="shared" si="65"/>
        <v>1</v>
      </c>
    </row>
    <row r="336" spans="1:31" x14ac:dyDescent="0.25">
      <c r="A336">
        <v>2</v>
      </c>
      <c r="B336">
        <v>17</v>
      </c>
      <c r="C336">
        <v>261</v>
      </c>
      <c r="D336" s="11" t="s">
        <v>149</v>
      </c>
      <c r="E336" t="s">
        <v>273</v>
      </c>
      <c r="F336" t="s">
        <v>183</v>
      </c>
      <c r="G336" s="11" t="s">
        <v>426</v>
      </c>
      <c r="H336">
        <v>13</v>
      </c>
      <c r="I336" s="11" t="s">
        <v>427</v>
      </c>
      <c r="J336" t="s">
        <v>285</v>
      </c>
      <c r="K336" t="s">
        <v>226</v>
      </c>
      <c r="L336" s="11" t="s">
        <v>39</v>
      </c>
      <c r="M336" s="11" t="s">
        <v>39</v>
      </c>
      <c r="N336" s="11" t="s">
        <v>39</v>
      </c>
      <c r="O336" s="11" t="s">
        <v>39</v>
      </c>
      <c r="P336" t="s">
        <v>9</v>
      </c>
      <c r="Q336">
        <v>200</v>
      </c>
      <c r="R336">
        <v>0</v>
      </c>
      <c r="S336">
        <v>0</v>
      </c>
      <c r="T336" t="str">
        <f t="shared" si="55"/>
        <v>-</v>
      </c>
      <c r="U336" t="str">
        <f t="shared" si="56"/>
        <v>-</v>
      </c>
      <c r="V336" t="str">
        <f t="shared" si="57"/>
        <v>-</v>
      </c>
      <c r="W336" t="str">
        <f t="shared" si="58"/>
        <v>-</v>
      </c>
      <c r="X336" t="str">
        <f t="shared" si="59"/>
        <v>-</v>
      </c>
      <c r="Y336" t="str">
        <f t="shared" si="60"/>
        <v>-</v>
      </c>
      <c r="Z336" t="str">
        <f t="shared" si="61"/>
        <v>-</v>
      </c>
      <c r="AA336" t="str">
        <f t="shared" si="62"/>
        <v>-</v>
      </c>
      <c r="AB336" t="str">
        <f>IF(_xlfn.IFNA(VLOOKUP(P336,Set_Ref!$B$6:$B$1048576,1,FALSE),"")&lt;&gt;"","-",FALSE)</f>
        <v>-</v>
      </c>
      <c r="AC336" t="str">
        <f t="shared" si="63"/>
        <v>-</v>
      </c>
      <c r="AD336" t="str">
        <f t="shared" si="64"/>
        <v>-</v>
      </c>
      <c r="AE336" t="b">
        <f t="shared" si="65"/>
        <v>1</v>
      </c>
    </row>
    <row r="337" spans="1:31" x14ac:dyDescent="0.25">
      <c r="A337">
        <v>2</v>
      </c>
      <c r="B337">
        <v>18</v>
      </c>
      <c r="C337">
        <v>261</v>
      </c>
      <c r="D337" s="11" t="s">
        <v>149</v>
      </c>
      <c r="E337" t="s">
        <v>273</v>
      </c>
      <c r="F337" t="s">
        <v>183</v>
      </c>
      <c r="G337" s="11" t="s">
        <v>426</v>
      </c>
      <c r="H337">
        <v>14</v>
      </c>
      <c r="I337" s="11" t="s">
        <v>175</v>
      </c>
      <c r="J337" t="s">
        <v>286</v>
      </c>
      <c r="K337" t="s">
        <v>227</v>
      </c>
      <c r="L337" s="11" t="s">
        <v>39</v>
      </c>
      <c r="M337" s="11" t="s">
        <v>39</v>
      </c>
      <c r="N337" s="11" t="s">
        <v>39</v>
      </c>
      <c r="O337" s="11" t="s">
        <v>39</v>
      </c>
      <c r="P337" t="s">
        <v>9</v>
      </c>
      <c r="Q337">
        <v>200</v>
      </c>
      <c r="R337">
        <v>0</v>
      </c>
      <c r="S337">
        <v>0</v>
      </c>
      <c r="T337" t="str">
        <f t="shared" si="55"/>
        <v>-</v>
      </c>
      <c r="U337" t="str">
        <f t="shared" si="56"/>
        <v>-</v>
      </c>
      <c r="V337" t="str">
        <f t="shared" si="57"/>
        <v>-</v>
      </c>
      <c r="W337" t="str">
        <f t="shared" si="58"/>
        <v>-</v>
      </c>
      <c r="X337" t="str">
        <f t="shared" si="59"/>
        <v>-</v>
      </c>
      <c r="Y337" t="str">
        <f t="shared" si="60"/>
        <v>-</v>
      </c>
      <c r="Z337" t="str">
        <f t="shared" si="61"/>
        <v>-</v>
      </c>
      <c r="AA337" t="str">
        <f t="shared" si="62"/>
        <v>-</v>
      </c>
      <c r="AB337" t="str">
        <f>IF(_xlfn.IFNA(VLOOKUP(P337,Set_Ref!$B$6:$B$1048576,1,FALSE),"")&lt;&gt;"","-",FALSE)</f>
        <v>-</v>
      </c>
      <c r="AC337" t="str">
        <f t="shared" si="63"/>
        <v>-</v>
      </c>
      <c r="AD337" t="str">
        <f t="shared" si="64"/>
        <v>-</v>
      </c>
      <c r="AE337" t="b">
        <f t="shared" si="65"/>
        <v>1</v>
      </c>
    </row>
    <row r="338" spans="1:31" x14ac:dyDescent="0.25">
      <c r="A338">
        <v>2</v>
      </c>
      <c r="B338">
        <v>19</v>
      </c>
      <c r="C338">
        <v>261</v>
      </c>
      <c r="D338" s="11" t="s">
        <v>149</v>
      </c>
      <c r="E338" t="s">
        <v>273</v>
      </c>
      <c r="F338" t="s">
        <v>183</v>
      </c>
      <c r="G338" s="11" t="s">
        <v>426</v>
      </c>
      <c r="H338">
        <v>15</v>
      </c>
      <c r="I338" s="11" t="s">
        <v>175</v>
      </c>
      <c r="J338" t="s">
        <v>436</v>
      </c>
      <c r="K338" t="s">
        <v>228</v>
      </c>
      <c r="L338" s="11" t="s">
        <v>39</v>
      </c>
      <c r="M338" s="11" t="s">
        <v>39</v>
      </c>
      <c r="N338" s="11" t="s">
        <v>39</v>
      </c>
      <c r="O338" s="11" t="s">
        <v>39</v>
      </c>
      <c r="P338" t="s">
        <v>9</v>
      </c>
      <c r="Q338">
        <v>200</v>
      </c>
      <c r="R338">
        <v>0</v>
      </c>
      <c r="S338">
        <v>0</v>
      </c>
      <c r="T338" t="str">
        <f t="shared" si="55"/>
        <v>-</v>
      </c>
      <c r="U338" t="str">
        <f t="shared" si="56"/>
        <v>-</v>
      </c>
      <c r="V338" t="str">
        <f t="shared" si="57"/>
        <v>-</v>
      </c>
      <c r="W338" t="str">
        <f t="shared" si="58"/>
        <v>-</v>
      </c>
      <c r="X338" t="str">
        <f t="shared" si="59"/>
        <v>-</v>
      </c>
      <c r="Y338" t="str">
        <f t="shared" si="60"/>
        <v>-</v>
      </c>
      <c r="Z338" t="str">
        <f t="shared" si="61"/>
        <v>-</v>
      </c>
      <c r="AA338" t="str">
        <f t="shared" si="62"/>
        <v>-</v>
      </c>
      <c r="AB338" t="str">
        <f>IF(_xlfn.IFNA(VLOOKUP(P338,Set_Ref!$B$6:$B$1048576,1,FALSE),"")&lt;&gt;"","-",FALSE)</f>
        <v>-</v>
      </c>
      <c r="AC338" t="str">
        <f t="shared" si="63"/>
        <v>-</v>
      </c>
      <c r="AD338" t="str">
        <f t="shared" si="64"/>
        <v>-</v>
      </c>
      <c r="AE338" t="b">
        <f t="shared" si="65"/>
        <v>1</v>
      </c>
    </row>
    <row r="339" spans="1:31" x14ac:dyDescent="0.25">
      <c r="A339">
        <v>2</v>
      </c>
      <c r="B339">
        <v>20</v>
      </c>
      <c r="C339">
        <v>261</v>
      </c>
      <c r="D339" s="11" t="s">
        <v>149</v>
      </c>
      <c r="E339" t="s">
        <v>273</v>
      </c>
      <c r="F339" t="s">
        <v>183</v>
      </c>
      <c r="G339" s="11" t="s">
        <v>426</v>
      </c>
      <c r="H339">
        <v>16</v>
      </c>
      <c r="I339" s="11" t="s">
        <v>175</v>
      </c>
      <c r="J339" t="s">
        <v>437</v>
      </c>
      <c r="K339" t="s">
        <v>229</v>
      </c>
      <c r="L339" s="11" t="s">
        <v>39</v>
      </c>
      <c r="M339" s="11" t="s">
        <v>39</v>
      </c>
      <c r="N339" s="11" t="s">
        <v>39</v>
      </c>
      <c r="O339" s="11" t="s">
        <v>39</v>
      </c>
      <c r="P339" t="s">
        <v>9</v>
      </c>
      <c r="Q339">
        <v>20</v>
      </c>
      <c r="R339">
        <v>0</v>
      </c>
      <c r="S339">
        <v>0</v>
      </c>
      <c r="T339" t="str">
        <f t="shared" si="55"/>
        <v>-</v>
      </c>
      <c r="U339" t="str">
        <f t="shared" si="56"/>
        <v>-</v>
      </c>
      <c r="V339" t="str">
        <f t="shared" si="57"/>
        <v>-</v>
      </c>
      <c r="W339" t="str">
        <f t="shared" si="58"/>
        <v>-</v>
      </c>
      <c r="X339" t="str">
        <f t="shared" si="59"/>
        <v>-</v>
      </c>
      <c r="Y339" t="str">
        <f t="shared" si="60"/>
        <v>-</v>
      </c>
      <c r="Z339" t="str">
        <f t="shared" si="61"/>
        <v>-</v>
      </c>
      <c r="AA339" t="str">
        <f t="shared" si="62"/>
        <v>-</v>
      </c>
      <c r="AB339" t="str">
        <f>IF(_xlfn.IFNA(VLOOKUP(P339,Set_Ref!$B$6:$B$1048576,1,FALSE),"")&lt;&gt;"","-",FALSE)</f>
        <v>-</v>
      </c>
      <c r="AC339" t="str">
        <f t="shared" si="63"/>
        <v>-</v>
      </c>
      <c r="AD339" t="str">
        <f t="shared" si="64"/>
        <v>-</v>
      </c>
      <c r="AE339" t="b">
        <f t="shared" si="65"/>
        <v>1</v>
      </c>
    </row>
    <row r="340" spans="1:31" x14ac:dyDescent="0.25">
      <c r="A340">
        <v>2</v>
      </c>
      <c r="B340">
        <v>21</v>
      </c>
      <c r="C340">
        <v>261</v>
      </c>
      <c r="D340" s="11" t="s">
        <v>149</v>
      </c>
      <c r="E340" t="s">
        <v>273</v>
      </c>
      <c r="F340" t="s">
        <v>183</v>
      </c>
      <c r="G340" s="11" t="s">
        <v>426</v>
      </c>
      <c r="H340">
        <v>16</v>
      </c>
      <c r="I340" s="11" t="s">
        <v>175</v>
      </c>
      <c r="J340" t="s">
        <v>437</v>
      </c>
      <c r="K340" t="s">
        <v>229</v>
      </c>
      <c r="L340" s="11" t="s">
        <v>39</v>
      </c>
      <c r="M340" s="11" t="s">
        <v>39</v>
      </c>
      <c r="N340" s="11" t="s">
        <v>39</v>
      </c>
      <c r="O340" s="11" t="s">
        <v>39</v>
      </c>
      <c r="P340" t="s">
        <v>9</v>
      </c>
      <c r="Q340">
        <v>40</v>
      </c>
      <c r="R340">
        <v>0</v>
      </c>
      <c r="S340">
        <v>0</v>
      </c>
      <c r="T340" t="str">
        <f t="shared" si="55"/>
        <v>-</v>
      </c>
      <c r="U340" t="str">
        <f t="shared" si="56"/>
        <v>-</v>
      </c>
      <c r="V340" t="str">
        <f t="shared" si="57"/>
        <v>-</v>
      </c>
      <c r="W340" t="str">
        <f t="shared" si="58"/>
        <v>-</v>
      </c>
      <c r="X340" t="str">
        <f t="shared" si="59"/>
        <v>-</v>
      </c>
      <c r="Y340" t="str">
        <f t="shared" si="60"/>
        <v>-</v>
      </c>
      <c r="Z340" t="str">
        <f t="shared" si="61"/>
        <v>-</v>
      </c>
      <c r="AA340" t="str">
        <f t="shared" si="62"/>
        <v>-</v>
      </c>
      <c r="AB340" t="str">
        <f>IF(_xlfn.IFNA(VLOOKUP(P340,Set_Ref!$B$6:$B$1048576,1,FALSE),"")&lt;&gt;"","-",FALSE)</f>
        <v>-</v>
      </c>
      <c r="AC340" t="str">
        <f t="shared" si="63"/>
        <v>-</v>
      </c>
      <c r="AD340" t="str">
        <f t="shared" si="64"/>
        <v>-</v>
      </c>
      <c r="AE340" t="b">
        <f t="shared" si="65"/>
        <v>1</v>
      </c>
    </row>
    <row r="341" spans="1:31" x14ac:dyDescent="0.25">
      <c r="A341">
        <v>2</v>
      </c>
      <c r="B341">
        <v>22</v>
      </c>
      <c r="C341">
        <v>261</v>
      </c>
      <c r="D341" s="11" t="s">
        <v>149</v>
      </c>
      <c r="E341" t="s">
        <v>273</v>
      </c>
      <c r="F341" t="s">
        <v>183</v>
      </c>
      <c r="G341" s="11" t="s">
        <v>426</v>
      </c>
      <c r="H341">
        <v>16</v>
      </c>
      <c r="I341" s="11" t="s">
        <v>175</v>
      </c>
      <c r="J341" t="s">
        <v>437</v>
      </c>
      <c r="K341" t="s">
        <v>229</v>
      </c>
      <c r="L341" s="11" t="s">
        <v>39</v>
      </c>
      <c r="M341" s="11" t="s">
        <v>39</v>
      </c>
      <c r="N341" s="11" t="s">
        <v>39</v>
      </c>
      <c r="O341" s="11" t="s">
        <v>39</v>
      </c>
      <c r="P341" t="s">
        <v>9</v>
      </c>
      <c r="Q341">
        <v>70</v>
      </c>
      <c r="R341">
        <v>0</v>
      </c>
      <c r="S341">
        <v>0</v>
      </c>
      <c r="T341" t="str">
        <f t="shared" si="55"/>
        <v>-</v>
      </c>
      <c r="U341" t="str">
        <f t="shared" si="56"/>
        <v>-</v>
      </c>
      <c r="V341" t="str">
        <f t="shared" si="57"/>
        <v>-</v>
      </c>
      <c r="W341" t="str">
        <f t="shared" si="58"/>
        <v>-</v>
      </c>
      <c r="X341" t="str">
        <f t="shared" si="59"/>
        <v>-</v>
      </c>
      <c r="Y341" t="str">
        <f t="shared" si="60"/>
        <v>-</v>
      </c>
      <c r="Z341" t="str">
        <f t="shared" si="61"/>
        <v>-</v>
      </c>
      <c r="AA341" t="str">
        <f t="shared" si="62"/>
        <v>-</v>
      </c>
      <c r="AB341" t="str">
        <f>IF(_xlfn.IFNA(VLOOKUP(P341,Set_Ref!$B$6:$B$1048576,1,FALSE),"")&lt;&gt;"","-",FALSE)</f>
        <v>-</v>
      </c>
      <c r="AC341" t="str">
        <f t="shared" si="63"/>
        <v>-</v>
      </c>
      <c r="AD341" t="str">
        <f t="shared" si="64"/>
        <v>-</v>
      </c>
      <c r="AE341" t="b">
        <f t="shared" si="65"/>
        <v>1</v>
      </c>
    </row>
    <row r="342" spans="1:31" x14ac:dyDescent="0.25">
      <c r="A342">
        <v>2</v>
      </c>
      <c r="B342">
        <v>23</v>
      </c>
      <c r="C342">
        <v>261</v>
      </c>
      <c r="D342" s="11" t="s">
        <v>149</v>
      </c>
      <c r="E342" t="s">
        <v>273</v>
      </c>
      <c r="F342" t="s">
        <v>183</v>
      </c>
      <c r="G342" s="11" t="s">
        <v>426</v>
      </c>
      <c r="H342">
        <v>16</v>
      </c>
      <c r="I342" s="11" t="s">
        <v>175</v>
      </c>
      <c r="J342" t="s">
        <v>437</v>
      </c>
      <c r="K342" t="s">
        <v>229</v>
      </c>
      <c r="L342" s="11" t="s">
        <v>39</v>
      </c>
      <c r="M342" s="11" t="s">
        <v>39</v>
      </c>
      <c r="N342" s="11" t="s">
        <v>39</v>
      </c>
      <c r="O342" s="11" t="s">
        <v>39</v>
      </c>
      <c r="P342" t="s">
        <v>9</v>
      </c>
      <c r="Q342">
        <v>50</v>
      </c>
      <c r="R342">
        <v>0</v>
      </c>
      <c r="S342">
        <v>0</v>
      </c>
      <c r="T342" t="str">
        <f t="shared" si="55"/>
        <v>-</v>
      </c>
      <c r="U342" t="str">
        <f t="shared" si="56"/>
        <v>-</v>
      </c>
      <c r="V342" t="str">
        <f t="shared" si="57"/>
        <v>-</v>
      </c>
      <c r="W342" t="str">
        <f t="shared" si="58"/>
        <v>-</v>
      </c>
      <c r="X342" t="str">
        <f t="shared" si="59"/>
        <v>-</v>
      </c>
      <c r="Y342" t="str">
        <f t="shared" si="60"/>
        <v>-</v>
      </c>
      <c r="Z342" t="str">
        <f t="shared" si="61"/>
        <v>-</v>
      </c>
      <c r="AA342" t="str">
        <f t="shared" si="62"/>
        <v>-</v>
      </c>
      <c r="AB342" t="str">
        <f>IF(_xlfn.IFNA(VLOOKUP(P342,Set_Ref!$B$6:$B$1048576,1,FALSE),"")&lt;&gt;"","-",FALSE)</f>
        <v>-</v>
      </c>
      <c r="AC342" t="str">
        <f t="shared" si="63"/>
        <v>-</v>
      </c>
      <c r="AD342" t="str">
        <f t="shared" si="64"/>
        <v>-</v>
      </c>
      <c r="AE342" t="b">
        <f t="shared" si="65"/>
        <v>1</v>
      </c>
    </row>
    <row r="343" spans="1:31" x14ac:dyDescent="0.25">
      <c r="A343">
        <v>2</v>
      </c>
      <c r="B343">
        <v>24</v>
      </c>
      <c r="C343">
        <v>261</v>
      </c>
      <c r="D343" s="11" t="s">
        <v>149</v>
      </c>
      <c r="E343" t="s">
        <v>273</v>
      </c>
      <c r="F343" t="s">
        <v>183</v>
      </c>
      <c r="G343" s="11" t="s">
        <v>426</v>
      </c>
      <c r="H343">
        <v>16</v>
      </c>
      <c r="I343" s="11" t="s">
        <v>175</v>
      </c>
      <c r="J343" t="s">
        <v>437</v>
      </c>
      <c r="K343" t="s">
        <v>229</v>
      </c>
      <c r="L343" s="11" t="s">
        <v>39</v>
      </c>
      <c r="M343" s="11" t="s">
        <v>39</v>
      </c>
      <c r="N343" s="11" t="s">
        <v>39</v>
      </c>
      <c r="O343" s="11" t="s">
        <v>39</v>
      </c>
      <c r="P343" t="s">
        <v>9</v>
      </c>
      <c r="Q343">
        <v>10</v>
      </c>
      <c r="R343">
        <v>0</v>
      </c>
      <c r="S343">
        <v>0</v>
      </c>
      <c r="T343" t="str">
        <f t="shared" si="55"/>
        <v>-</v>
      </c>
      <c r="U343" t="str">
        <f t="shared" si="56"/>
        <v>-</v>
      </c>
      <c r="V343" t="str">
        <f t="shared" si="57"/>
        <v>-</v>
      </c>
      <c r="W343" t="str">
        <f t="shared" si="58"/>
        <v>-</v>
      </c>
      <c r="X343" t="str">
        <f t="shared" si="59"/>
        <v>-</v>
      </c>
      <c r="Y343" t="str">
        <f t="shared" si="60"/>
        <v>-</v>
      </c>
      <c r="Z343" t="str">
        <f t="shared" si="61"/>
        <v>-</v>
      </c>
      <c r="AA343" t="str">
        <f t="shared" si="62"/>
        <v>-</v>
      </c>
      <c r="AB343" t="str">
        <f>IF(_xlfn.IFNA(VLOOKUP(P343,Set_Ref!$B$6:$B$1048576,1,FALSE),"")&lt;&gt;"","-",FALSE)</f>
        <v>-</v>
      </c>
      <c r="AC343" t="str">
        <f t="shared" si="63"/>
        <v>-</v>
      </c>
      <c r="AD343" t="str">
        <f t="shared" si="64"/>
        <v>-</v>
      </c>
      <c r="AE343" t="b">
        <f t="shared" si="65"/>
        <v>1</v>
      </c>
    </row>
    <row r="344" spans="1:31" x14ac:dyDescent="0.25">
      <c r="A344">
        <v>2</v>
      </c>
      <c r="B344">
        <v>25</v>
      </c>
      <c r="C344">
        <v>261</v>
      </c>
      <c r="D344" s="11" t="s">
        <v>149</v>
      </c>
      <c r="E344" t="s">
        <v>273</v>
      </c>
      <c r="F344" t="s">
        <v>183</v>
      </c>
      <c r="G344" s="11" t="s">
        <v>426</v>
      </c>
      <c r="H344">
        <v>16</v>
      </c>
      <c r="I344" s="11" t="s">
        <v>175</v>
      </c>
      <c r="J344" t="s">
        <v>437</v>
      </c>
      <c r="K344" t="s">
        <v>229</v>
      </c>
      <c r="L344" s="11" t="s">
        <v>39</v>
      </c>
      <c r="M344" s="11" t="s">
        <v>39</v>
      </c>
      <c r="N344" s="11" t="s">
        <v>39</v>
      </c>
      <c r="O344" s="11" t="s">
        <v>39</v>
      </c>
      <c r="P344" t="s">
        <v>9</v>
      </c>
      <c r="Q344">
        <v>10</v>
      </c>
      <c r="R344">
        <v>0</v>
      </c>
      <c r="S344">
        <v>0</v>
      </c>
      <c r="T344" t="str">
        <f t="shared" si="55"/>
        <v>-</v>
      </c>
      <c r="U344" t="str">
        <f t="shared" si="56"/>
        <v>-</v>
      </c>
      <c r="V344" t="str">
        <f t="shared" si="57"/>
        <v>-</v>
      </c>
      <c r="W344" t="str">
        <f t="shared" si="58"/>
        <v>-</v>
      </c>
      <c r="X344" t="str">
        <f t="shared" si="59"/>
        <v>-</v>
      </c>
      <c r="Y344" t="str">
        <f t="shared" si="60"/>
        <v>-</v>
      </c>
      <c r="Z344" t="str">
        <f t="shared" si="61"/>
        <v>-</v>
      </c>
      <c r="AA344" t="str">
        <f t="shared" si="62"/>
        <v>-</v>
      </c>
      <c r="AB344" t="str">
        <f>IF(_xlfn.IFNA(VLOOKUP(P344,Set_Ref!$B$6:$B$1048576,1,FALSE),"")&lt;&gt;"","-",FALSE)</f>
        <v>-</v>
      </c>
      <c r="AC344" t="str">
        <f t="shared" si="63"/>
        <v>-</v>
      </c>
      <c r="AD344" t="str">
        <f t="shared" si="64"/>
        <v>-</v>
      </c>
      <c r="AE344" t="b">
        <f t="shared" si="65"/>
        <v>1</v>
      </c>
    </row>
    <row r="345" spans="1:31" x14ac:dyDescent="0.25">
      <c r="A345">
        <v>2</v>
      </c>
      <c r="B345">
        <v>26</v>
      </c>
      <c r="C345">
        <v>261</v>
      </c>
      <c r="D345" s="11" t="s">
        <v>149</v>
      </c>
      <c r="E345" t="s">
        <v>273</v>
      </c>
      <c r="F345" t="s">
        <v>183</v>
      </c>
      <c r="G345" s="11" t="s">
        <v>426</v>
      </c>
      <c r="H345">
        <v>15</v>
      </c>
      <c r="I345" s="11" t="s">
        <v>175</v>
      </c>
      <c r="J345" t="s">
        <v>436</v>
      </c>
      <c r="K345" t="s">
        <v>228</v>
      </c>
      <c r="L345" s="11" t="s">
        <v>39</v>
      </c>
      <c r="M345" s="11" t="s">
        <v>39</v>
      </c>
      <c r="N345" s="11" t="s">
        <v>39</v>
      </c>
      <c r="O345" s="11" t="s">
        <v>39</v>
      </c>
      <c r="P345" t="s">
        <v>9</v>
      </c>
      <c r="Q345">
        <v>200</v>
      </c>
      <c r="R345">
        <v>0</v>
      </c>
      <c r="S345">
        <v>0</v>
      </c>
      <c r="T345" t="str">
        <f t="shared" si="55"/>
        <v>-</v>
      </c>
      <c r="U345" t="str">
        <f t="shared" si="56"/>
        <v>-</v>
      </c>
      <c r="V345" t="str">
        <f t="shared" si="57"/>
        <v>-</v>
      </c>
      <c r="W345" t="str">
        <f t="shared" si="58"/>
        <v>-</v>
      </c>
      <c r="X345" t="str">
        <f t="shared" si="59"/>
        <v>-</v>
      </c>
      <c r="Y345" t="str">
        <f t="shared" si="60"/>
        <v>-</v>
      </c>
      <c r="Z345" t="str">
        <f t="shared" si="61"/>
        <v>-</v>
      </c>
      <c r="AA345" t="str">
        <f t="shared" si="62"/>
        <v>-</v>
      </c>
      <c r="AB345" t="str">
        <f>IF(_xlfn.IFNA(VLOOKUP(P345,Set_Ref!$B$6:$B$1048576,1,FALSE),"")&lt;&gt;"","-",FALSE)</f>
        <v>-</v>
      </c>
      <c r="AC345" t="str">
        <f t="shared" si="63"/>
        <v>-</v>
      </c>
      <c r="AD345" t="str">
        <f t="shared" si="64"/>
        <v>-</v>
      </c>
      <c r="AE345" t="b">
        <f t="shared" si="65"/>
        <v>1</v>
      </c>
    </row>
    <row r="346" spans="1:31" x14ac:dyDescent="0.25">
      <c r="A346">
        <v>2</v>
      </c>
      <c r="B346">
        <v>27</v>
      </c>
      <c r="C346">
        <v>261</v>
      </c>
      <c r="D346" s="11" t="s">
        <v>149</v>
      </c>
      <c r="E346" t="s">
        <v>273</v>
      </c>
      <c r="F346" t="s">
        <v>183</v>
      </c>
      <c r="G346" s="11" t="s">
        <v>426</v>
      </c>
      <c r="H346">
        <v>17</v>
      </c>
      <c r="I346" s="11" t="s">
        <v>438</v>
      </c>
      <c r="J346" t="s">
        <v>439</v>
      </c>
      <c r="K346" t="s">
        <v>230</v>
      </c>
      <c r="L346" s="11" t="s">
        <v>39</v>
      </c>
      <c r="M346" s="11" t="s">
        <v>39</v>
      </c>
      <c r="N346" s="11" t="s">
        <v>39</v>
      </c>
      <c r="O346" s="11" t="s">
        <v>39</v>
      </c>
      <c r="P346" t="s">
        <v>11</v>
      </c>
      <c r="Q346">
        <v>222</v>
      </c>
      <c r="R346">
        <v>0</v>
      </c>
      <c r="S346">
        <v>0</v>
      </c>
      <c r="T346" t="str">
        <f t="shared" si="55"/>
        <v>-</v>
      </c>
      <c r="U346" t="str">
        <f t="shared" si="56"/>
        <v>-</v>
      </c>
      <c r="V346" t="str">
        <f t="shared" si="57"/>
        <v>-</v>
      </c>
      <c r="W346" t="str">
        <f t="shared" si="58"/>
        <v>-</v>
      </c>
      <c r="X346" t="str">
        <f t="shared" si="59"/>
        <v>-</v>
      </c>
      <c r="Y346" t="str">
        <f t="shared" si="60"/>
        <v>-</v>
      </c>
      <c r="Z346" t="str">
        <f t="shared" si="61"/>
        <v>-</v>
      </c>
      <c r="AA346" t="str">
        <f t="shared" si="62"/>
        <v>-</v>
      </c>
      <c r="AB346" t="str">
        <f>IF(_xlfn.IFNA(VLOOKUP(P346,Set_Ref!$B$6:$B$1048576,1,FALSE),"")&lt;&gt;"","-",FALSE)</f>
        <v>-</v>
      </c>
      <c r="AC346" t="str">
        <f t="shared" si="63"/>
        <v>-</v>
      </c>
      <c r="AD346" t="str">
        <f t="shared" si="64"/>
        <v>-</v>
      </c>
      <c r="AE346" t="b">
        <f t="shared" si="65"/>
        <v>1</v>
      </c>
    </row>
    <row r="347" spans="1:31" x14ac:dyDescent="0.25">
      <c r="A347">
        <v>2</v>
      </c>
      <c r="B347">
        <v>28</v>
      </c>
      <c r="C347">
        <v>261</v>
      </c>
      <c r="D347" s="11" t="s">
        <v>149</v>
      </c>
      <c r="E347" t="s">
        <v>273</v>
      </c>
      <c r="F347" t="s">
        <v>183</v>
      </c>
      <c r="G347" s="11" t="s">
        <v>426</v>
      </c>
      <c r="H347">
        <v>17</v>
      </c>
      <c r="I347" s="11" t="s">
        <v>438</v>
      </c>
      <c r="J347" t="s">
        <v>439</v>
      </c>
      <c r="K347" t="s">
        <v>230</v>
      </c>
      <c r="L347" s="11" t="s">
        <v>39</v>
      </c>
      <c r="M347" s="11" t="s">
        <v>39</v>
      </c>
      <c r="N347" s="11" t="s">
        <v>39</v>
      </c>
      <c r="O347" s="11" t="s">
        <v>39</v>
      </c>
      <c r="P347" t="s">
        <v>11</v>
      </c>
      <c r="Q347">
        <v>10</v>
      </c>
      <c r="R347">
        <v>0</v>
      </c>
      <c r="S347">
        <v>0</v>
      </c>
      <c r="T347" t="str">
        <f t="shared" si="55"/>
        <v>-</v>
      </c>
      <c r="U347" t="str">
        <f t="shared" si="56"/>
        <v>-</v>
      </c>
      <c r="V347" t="str">
        <f t="shared" si="57"/>
        <v>-</v>
      </c>
      <c r="W347" t="str">
        <f t="shared" si="58"/>
        <v>-</v>
      </c>
      <c r="X347" t="str">
        <f t="shared" si="59"/>
        <v>-</v>
      </c>
      <c r="Y347" t="str">
        <f t="shared" si="60"/>
        <v>-</v>
      </c>
      <c r="Z347" t="str">
        <f t="shared" si="61"/>
        <v>-</v>
      </c>
      <c r="AA347" t="str">
        <f t="shared" si="62"/>
        <v>-</v>
      </c>
      <c r="AB347" t="str">
        <f>IF(_xlfn.IFNA(VLOOKUP(P347,Set_Ref!$B$6:$B$1048576,1,FALSE),"")&lt;&gt;"","-",FALSE)</f>
        <v>-</v>
      </c>
      <c r="AC347" t="str">
        <f t="shared" si="63"/>
        <v>-</v>
      </c>
      <c r="AD347" t="str">
        <f t="shared" si="64"/>
        <v>-</v>
      </c>
      <c r="AE347" t="b">
        <f t="shared" si="65"/>
        <v>1</v>
      </c>
    </row>
    <row r="348" spans="1:31" x14ac:dyDescent="0.25">
      <c r="A348">
        <v>2</v>
      </c>
      <c r="B348">
        <v>29</v>
      </c>
      <c r="C348">
        <v>261</v>
      </c>
      <c r="D348" s="11" t="s">
        <v>149</v>
      </c>
      <c r="E348" t="s">
        <v>273</v>
      </c>
      <c r="F348" t="s">
        <v>183</v>
      </c>
      <c r="G348" s="11" t="s">
        <v>426</v>
      </c>
      <c r="H348">
        <v>18</v>
      </c>
      <c r="I348" s="11" t="s">
        <v>440</v>
      </c>
      <c r="J348" t="s">
        <v>441</v>
      </c>
      <c r="K348" t="s">
        <v>231</v>
      </c>
      <c r="L348" s="11" t="s">
        <v>39</v>
      </c>
      <c r="M348" s="11" t="s">
        <v>39</v>
      </c>
      <c r="N348" s="11" t="s">
        <v>39</v>
      </c>
      <c r="O348" s="11" t="s">
        <v>39</v>
      </c>
      <c r="P348" t="s">
        <v>10</v>
      </c>
      <c r="Q348">
        <v>329.9</v>
      </c>
      <c r="R348">
        <v>0</v>
      </c>
      <c r="S348">
        <v>0</v>
      </c>
      <c r="T348" t="str">
        <f t="shared" si="55"/>
        <v>-</v>
      </c>
      <c r="U348" t="str">
        <f t="shared" si="56"/>
        <v>-</v>
      </c>
      <c r="V348" t="str">
        <f t="shared" si="57"/>
        <v>-</v>
      </c>
      <c r="W348" t="str">
        <f t="shared" si="58"/>
        <v>-</v>
      </c>
      <c r="X348" t="str">
        <f t="shared" si="59"/>
        <v>-</v>
      </c>
      <c r="Y348" t="str">
        <f t="shared" si="60"/>
        <v>-</v>
      </c>
      <c r="Z348" t="str">
        <f t="shared" si="61"/>
        <v>-</v>
      </c>
      <c r="AA348" t="str">
        <f t="shared" si="62"/>
        <v>-</v>
      </c>
      <c r="AB348" t="str">
        <f>IF(_xlfn.IFNA(VLOOKUP(P348,Set_Ref!$B$6:$B$1048576,1,FALSE),"")&lt;&gt;"","-",FALSE)</f>
        <v>-</v>
      </c>
      <c r="AC348" t="str">
        <f t="shared" si="63"/>
        <v>-</v>
      </c>
      <c r="AD348" t="str">
        <f t="shared" si="64"/>
        <v>-</v>
      </c>
      <c r="AE348" t="b">
        <f t="shared" si="65"/>
        <v>1</v>
      </c>
    </row>
    <row r="349" spans="1:31" x14ac:dyDescent="0.25">
      <c r="A349">
        <v>2</v>
      </c>
      <c r="B349">
        <v>30</v>
      </c>
      <c r="C349">
        <v>261</v>
      </c>
      <c r="D349" s="11" t="s">
        <v>149</v>
      </c>
      <c r="E349" t="s">
        <v>273</v>
      </c>
      <c r="F349" t="s">
        <v>183</v>
      </c>
      <c r="G349" s="11" t="s">
        <v>426</v>
      </c>
      <c r="H349">
        <v>18</v>
      </c>
      <c r="I349" s="11" t="s">
        <v>440</v>
      </c>
      <c r="J349" t="s">
        <v>441</v>
      </c>
      <c r="K349" t="s">
        <v>231</v>
      </c>
      <c r="L349" s="11" t="s">
        <v>39</v>
      </c>
      <c r="M349" s="11" t="s">
        <v>39</v>
      </c>
      <c r="N349" s="11" t="s">
        <v>39</v>
      </c>
      <c r="O349" s="11" t="s">
        <v>39</v>
      </c>
      <c r="P349" t="s">
        <v>10</v>
      </c>
      <c r="Q349">
        <v>307</v>
      </c>
      <c r="R349">
        <v>0</v>
      </c>
      <c r="S349">
        <v>0</v>
      </c>
      <c r="T349" t="str">
        <f t="shared" si="55"/>
        <v>-</v>
      </c>
      <c r="U349" t="str">
        <f t="shared" si="56"/>
        <v>-</v>
      </c>
      <c r="V349" t="str">
        <f t="shared" si="57"/>
        <v>-</v>
      </c>
      <c r="W349" t="str">
        <f t="shared" si="58"/>
        <v>-</v>
      </c>
      <c r="X349" t="str">
        <f t="shared" si="59"/>
        <v>-</v>
      </c>
      <c r="Y349" t="str">
        <f t="shared" si="60"/>
        <v>-</v>
      </c>
      <c r="Z349" t="str">
        <f t="shared" si="61"/>
        <v>-</v>
      </c>
      <c r="AA349" t="str">
        <f t="shared" si="62"/>
        <v>-</v>
      </c>
      <c r="AB349" t="str">
        <f>IF(_xlfn.IFNA(VLOOKUP(P349,Set_Ref!$B$6:$B$1048576,1,FALSE),"")&lt;&gt;"","-",FALSE)</f>
        <v>-</v>
      </c>
      <c r="AC349" t="str">
        <f t="shared" si="63"/>
        <v>-</v>
      </c>
      <c r="AD349" t="str">
        <f t="shared" si="64"/>
        <v>-</v>
      </c>
      <c r="AE349" t="b">
        <f t="shared" si="65"/>
        <v>1</v>
      </c>
    </row>
    <row r="350" spans="1:31" x14ac:dyDescent="0.25">
      <c r="A350">
        <v>2</v>
      </c>
      <c r="B350">
        <v>31</v>
      </c>
      <c r="C350">
        <v>261</v>
      </c>
      <c r="D350" s="11" t="s">
        <v>149</v>
      </c>
      <c r="E350" t="s">
        <v>273</v>
      </c>
      <c r="F350" t="s">
        <v>183</v>
      </c>
      <c r="G350" s="11" t="s">
        <v>426</v>
      </c>
      <c r="H350">
        <v>19</v>
      </c>
      <c r="I350" s="11" t="s">
        <v>442</v>
      </c>
      <c r="J350" t="s">
        <v>287</v>
      </c>
      <c r="K350" t="s">
        <v>232</v>
      </c>
      <c r="L350" s="11" t="s">
        <v>39</v>
      </c>
      <c r="M350" s="11" t="s">
        <v>39</v>
      </c>
      <c r="N350" s="11" t="s">
        <v>39</v>
      </c>
      <c r="O350" s="11" t="s">
        <v>39</v>
      </c>
      <c r="P350" t="s">
        <v>10</v>
      </c>
      <c r="Q350">
        <v>47</v>
      </c>
      <c r="R350">
        <v>0</v>
      </c>
      <c r="S350">
        <v>0</v>
      </c>
      <c r="T350" t="str">
        <f t="shared" si="55"/>
        <v>-</v>
      </c>
      <c r="U350" t="str">
        <f t="shared" si="56"/>
        <v>-</v>
      </c>
      <c r="V350" t="str">
        <f t="shared" si="57"/>
        <v>-</v>
      </c>
      <c r="W350" t="str">
        <f t="shared" si="58"/>
        <v>-</v>
      </c>
      <c r="X350" t="str">
        <f t="shared" si="59"/>
        <v>-</v>
      </c>
      <c r="Y350" t="str">
        <f t="shared" si="60"/>
        <v>-</v>
      </c>
      <c r="Z350" t="str">
        <f t="shared" si="61"/>
        <v>-</v>
      </c>
      <c r="AA350" t="str">
        <f t="shared" si="62"/>
        <v>-</v>
      </c>
      <c r="AB350" t="str">
        <f>IF(_xlfn.IFNA(VLOOKUP(P350,Set_Ref!$B$6:$B$1048576,1,FALSE),"")&lt;&gt;"","-",FALSE)</f>
        <v>-</v>
      </c>
      <c r="AC350" t="str">
        <f t="shared" si="63"/>
        <v>-</v>
      </c>
      <c r="AD350" t="str">
        <f t="shared" si="64"/>
        <v>-</v>
      </c>
      <c r="AE350" t="b">
        <f t="shared" si="65"/>
        <v>1</v>
      </c>
    </row>
    <row r="351" spans="1:31" x14ac:dyDescent="0.25">
      <c r="A351">
        <v>2</v>
      </c>
      <c r="B351">
        <v>32</v>
      </c>
      <c r="C351">
        <v>261</v>
      </c>
      <c r="D351" s="11" t="s">
        <v>149</v>
      </c>
      <c r="E351" t="s">
        <v>273</v>
      </c>
      <c r="F351" t="s">
        <v>183</v>
      </c>
      <c r="G351" s="11" t="s">
        <v>426</v>
      </c>
      <c r="H351">
        <v>20</v>
      </c>
      <c r="I351" s="11" t="s">
        <v>443</v>
      </c>
      <c r="J351" t="s">
        <v>288</v>
      </c>
      <c r="K351" t="s">
        <v>233</v>
      </c>
      <c r="L351" s="11" t="s">
        <v>39</v>
      </c>
      <c r="M351" s="11" t="s">
        <v>39</v>
      </c>
      <c r="N351" s="11" t="s">
        <v>39</v>
      </c>
      <c r="O351" s="11" t="s">
        <v>39</v>
      </c>
      <c r="P351" t="s">
        <v>10</v>
      </c>
      <c r="Q351">
        <v>88</v>
      </c>
      <c r="R351">
        <v>0</v>
      </c>
      <c r="S351">
        <v>0</v>
      </c>
      <c r="T351" t="str">
        <f t="shared" si="55"/>
        <v>-</v>
      </c>
      <c r="U351" t="str">
        <f t="shared" si="56"/>
        <v>-</v>
      </c>
      <c r="V351" t="str">
        <f t="shared" si="57"/>
        <v>-</v>
      </c>
      <c r="W351" t="str">
        <f t="shared" si="58"/>
        <v>-</v>
      </c>
      <c r="X351" t="str">
        <f t="shared" si="59"/>
        <v>-</v>
      </c>
      <c r="Y351" t="str">
        <f t="shared" si="60"/>
        <v>-</v>
      </c>
      <c r="Z351" t="str">
        <f t="shared" si="61"/>
        <v>-</v>
      </c>
      <c r="AA351" t="str">
        <f t="shared" si="62"/>
        <v>-</v>
      </c>
      <c r="AB351" t="str">
        <f>IF(_xlfn.IFNA(VLOOKUP(P351,Set_Ref!$B$6:$B$1048576,1,FALSE),"")&lt;&gt;"","-",FALSE)</f>
        <v>-</v>
      </c>
      <c r="AC351" t="str">
        <f t="shared" si="63"/>
        <v>-</v>
      </c>
      <c r="AD351" t="str">
        <f t="shared" si="64"/>
        <v>-</v>
      </c>
      <c r="AE351" t="b">
        <f t="shared" si="65"/>
        <v>1</v>
      </c>
    </row>
    <row r="352" spans="1:31" x14ac:dyDescent="0.25">
      <c r="A352">
        <v>2</v>
      </c>
      <c r="B352">
        <v>33</v>
      </c>
      <c r="C352">
        <v>261</v>
      </c>
      <c r="D352" s="11" t="s">
        <v>149</v>
      </c>
      <c r="E352" t="s">
        <v>273</v>
      </c>
      <c r="F352" t="s">
        <v>183</v>
      </c>
      <c r="G352" s="11" t="s">
        <v>426</v>
      </c>
      <c r="H352">
        <v>18</v>
      </c>
      <c r="I352" s="11" t="s">
        <v>440</v>
      </c>
      <c r="J352" t="s">
        <v>441</v>
      </c>
      <c r="K352" t="s">
        <v>231</v>
      </c>
      <c r="L352" s="11" t="s">
        <v>39</v>
      </c>
      <c r="M352" s="11" t="s">
        <v>39</v>
      </c>
      <c r="N352" s="11" t="s">
        <v>39</v>
      </c>
      <c r="O352" s="11" t="s">
        <v>39</v>
      </c>
      <c r="P352" t="s">
        <v>10</v>
      </c>
      <c r="Q352">
        <v>3949.1</v>
      </c>
      <c r="R352">
        <v>0</v>
      </c>
      <c r="S352">
        <v>0</v>
      </c>
      <c r="T352" t="str">
        <f t="shared" si="55"/>
        <v>-</v>
      </c>
      <c r="U352" t="str">
        <f t="shared" si="56"/>
        <v>-</v>
      </c>
      <c r="V352" t="str">
        <f t="shared" si="57"/>
        <v>-</v>
      </c>
      <c r="W352" t="str">
        <f t="shared" si="58"/>
        <v>-</v>
      </c>
      <c r="X352" t="str">
        <f t="shared" si="59"/>
        <v>-</v>
      </c>
      <c r="Y352" t="str">
        <f t="shared" si="60"/>
        <v>-</v>
      </c>
      <c r="Z352" t="str">
        <f t="shared" si="61"/>
        <v>-</v>
      </c>
      <c r="AA352" t="str">
        <f t="shared" si="62"/>
        <v>-</v>
      </c>
      <c r="AB352" t="str">
        <f>IF(_xlfn.IFNA(VLOOKUP(P352,Set_Ref!$B$6:$B$1048576,1,FALSE),"")&lt;&gt;"","-",FALSE)</f>
        <v>-</v>
      </c>
      <c r="AC352" t="str">
        <f t="shared" si="63"/>
        <v>-</v>
      </c>
      <c r="AD352" t="str">
        <f t="shared" si="64"/>
        <v>-</v>
      </c>
      <c r="AE352" t="b">
        <f t="shared" si="65"/>
        <v>1</v>
      </c>
    </row>
    <row r="353" spans="1:31" x14ac:dyDescent="0.25">
      <c r="A353">
        <v>2</v>
      </c>
      <c r="B353">
        <v>34</v>
      </c>
      <c r="C353">
        <v>261</v>
      </c>
      <c r="D353" s="11" t="s">
        <v>149</v>
      </c>
      <c r="E353" t="s">
        <v>273</v>
      </c>
      <c r="F353" t="s">
        <v>183</v>
      </c>
      <c r="G353" s="11" t="s">
        <v>426</v>
      </c>
      <c r="H353">
        <v>18</v>
      </c>
      <c r="I353" s="11" t="s">
        <v>440</v>
      </c>
      <c r="J353" t="s">
        <v>441</v>
      </c>
      <c r="K353" t="s">
        <v>231</v>
      </c>
      <c r="L353" s="11" t="s">
        <v>39</v>
      </c>
      <c r="M353" s="11" t="s">
        <v>39</v>
      </c>
      <c r="N353" s="11" t="s">
        <v>39</v>
      </c>
      <c r="O353" s="11" t="s">
        <v>39</v>
      </c>
      <c r="P353" t="s">
        <v>10</v>
      </c>
      <c r="Q353">
        <v>684.9</v>
      </c>
      <c r="R353">
        <v>0</v>
      </c>
      <c r="S353">
        <v>0</v>
      </c>
      <c r="T353" t="str">
        <f t="shared" si="55"/>
        <v>-</v>
      </c>
      <c r="U353" t="str">
        <f t="shared" si="56"/>
        <v>-</v>
      </c>
      <c r="V353" t="str">
        <f t="shared" si="57"/>
        <v>-</v>
      </c>
      <c r="W353" t="str">
        <f t="shared" si="58"/>
        <v>-</v>
      </c>
      <c r="X353" t="str">
        <f t="shared" si="59"/>
        <v>-</v>
      </c>
      <c r="Y353" t="str">
        <f t="shared" si="60"/>
        <v>-</v>
      </c>
      <c r="Z353" t="str">
        <f t="shared" si="61"/>
        <v>-</v>
      </c>
      <c r="AA353" t="str">
        <f t="shared" si="62"/>
        <v>-</v>
      </c>
      <c r="AB353" t="str">
        <f>IF(_xlfn.IFNA(VLOOKUP(P353,Set_Ref!$B$6:$B$1048576,1,FALSE),"")&lt;&gt;"","-",FALSE)</f>
        <v>-</v>
      </c>
      <c r="AC353" t="str">
        <f t="shared" si="63"/>
        <v>-</v>
      </c>
      <c r="AD353" t="str">
        <f t="shared" si="64"/>
        <v>-</v>
      </c>
      <c r="AE353" t="b">
        <f t="shared" si="65"/>
        <v>1</v>
      </c>
    </row>
    <row r="354" spans="1:31" x14ac:dyDescent="0.25">
      <c r="A354">
        <v>2</v>
      </c>
      <c r="B354">
        <v>35</v>
      </c>
      <c r="C354">
        <v>261</v>
      </c>
      <c r="D354" s="11" t="s">
        <v>149</v>
      </c>
      <c r="E354" t="s">
        <v>273</v>
      </c>
      <c r="F354" t="s">
        <v>183</v>
      </c>
      <c r="G354" s="11" t="s">
        <v>426</v>
      </c>
      <c r="H354">
        <v>21</v>
      </c>
      <c r="I354" s="11" t="s">
        <v>444</v>
      </c>
      <c r="J354" t="s">
        <v>291</v>
      </c>
      <c r="K354" t="s">
        <v>234</v>
      </c>
      <c r="L354" s="11" t="s">
        <v>39</v>
      </c>
      <c r="M354" s="11" t="s">
        <v>39</v>
      </c>
      <c r="N354" s="11" t="s">
        <v>39</v>
      </c>
      <c r="O354" s="11" t="s">
        <v>39</v>
      </c>
      <c r="P354" t="s">
        <v>8</v>
      </c>
      <c r="Q354">
        <v>1262</v>
      </c>
      <c r="R354">
        <v>0</v>
      </c>
      <c r="S354">
        <v>0</v>
      </c>
      <c r="T354" t="str">
        <f t="shared" si="55"/>
        <v>-</v>
      </c>
      <c r="U354" t="str">
        <f t="shared" si="56"/>
        <v>-</v>
      </c>
      <c r="V354" t="str">
        <f t="shared" si="57"/>
        <v>-</v>
      </c>
      <c r="W354" t="str">
        <f t="shared" si="58"/>
        <v>-</v>
      </c>
      <c r="X354" t="str">
        <f t="shared" si="59"/>
        <v>-</v>
      </c>
      <c r="Y354" t="str">
        <f t="shared" si="60"/>
        <v>-</v>
      </c>
      <c r="Z354" t="str">
        <f t="shared" si="61"/>
        <v>-</v>
      </c>
      <c r="AA354" t="str">
        <f t="shared" si="62"/>
        <v>-</v>
      </c>
      <c r="AB354" t="str">
        <f>IF(_xlfn.IFNA(VLOOKUP(P354,Set_Ref!$B$6:$B$1048576,1,FALSE),"")&lt;&gt;"","-",FALSE)</f>
        <v>-</v>
      </c>
      <c r="AC354" t="str">
        <f t="shared" si="63"/>
        <v>-</v>
      </c>
      <c r="AD354" t="str">
        <f t="shared" si="64"/>
        <v>-</v>
      </c>
      <c r="AE354" t="b">
        <f t="shared" si="65"/>
        <v>1</v>
      </c>
    </row>
    <row r="355" spans="1:31" x14ac:dyDescent="0.25">
      <c r="A355">
        <v>2</v>
      </c>
      <c r="B355">
        <v>36</v>
      </c>
      <c r="C355">
        <v>261</v>
      </c>
      <c r="D355" s="11" t="s">
        <v>149</v>
      </c>
      <c r="E355" t="s">
        <v>273</v>
      </c>
      <c r="F355" t="s">
        <v>183</v>
      </c>
      <c r="G355" s="11" t="s">
        <v>426</v>
      </c>
      <c r="H355">
        <v>18</v>
      </c>
      <c r="I355" s="11" t="s">
        <v>440</v>
      </c>
      <c r="J355" t="s">
        <v>441</v>
      </c>
      <c r="K355" t="s">
        <v>231</v>
      </c>
      <c r="L355" s="11" t="s">
        <v>39</v>
      </c>
      <c r="M355" s="11" t="s">
        <v>39</v>
      </c>
      <c r="N355" s="11" t="s">
        <v>39</v>
      </c>
      <c r="O355" s="11" t="s">
        <v>39</v>
      </c>
      <c r="P355" t="s">
        <v>10</v>
      </c>
      <c r="Q355">
        <v>2627.8</v>
      </c>
      <c r="R355">
        <v>0</v>
      </c>
      <c r="S355">
        <v>0</v>
      </c>
      <c r="T355" t="str">
        <f t="shared" si="55"/>
        <v>-</v>
      </c>
      <c r="U355" t="str">
        <f t="shared" si="56"/>
        <v>-</v>
      </c>
      <c r="V355" t="str">
        <f t="shared" si="57"/>
        <v>-</v>
      </c>
      <c r="W355" t="str">
        <f t="shared" si="58"/>
        <v>-</v>
      </c>
      <c r="X355" t="str">
        <f t="shared" si="59"/>
        <v>-</v>
      </c>
      <c r="Y355" t="str">
        <f t="shared" si="60"/>
        <v>-</v>
      </c>
      <c r="Z355" t="str">
        <f t="shared" si="61"/>
        <v>-</v>
      </c>
      <c r="AA355" t="str">
        <f t="shared" si="62"/>
        <v>-</v>
      </c>
      <c r="AB355" t="str">
        <f>IF(_xlfn.IFNA(VLOOKUP(P355,Set_Ref!$B$6:$B$1048576,1,FALSE),"")&lt;&gt;"","-",FALSE)</f>
        <v>-</v>
      </c>
      <c r="AC355" t="str">
        <f t="shared" si="63"/>
        <v>-</v>
      </c>
      <c r="AD355" t="str">
        <f t="shared" si="64"/>
        <v>-</v>
      </c>
      <c r="AE355" t="b">
        <f t="shared" si="65"/>
        <v>1</v>
      </c>
    </row>
    <row r="356" spans="1:31" x14ac:dyDescent="0.25">
      <c r="A356">
        <v>2</v>
      </c>
      <c r="B356">
        <v>37</v>
      </c>
      <c r="C356">
        <v>261</v>
      </c>
      <c r="D356" s="11" t="s">
        <v>149</v>
      </c>
      <c r="E356" t="s">
        <v>273</v>
      </c>
      <c r="F356" t="s">
        <v>183</v>
      </c>
      <c r="G356" s="11" t="s">
        <v>426</v>
      </c>
      <c r="H356">
        <v>22</v>
      </c>
      <c r="I356" s="11" t="s">
        <v>445</v>
      </c>
      <c r="J356" t="s">
        <v>292</v>
      </c>
      <c r="K356" t="s">
        <v>235</v>
      </c>
      <c r="L356" s="11" t="s">
        <v>39</v>
      </c>
      <c r="M356" s="11" t="s">
        <v>39</v>
      </c>
      <c r="N356" s="11" t="s">
        <v>39</v>
      </c>
      <c r="O356" s="11" t="s">
        <v>39</v>
      </c>
      <c r="P356" t="s">
        <v>10</v>
      </c>
      <c r="Q356">
        <v>48.8</v>
      </c>
      <c r="R356">
        <v>0</v>
      </c>
      <c r="S356">
        <v>0</v>
      </c>
      <c r="T356" t="str">
        <f t="shared" si="55"/>
        <v>-</v>
      </c>
      <c r="U356" t="str">
        <f t="shared" si="56"/>
        <v>-</v>
      </c>
      <c r="V356" t="str">
        <f t="shared" si="57"/>
        <v>-</v>
      </c>
      <c r="W356" t="str">
        <f t="shared" si="58"/>
        <v>-</v>
      </c>
      <c r="X356" t="str">
        <f t="shared" si="59"/>
        <v>-</v>
      </c>
      <c r="Y356" t="str">
        <f t="shared" si="60"/>
        <v>-</v>
      </c>
      <c r="Z356" t="str">
        <f t="shared" si="61"/>
        <v>-</v>
      </c>
      <c r="AA356" t="str">
        <f t="shared" si="62"/>
        <v>-</v>
      </c>
      <c r="AB356" t="str">
        <f>IF(_xlfn.IFNA(VLOOKUP(P356,Set_Ref!$B$6:$B$1048576,1,FALSE),"")&lt;&gt;"","-",FALSE)</f>
        <v>-</v>
      </c>
      <c r="AC356" t="str">
        <f t="shared" si="63"/>
        <v>-</v>
      </c>
      <c r="AD356" t="str">
        <f t="shared" si="64"/>
        <v>-</v>
      </c>
      <c r="AE356" t="b">
        <f t="shared" si="65"/>
        <v>1</v>
      </c>
    </row>
    <row r="357" spans="1:31" x14ac:dyDescent="0.25">
      <c r="A357">
        <v>2</v>
      </c>
      <c r="B357">
        <v>38</v>
      </c>
      <c r="C357">
        <v>261</v>
      </c>
      <c r="D357" s="11" t="s">
        <v>149</v>
      </c>
      <c r="E357" t="s">
        <v>293</v>
      </c>
      <c r="F357" t="s">
        <v>184</v>
      </c>
      <c r="G357" s="11" t="s">
        <v>446</v>
      </c>
      <c r="H357">
        <v>1</v>
      </c>
      <c r="I357" s="11" t="s">
        <v>431</v>
      </c>
      <c r="J357" t="s">
        <v>284</v>
      </c>
      <c r="K357" t="s">
        <v>221</v>
      </c>
      <c r="L357" s="11" t="s">
        <v>39</v>
      </c>
      <c r="M357" s="11" t="s">
        <v>39</v>
      </c>
      <c r="N357" s="11" t="s">
        <v>39</v>
      </c>
      <c r="O357" s="11" t="s">
        <v>39</v>
      </c>
      <c r="P357" t="s">
        <v>9</v>
      </c>
      <c r="Q357">
        <v>5</v>
      </c>
      <c r="R357">
        <v>0</v>
      </c>
      <c r="S357">
        <v>0</v>
      </c>
      <c r="T357" t="str">
        <f t="shared" si="55"/>
        <v>-</v>
      </c>
      <c r="U357" t="str">
        <f t="shared" si="56"/>
        <v>-</v>
      </c>
      <c r="V357" t="str">
        <f t="shared" si="57"/>
        <v>-</v>
      </c>
      <c r="W357" t="str">
        <f t="shared" si="58"/>
        <v>-</v>
      </c>
      <c r="X357" t="str">
        <f t="shared" si="59"/>
        <v>-</v>
      </c>
      <c r="Y357" t="str">
        <f t="shared" si="60"/>
        <v>-</v>
      </c>
      <c r="Z357" t="str">
        <f t="shared" si="61"/>
        <v>-</v>
      </c>
      <c r="AA357" t="str">
        <f t="shared" si="62"/>
        <v>-</v>
      </c>
      <c r="AB357" t="str">
        <f>IF(_xlfn.IFNA(VLOOKUP(P357,Set_Ref!$B$6:$B$1048576,1,FALSE),"")&lt;&gt;"","-",FALSE)</f>
        <v>-</v>
      </c>
      <c r="AC357" t="str">
        <f t="shared" si="63"/>
        <v>-</v>
      </c>
      <c r="AD357" t="str">
        <f t="shared" si="64"/>
        <v>-</v>
      </c>
      <c r="AE357" t="b">
        <f t="shared" si="65"/>
        <v>1</v>
      </c>
    </row>
    <row r="358" spans="1:31" x14ac:dyDescent="0.25">
      <c r="A358">
        <v>2</v>
      </c>
      <c r="B358">
        <v>39</v>
      </c>
      <c r="C358">
        <v>261</v>
      </c>
      <c r="D358" s="11" t="s">
        <v>149</v>
      </c>
      <c r="E358" t="s">
        <v>293</v>
      </c>
      <c r="F358" t="s">
        <v>184</v>
      </c>
      <c r="G358" s="11" t="s">
        <v>446</v>
      </c>
      <c r="H358">
        <v>2</v>
      </c>
      <c r="I358" s="11" t="s">
        <v>447</v>
      </c>
      <c r="J358" t="s">
        <v>294</v>
      </c>
      <c r="K358" t="s">
        <v>236</v>
      </c>
      <c r="L358" s="11" t="s">
        <v>39</v>
      </c>
      <c r="M358" s="11" t="s">
        <v>39</v>
      </c>
      <c r="N358" s="11" t="s">
        <v>39</v>
      </c>
      <c r="O358" s="11" t="s">
        <v>39</v>
      </c>
      <c r="P358" t="s">
        <v>10</v>
      </c>
      <c r="Q358">
        <v>1603</v>
      </c>
      <c r="R358">
        <v>0</v>
      </c>
      <c r="S358">
        <v>0</v>
      </c>
      <c r="T358" t="str">
        <f t="shared" si="55"/>
        <v>-</v>
      </c>
      <c r="U358" t="str">
        <f t="shared" si="56"/>
        <v>-</v>
      </c>
      <c r="V358" t="str">
        <f t="shared" si="57"/>
        <v>-</v>
      </c>
      <c r="W358" t="str">
        <f t="shared" si="58"/>
        <v>-</v>
      </c>
      <c r="X358" t="str">
        <f t="shared" si="59"/>
        <v>-</v>
      </c>
      <c r="Y358" t="str">
        <f t="shared" si="60"/>
        <v>-</v>
      </c>
      <c r="Z358" t="str">
        <f t="shared" si="61"/>
        <v>-</v>
      </c>
      <c r="AA358" t="str">
        <f t="shared" si="62"/>
        <v>-</v>
      </c>
      <c r="AB358" t="str">
        <f>IF(_xlfn.IFNA(VLOOKUP(P358,Set_Ref!$B$6:$B$1048576,1,FALSE),"")&lt;&gt;"","-",FALSE)</f>
        <v>-</v>
      </c>
      <c r="AC358" t="str">
        <f t="shared" si="63"/>
        <v>-</v>
      </c>
      <c r="AD358" t="str">
        <f t="shared" si="64"/>
        <v>-</v>
      </c>
      <c r="AE358" t="b">
        <f t="shared" si="65"/>
        <v>1</v>
      </c>
    </row>
    <row r="359" spans="1:31" x14ac:dyDescent="0.25">
      <c r="A359">
        <v>2</v>
      </c>
      <c r="B359">
        <v>40</v>
      </c>
      <c r="C359">
        <v>261</v>
      </c>
      <c r="D359" s="11" t="s">
        <v>149</v>
      </c>
      <c r="E359" t="s">
        <v>293</v>
      </c>
      <c r="F359" t="s">
        <v>184</v>
      </c>
      <c r="G359" s="11" t="s">
        <v>446</v>
      </c>
      <c r="H359">
        <v>3</v>
      </c>
      <c r="I359" s="11" t="s">
        <v>433</v>
      </c>
      <c r="J359" t="s">
        <v>281</v>
      </c>
      <c r="K359" t="s">
        <v>222</v>
      </c>
      <c r="L359" s="11" t="s">
        <v>39</v>
      </c>
      <c r="M359" s="11" t="s">
        <v>39</v>
      </c>
      <c r="N359" s="11" t="s">
        <v>39</v>
      </c>
      <c r="O359" s="11" t="s">
        <v>39</v>
      </c>
      <c r="P359" t="s">
        <v>10</v>
      </c>
      <c r="Q359">
        <v>2940</v>
      </c>
      <c r="R359">
        <v>0</v>
      </c>
      <c r="S359">
        <v>0</v>
      </c>
      <c r="T359" t="str">
        <f t="shared" si="55"/>
        <v>-</v>
      </c>
      <c r="U359" t="str">
        <f t="shared" si="56"/>
        <v>-</v>
      </c>
      <c r="V359" t="str">
        <f t="shared" si="57"/>
        <v>-</v>
      </c>
      <c r="W359" t="str">
        <f t="shared" si="58"/>
        <v>-</v>
      </c>
      <c r="X359" t="str">
        <f t="shared" si="59"/>
        <v>-</v>
      </c>
      <c r="Y359" t="str">
        <f t="shared" si="60"/>
        <v>-</v>
      </c>
      <c r="Z359" t="str">
        <f t="shared" si="61"/>
        <v>-</v>
      </c>
      <c r="AA359" t="str">
        <f t="shared" si="62"/>
        <v>-</v>
      </c>
      <c r="AB359" t="str">
        <f>IF(_xlfn.IFNA(VLOOKUP(P359,Set_Ref!$B$6:$B$1048576,1,FALSE),"")&lt;&gt;"","-",FALSE)</f>
        <v>-</v>
      </c>
      <c r="AC359" t="str">
        <f t="shared" si="63"/>
        <v>-</v>
      </c>
      <c r="AD359" t="str">
        <f t="shared" si="64"/>
        <v>-</v>
      </c>
      <c r="AE359" t="b">
        <f t="shared" si="65"/>
        <v>1</v>
      </c>
    </row>
    <row r="360" spans="1:31" x14ac:dyDescent="0.25">
      <c r="A360">
        <v>2</v>
      </c>
      <c r="B360">
        <v>41</v>
      </c>
      <c r="C360">
        <v>261</v>
      </c>
      <c r="D360" s="11" t="s">
        <v>149</v>
      </c>
      <c r="E360" t="s">
        <v>293</v>
      </c>
      <c r="F360" t="s">
        <v>184</v>
      </c>
      <c r="G360" s="11" t="s">
        <v>446</v>
      </c>
      <c r="H360">
        <v>4</v>
      </c>
      <c r="I360" s="11" t="s">
        <v>427</v>
      </c>
      <c r="J360" t="s">
        <v>448</v>
      </c>
      <c r="K360" t="s">
        <v>237</v>
      </c>
      <c r="L360" s="11" t="s">
        <v>39</v>
      </c>
      <c r="M360" s="11" t="s">
        <v>39</v>
      </c>
      <c r="N360" s="11" t="s">
        <v>39</v>
      </c>
      <c r="O360" s="11" t="s">
        <v>39</v>
      </c>
      <c r="P360" t="s">
        <v>9</v>
      </c>
      <c r="Q360">
        <v>190</v>
      </c>
      <c r="R360">
        <v>0</v>
      </c>
      <c r="S360">
        <v>0</v>
      </c>
      <c r="T360" t="str">
        <f t="shared" si="55"/>
        <v>-</v>
      </c>
      <c r="U360" t="str">
        <f t="shared" si="56"/>
        <v>-</v>
      </c>
      <c r="V360" t="str">
        <f t="shared" si="57"/>
        <v>-</v>
      </c>
      <c r="W360" t="str">
        <f t="shared" si="58"/>
        <v>-</v>
      </c>
      <c r="X360" t="str">
        <f t="shared" si="59"/>
        <v>-</v>
      </c>
      <c r="Y360" t="str">
        <f t="shared" si="60"/>
        <v>-</v>
      </c>
      <c r="Z360" t="str">
        <f t="shared" si="61"/>
        <v>-</v>
      </c>
      <c r="AA360" t="str">
        <f t="shared" si="62"/>
        <v>-</v>
      </c>
      <c r="AB360" t="str">
        <f>IF(_xlfn.IFNA(VLOOKUP(P360,Set_Ref!$B$6:$B$1048576,1,FALSE),"")&lt;&gt;"","-",FALSE)</f>
        <v>-</v>
      </c>
      <c r="AC360" t="str">
        <f t="shared" si="63"/>
        <v>-</v>
      </c>
      <c r="AD360" t="str">
        <f t="shared" si="64"/>
        <v>-</v>
      </c>
      <c r="AE360" t="b">
        <f t="shared" si="65"/>
        <v>1</v>
      </c>
    </row>
    <row r="361" spans="1:31" x14ac:dyDescent="0.25">
      <c r="A361">
        <v>2</v>
      </c>
      <c r="B361">
        <v>42</v>
      </c>
      <c r="C361">
        <v>261</v>
      </c>
      <c r="D361" s="11" t="s">
        <v>149</v>
      </c>
      <c r="E361" t="s">
        <v>293</v>
      </c>
      <c r="F361" t="s">
        <v>184</v>
      </c>
      <c r="G361" s="11" t="s">
        <v>446</v>
      </c>
      <c r="H361">
        <v>4</v>
      </c>
      <c r="I361" s="11" t="s">
        <v>427</v>
      </c>
      <c r="J361" t="s">
        <v>448</v>
      </c>
      <c r="K361" t="s">
        <v>237</v>
      </c>
      <c r="L361" s="11" t="s">
        <v>39</v>
      </c>
      <c r="M361" s="11" t="s">
        <v>39</v>
      </c>
      <c r="N361" s="11" t="s">
        <v>39</v>
      </c>
      <c r="O361" s="11" t="s">
        <v>39</v>
      </c>
      <c r="P361" t="s">
        <v>9</v>
      </c>
      <c r="Q361">
        <v>41</v>
      </c>
      <c r="R361">
        <v>0</v>
      </c>
      <c r="S361">
        <v>0</v>
      </c>
      <c r="T361" t="str">
        <f t="shared" si="55"/>
        <v>-</v>
      </c>
      <c r="U361" t="str">
        <f t="shared" si="56"/>
        <v>-</v>
      </c>
      <c r="V361" t="str">
        <f t="shared" si="57"/>
        <v>-</v>
      </c>
      <c r="W361" t="str">
        <f t="shared" si="58"/>
        <v>-</v>
      </c>
      <c r="X361" t="str">
        <f t="shared" si="59"/>
        <v>-</v>
      </c>
      <c r="Y361" t="str">
        <f t="shared" si="60"/>
        <v>-</v>
      </c>
      <c r="Z361" t="str">
        <f t="shared" si="61"/>
        <v>-</v>
      </c>
      <c r="AA361" t="str">
        <f t="shared" si="62"/>
        <v>-</v>
      </c>
      <c r="AB361" t="str">
        <f>IF(_xlfn.IFNA(VLOOKUP(P361,Set_Ref!$B$6:$B$1048576,1,FALSE),"")&lt;&gt;"","-",FALSE)</f>
        <v>-</v>
      </c>
      <c r="AC361" t="str">
        <f t="shared" si="63"/>
        <v>-</v>
      </c>
      <c r="AD361" t="str">
        <f t="shared" si="64"/>
        <v>-</v>
      </c>
      <c r="AE361" t="b">
        <f t="shared" si="65"/>
        <v>1</v>
      </c>
    </row>
    <row r="362" spans="1:31" x14ac:dyDescent="0.25">
      <c r="A362">
        <v>2</v>
      </c>
      <c r="B362">
        <v>43</v>
      </c>
      <c r="C362">
        <v>261</v>
      </c>
      <c r="D362" s="11" t="s">
        <v>149</v>
      </c>
      <c r="E362" t="s">
        <v>293</v>
      </c>
      <c r="F362" t="s">
        <v>184</v>
      </c>
      <c r="G362" s="11" t="s">
        <v>446</v>
      </c>
      <c r="H362">
        <v>4</v>
      </c>
      <c r="I362" s="11" t="s">
        <v>427</v>
      </c>
      <c r="J362" t="s">
        <v>448</v>
      </c>
      <c r="K362" t="s">
        <v>237</v>
      </c>
      <c r="L362" s="11" t="s">
        <v>39</v>
      </c>
      <c r="M362" s="11" t="s">
        <v>39</v>
      </c>
      <c r="N362" s="11" t="s">
        <v>39</v>
      </c>
      <c r="O362" s="11" t="s">
        <v>39</v>
      </c>
      <c r="P362" t="s">
        <v>9</v>
      </c>
      <c r="Q362">
        <v>248</v>
      </c>
      <c r="R362">
        <v>0</v>
      </c>
      <c r="S362">
        <v>0</v>
      </c>
      <c r="T362" t="str">
        <f t="shared" si="55"/>
        <v>-</v>
      </c>
      <c r="U362" t="str">
        <f t="shared" si="56"/>
        <v>-</v>
      </c>
      <c r="V362" t="str">
        <f t="shared" si="57"/>
        <v>-</v>
      </c>
      <c r="W362" t="str">
        <f t="shared" si="58"/>
        <v>-</v>
      </c>
      <c r="X362" t="str">
        <f t="shared" si="59"/>
        <v>-</v>
      </c>
      <c r="Y362" t="str">
        <f t="shared" si="60"/>
        <v>-</v>
      </c>
      <c r="Z362" t="str">
        <f t="shared" si="61"/>
        <v>-</v>
      </c>
      <c r="AA362" t="str">
        <f t="shared" si="62"/>
        <v>-</v>
      </c>
      <c r="AB362" t="str">
        <f>IF(_xlfn.IFNA(VLOOKUP(P362,Set_Ref!$B$6:$B$1048576,1,FALSE),"")&lt;&gt;"","-",FALSE)</f>
        <v>-</v>
      </c>
      <c r="AC362" t="str">
        <f t="shared" si="63"/>
        <v>-</v>
      </c>
      <c r="AD362" t="str">
        <f t="shared" si="64"/>
        <v>-</v>
      </c>
      <c r="AE362" t="b">
        <f t="shared" si="65"/>
        <v>1</v>
      </c>
    </row>
    <row r="363" spans="1:31" x14ac:dyDescent="0.25">
      <c r="A363">
        <v>2</v>
      </c>
      <c r="B363">
        <v>44</v>
      </c>
      <c r="C363">
        <v>261</v>
      </c>
      <c r="D363" s="11" t="s">
        <v>149</v>
      </c>
      <c r="E363" t="s">
        <v>293</v>
      </c>
      <c r="F363" t="s">
        <v>184</v>
      </c>
      <c r="G363" s="11" t="s">
        <v>446</v>
      </c>
      <c r="H363">
        <v>4</v>
      </c>
      <c r="I363" s="11" t="s">
        <v>427</v>
      </c>
      <c r="J363" t="s">
        <v>448</v>
      </c>
      <c r="K363" t="s">
        <v>237</v>
      </c>
      <c r="L363" s="11" t="s">
        <v>39</v>
      </c>
      <c r="M363" s="11" t="s">
        <v>39</v>
      </c>
      <c r="N363" s="11" t="s">
        <v>39</v>
      </c>
      <c r="O363" s="11" t="s">
        <v>39</v>
      </c>
      <c r="P363" t="s">
        <v>9</v>
      </c>
      <c r="Q363">
        <v>109</v>
      </c>
      <c r="R363">
        <v>0</v>
      </c>
      <c r="S363">
        <v>0</v>
      </c>
      <c r="T363" t="str">
        <f t="shared" si="55"/>
        <v>-</v>
      </c>
      <c r="U363" t="str">
        <f t="shared" si="56"/>
        <v>-</v>
      </c>
      <c r="V363" t="str">
        <f t="shared" si="57"/>
        <v>-</v>
      </c>
      <c r="W363" t="str">
        <f t="shared" si="58"/>
        <v>-</v>
      </c>
      <c r="X363" t="str">
        <f t="shared" si="59"/>
        <v>-</v>
      </c>
      <c r="Y363" t="str">
        <f t="shared" si="60"/>
        <v>-</v>
      </c>
      <c r="Z363" t="str">
        <f t="shared" si="61"/>
        <v>-</v>
      </c>
      <c r="AA363" t="str">
        <f t="shared" si="62"/>
        <v>-</v>
      </c>
      <c r="AB363" t="str">
        <f>IF(_xlfn.IFNA(VLOOKUP(P363,Set_Ref!$B$6:$B$1048576,1,FALSE),"")&lt;&gt;"","-",FALSE)</f>
        <v>-</v>
      </c>
      <c r="AC363" t="str">
        <f t="shared" si="63"/>
        <v>-</v>
      </c>
      <c r="AD363" t="str">
        <f t="shared" si="64"/>
        <v>-</v>
      </c>
      <c r="AE363" t="b">
        <f t="shared" si="65"/>
        <v>1</v>
      </c>
    </row>
    <row r="364" spans="1:31" x14ac:dyDescent="0.25">
      <c r="A364">
        <v>2</v>
      </c>
      <c r="B364">
        <v>45</v>
      </c>
      <c r="C364">
        <v>261</v>
      </c>
      <c r="D364" s="11" t="s">
        <v>149</v>
      </c>
      <c r="E364" t="s">
        <v>293</v>
      </c>
      <c r="F364" t="s">
        <v>184</v>
      </c>
      <c r="G364" s="11" t="s">
        <v>446</v>
      </c>
      <c r="H364">
        <v>5</v>
      </c>
      <c r="I364" s="11" t="s">
        <v>434</v>
      </c>
      <c r="J364" t="s">
        <v>435</v>
      </c>
      <c r="K364" t="s">
        <v>223</v>
      </c>
      <c r="L364" s="11" t="s">
        <v>39</v>
      </c>
      <c r="M364" s="11" t="s">
        <v>39</v>
      </c>
      <c r="N364" s="11" t="s">
        <v>39</v>
      </c>
      <c r="O364" s="11" t="s">
        <v>39</v>
      </c>
      <c r="P364" t="s">
        <v>9</v>
      </c>
      <c r="Q364">
        <v>26100</v>
      </c>
      <c r="R364">
        <v>0</v>
      </c>
      <c r="S364">
        <v>0</v>
      </c>
      <c r="T364" t="str">
        <f t="shared" si="55"/>
        <v>-</v>
      </c>
      <c r="U364" t="str">
        <f t="shared" si="56"/>
        <v>-</v>
      </c>
      <c r="V364" t="str">
        <f t="shared" si="57"/>
        <v>-</v>
      </c>
      <c r="W364" t="str">
        <f t="shared" si="58"/>
        <v>-</v>
      </c>
      <c r="X364" t="str">
        <f t="shared" si="59"/>
        <v>-</v>
      </c>
      <c r="Y364" t="str">
        <f t="shared" si="60"/>
        <v>-</v>
      </c>
      <c r="Z364" t="str">
        <f t="shared" si="61"/>
        <v>-</v>
      </c>
      <c r="AA364" t="str">
        <f t="shared" si="62"/>
        <v>-</v>
      </c>
      <c r="AB364" t="str">
        <f>IF(_xlfn.IFNA(VLOOKUP(P364,Set_Ref!$B$6:$B$1048576,1,FALSE),"")&lt;&gt;"","-",FALSE)</f>
        <v>-</v>
      </c>
      <c r="AC364" t="str">
        <f t="shared" si="63"/>
        <v>-</v>
      </c>
      <c r="AD364" t="str">
        <f t="shared" si="64"/>
        <v>-</v>
      </c>
      <c r="AE364" t="b">
        <f t="shared" si="65"/>
        <v>1</v>
      </c>
    </row>
    <row r="365" spans="1:31" x14ac:dyDescent="0.25">
      <c r="A365">
        <v>2</v>
      </c>
      <c r="B365">
        <v>46</v>
      </c>
      <c r="C365">
        <v>261</v>
      </c>
      <c r="D365" s="11" t="s">
        <v>149</v>
      </c>
      <c r="E365" t="s">
        <v>293</v>
      </c>
      <c r="F365" t="s">
        <v>184</v>
      </c>
      <c r="G365" s="11" t="s">
        <v>446</v>
      </c>
      <c r="H365">
        <v>5</v>
      </c>
      <c r="I365" s="11" t="s">
        <v>434</v>
      </c>
      <c r="J365" t="s">
        <v>435</v>
      </c>
      <c r="K365" t="s">
        <v>223</v>
      </c>
      <c r="L365" s="11" t="s">
        <v>39</v>
      </c>
      <c r="M365" s="11" t="s">
        <v>39</v>
      </c>
      <c r="N365" s="11" t="s">
        <v>39</v>
      </c>
      <c r="O365" s="11" t="s">
        <v>39</v>
      </c>
      <c r="P365" t="s">
        <v>9</v>
      </c>
      <c r="Q365">
        <v>26100</v>
      </c>
      <c r="R365">
        <v>0</v>
      </c>
      <c r="S365">
        <v>0</v>
      </c>
      <c r="T365" t="str">
        <f t="shared" si="55"/>
        <v>-</v>
      </c>
      <c r="U365" t="str">
        <f t="shared" si="56"/>
        <v>-</v>
      </c>
      <c r="V365" t="str">
        <f t="shared" si="57"/>
        <v>-</v>
      </c>
      <c r="W365" t="str">
        <f t="shared" si="58"/>
        <v>-</v>
      </c>
      <c r="X365" t="str">
        <f t="shared" si="59"/>
        <v>-</v>
      </c>
      <c r="Y365" t="str">
        <f t="shared" si="60"/>
        <v>-</v>
      </c>
      <c r="Z365" t="str">
        <f t="shared" si="61"/>
        <v>-</v>
      </c>
      <c r="AA365" t="str">
        <f t="shared" si="62"/>
        <v>-</v>
      </c>
      <c r="AB365" t="str">
        <f>IF(_xlfn.IFNA(VLOOKUP(P365,Set_Ref!$B$6:$B$1048576,1,FALSE),"")&lt;&gt;"","-",FALSE)</f>
        <v>-</v>
      </c>
      <c r="AC365" t="str">
        <f t="shared" si="63"/>
        <v>-</v>
      </c>
      <c r="AD365" t="str">
        <f t="shared" si="64"/>
        <v>-</v>
      </c>
      <c r="AE365" t="b">
        <f t="shared" si="65"/>
        <v>1</v>
      </c>
    </row>
    <row r="366" spans="1:31" x14ac:dyDescent="0.25">
      <c r="A366">
        <v>2</v>
      </c>
      <c r="B366">
        <v>47</v>
      </c>
      <c r="C366">
        <v>261</v>
      </c>
      <c r="D366" s="11" t="s">
        <v>149</v>
      </c>
      <c r="E366" t="s">
        <v>293</v>
      </c>
      <c r="F366" t="s">
        <v>184</v>
      </c>
      <c r="G366" s="11" t="s">
        <v>446</v>
      </c>
      <c r="H366">
        <v>5</v>
      </c>
      <c r="I366" s="11" t="s">
        <v>434</v>
      </c>
      <c r="J366" t="s">
        <v>435</v>
      </c>
      <c r="K366" t="s">
        <v>223</v>
      </c>
      <c r="L366" s="11" t="s">
        <v>39</v>
      </c>
      <c r="M366" s="11" t="s">
        <v>39</v>
      </c>
      <c r="N366" s="11" t="s">
        <v>39</v>
      </c>
      <c r="O366" s="11" t="s">
        <v>39</v>
      </c>
      <c r="P366" t="s">
        <v>9</v>
      </c>
      <c r="Q366">
        <v>26100</v>
      </c>
      <c r="R366">
        <v>0</v>
      </c>
      <c r="S366">
        <v>0</v>
      </c>
      <c r="T366" t="str">
        <f t="shared" si="55"/>
        <v>-</v>
      </c>
      <c r="U366" t="str">
        <f t="shared" si="56"/>
        <v>-</v>
      </c>
      <c r="V366" t="str">
        <f t="shared" si="57"/>
        <v>-</v>
      </c>
      <c r="W366" t="str">
        <f t="shared" si="58"/>
        <v>-</v>
      </c>
      <c r="X366" t="str">
        <f t="shared" si="59"/>
        <v>-</v>
      </c>
      <c r="Y366" t="str">
        <f t="shared" si="60"/>
        <v>-</v>
      </c>
      <c r="Z366" t="str">
        <f t="shared" si="61"/>
        <v>-</v>
      </c>
      <c r="AA366" t="str">
        <f t="shared" si="62"/>
        <v>-</v>
      </c>
      <c r="AB366" t="str">
        <f>IF(_xlfn.IFNA(VLOOKUP(P366,Set_Ref!$B$6:$B$1048576,1,FALSE),"")&lt;&gt;"","-",FALSE)</f>
        <v>-</v>
      </c>
      <c r="AC366" t="str">
        <f t="shared" si="63"/>
        <v>-</v>
      </c>
      <c r="AD366" t="str">
        <f t="shared" si="64"/>
        <v>-</v>
      </c>
      <c r="AE366" t="b">
        <f t="shared" si="65"/>
        <v>1</v>
      </c>
    </row>
    <row r="367" spans="1:31" x14ac:dyDescent="0.25">
      <c r="A367">
        <v>2</v>
      </c>
      <c r="B367">
        <v>48</v>
      </c>
      <c r="C367">
        <v>261</v>
      </c>
      <c r="D367" s="11" t="s">
        <v>149</v>
      </c>
      <c r="E367" t="s">
        <v>293</v>
      </c>
      <c r="F367" t="s">
        <v>184</v>
      </c>
      <c r="G367" s="11" t="s">
        <v>446</v>
      </c>
      <c r="H367">
        <v>5</v>
      </c>
      <c r="I367" s="11" t="s">
        <v>434</v>
      </c>
      <c r="J367" t="s">
        <v>435</v>
      </c>
      <c r="K367" t="s">
        <v>223</v>
      </c>
      <c r="L367" s="11" t="s">
        <v>39</v>
      </c>
      <c r="M367" s="11" t="s">
        <v>39</v>
      </c>
      <c r="N367" s="11" t="s">
        <v>39</v>
      </c>
      <c r="O367" s="11" t="s">
        <v>39</v>
      </c>
      <c r="P367" t="s">
        <v>9</v>
      </c>
      <c r="Q367">
        <v>26100</v>
      </c>
      <c r="R367">
        <v>0</v>
      </c>
      <c r="S367">
        <v>0</v>
      </c>
      <c r="T367" t="str">
        <f t="shared" si="55"/>
        <v>-</v>
      </c>
      <c r="U367" t="str">
        <f t="shared" si="56"/>
        <v>-</v>
      </c>
      <c r="V367" t="str">
        <f t="shared" si="57"/>
        <v>-</v>
      </c>
      <c r="W367" t="str">
        <f t="shared" si="58"/>
        <v>-</v>
      </c>
      <c r="X367" t="str">
        <f t="shared" si="59"/>
        <v>-</v>
      </c>
      <c r="Y367" t="str">
        <f t="shared" si="60"/>
        <v>-</v>
      </c>
      <c r="Z367" t="str">
        <f t="shared" si="61"/>
        <v>-</v>
      </c>
      <c r="AA367" t="str">
        <f t="shared" si="62"/>
        <v>-</v>
      </c>
      <c r="AB367" t="str">
        <f>IF(_xlfn.IFNA(VLOOKUP(P367,Set_Ref!$B$6:$B$1048576,1,FALSE),"")&lt;&gt;"","-",FALSE)</f>
        <v>-</v>
      </c>
      <c r="AC367" t="str">
        <f t="shared" si="63"/>
        <v>-</v>
      </c>
      <c r="AD367" t="str">
        <f t="shared" si="64"/>
        <v>-</v>
      </c>
      <c r="AE367" t="b">
        <f t="shared" si="65"/>
        <v>1</v>
      </c>
    </row>
    <row r="368" spans="1:31" x14ac:dyDescent="0.25">
      <c r="A368">
        <v>2</v>
      </c>
      <c r="B368">
        <v>49</v>
      </c>
      <c r="C368">
        <v>261</v>
      </c>
      <c r="D368" s="11" t="s">
        <v>149</v>
      </c>
      <c r="E368" t="s">
        <v>293</v>
      </c>
      <c r="F368" t="s">
        <v>184</v>
      </c>
      <c r="G368" s="11" t="s">
        <v>446</v>
      </c>
      <c r="H368">
        <v>6</v>
      </c>
      <c r="I368" s="11" t="s">
        <v>427</v>
      </c>
      <c r="J368" t="s">
        <v>296</v>
      </c>
      <c r="K368" t="s">
        <v>238</v>
      </c>
      <c r="L368" s="11" t="s">
        <v>39</v>
      </c>
      <c r="M368" s="11" t="s">
        <v>39</v>
      </c>
      <c r="N368" s="11" t="s">
        <v>39</v>
      </c>
      <c r="O368" s="11" t="s">
        <v>39</v>
      </c>
      <c r="P368" t="s">
        <v>9</v>
      </c>
      <c r="Q368">
        <v>1390</v>
      </c>
      <c r="R368">
        <v>0</v>
      </c>
      <c r="S368">
        <v>0</v>
      </c>
      <c r="T368" t="str">
        <f t="shared" si="55"/>
        <v>-</v>
      </c>
      <c r="U368" t="str">
        <f t="shared" si="56"/>
        <v>-</v>
      </c>
      <c r="V368" t="str">
        <f t="shared" si="57"/>
        <v>-</v>
      </c>
      <c r="W368" t="str">
        <f t="shared" si="58"/>
        <v>-</v>
      </c>
      <c r="X368" t="str">
        <f t="shared" si="59"/>
        <v>-</v>
      </c>
      <c r="Y368" t="str">
        <f t="shared" si="60"/>
        <v>-</v>
      </c>
      <c r="Z368" t="str">
        <f t="shared" si="61"/>
        <v>-</v>
      </c>
      <c r="AA368" t="str">
        <f t="shared" si="62"/>
        <v>-</v>
      </c>
      <c r="AB368" t="str">
        <f>IF(_xlfn.IFNA(VLOOKUP(P368,Set_Ref!$B$6:$B$1048576,1,FALSE),"")&lt;&gt;"","-",FALSE)</f>
        <v>-</v>
      </c>
      <c r="AC368" t="str">
        <f t="shared" si="63"/>
        <v>-</v>
      </c>
      <c r="AD368" t="str">
        <f t="shared" si="64"/>
        <v>-</v>
      </c>
      <c r="AE368" t="b">
        <f t="shared" si="65"/>
        <v>1</v>
      </c>
    </row>
    <row r="369" spans="1:31" x14ac:dyDescent="0.25">
      <c r="A369">
        <v>2</v>
      </c>
      <c r="B369">
        <v>50</v>
      </c>
      <c r="C369">
        <v>261</v>
      </c>
      <c r="D369" s="11" t="s">
        <v>149</v>
      </c>
      <c r="E369" t="s">
        <v>293</v>
      </c>
      <c r="F369" t="s">
        <v>184</v>
      </c>
      <c r="G369" s="11" t="s">
        <v>446</v>
      </c>
      <c r="H369">
        <v>7</v>
      </c>
      <c r="I369" s="11" t="s">
        <v>427</v>
      </c>
      <c r="J369" t="s">
        <v>297</v>
      </c>
      <c r="K369" t="s">
        <v>239</v>
      </c>
      <c r="L369" s="11" t="s">
        <v>39</v>
      </c>
      <c r="M369" s="11" t="s">
        <v>39</v>
      </c>
      <c r="N369" s="11" t="s">
        <v>39</v>
      </c>
      <c r="O369" s="11" t="s">
        <v>39</v>
      </c>
      <c r="P369" t="s">
        <v>9</v>
      </c>
      <c r="Q369">
        <v>340</v>
      </c>
      <c r="R369">
        <v>0</v>
      </c>
      <c r="S369">
        <v>0</v>
      </c>
      <c r="T369" t="str">
        <f t="shared" si="55"/>
        <v>-</v>
      </c>
      <c r="U369" t="str">
        <f t="shared" si="56"/>
        <v>-</v>
      </c>
      <c r="V369" t="str">
        <f t="shared" si="57"/>
        <v>-</v>
      </c>
      <c r="W369" t="str">
        <f t="shared" si="58"/>
        <v>-</v>
      </c>
      <c r="X369" t="str">
        <f t="shared" si="59"/>
        <v>-</v>
      </c>
      <c r="Y369" t="str">
        <f t="shared" si="60"/>
        <v>-</v>
      </c>
      <c r="Z369" t="str">
        <f t="shared" si="61"/>
        <v>-</v>
      </c>
      <c r="AA369" t="str">
        <f t="shared" si="62"/>
        <v>-</v>
      </c>
      <c r="AB369" t="str">
        <f>IF(_xlfn.IFNA(VLOOKUP(P369,Set_Ref!$B$6:$B$1048576,1,FALSE),"")&lt;&gt;"","-",FALSE)</f>
        <v>-</v>
      </c>
      <c r="AC369" t="str">
        <f t="shared" si="63"/>
        <v>-</v>
      </c>
      <c r="AD369" t="str">
        <f t="shared" si="64"/>
        <v>-</v>
      </c>
      <c r="AE369" t="b">
        <f t="shared" si="65"/>
        <v>1</v>
      </c>
    </row>
    <row r="370" spans="1:31" x14ac:dyDescent="0.25">
      <c r="A370">
        <v>2</v>
      </c>
      <c r="B370">
        <v>51</v>
      </c>
      <c r="C370">
        <v>261</v>
      </c>
      <c r="D370" s="11" t="s">
        <v>149</v>
      </c>
      <c r="E370" t="s">
        <v>293</v>
      </c>
      <c r="F370" t="s">
        <v>184</v>
      </c>
      <c r="G370" s="11" t="s">
        <v>446</v>
      </c>
      <c r="H370">
        <v>4</v>
      </c>
      <c r="I370" s="11" t="s">
        <v>427</v>
      </c>
      <c r="J370" t="s">
        <v>448</v>
      </c>
      <c r="K370" t="s">
        <v>237</v>
      </c>
      <c r="L370" s="11" t="s">
        <v>39</v>
      </c>
      <c r="M370" s="11" t="s">
        <v>39</v>
      </c>
      <c r="N370" s="11" t="s">
        <v>39</v>
      </c>
      <c r="O370" s="11" t="s">
        <v>39</v>
      </c>
      <c r="P370" t="s">
        <v>9</v>
      </c>
      <c r="Q370">
        <v>20</v>
      </c>
      <c r="R370">
        <v>0</v>
      </c>
      <c r="S370">
        <v>0</v>
      </c>
      <c r="T370" t="str">
        <f t="shared" si="55"/>
        <v>-</v>
      </c>
      <c r="U370" t="str">
        <f t="shared" si="56"/>
        <v>-</v>
      </c>
      <c r="V370" t="str">
        <f t="shared" si="57"/>
        <v>-</v>
      </c>
      <c r="W370" t="str">
        <f t="shared" si="58"/>
        <v>-</v>
      </c>
      <c r="X370" t="str">
        <f t="shared" si="59"/>
        <v>-</v>
      </c>
      <c r="Y370" t="str">
        <f t="shared" si="60"/>
        <v>-</v>
      </c>
      <c r="Z370" t="str">
        <f t="shared" si="61"/>
        <v>-</v>
      </c>
      <c r="AA370" t="str">
        <f t="shared" si="62"/>
        <v>-</v>
      </c>
      <c r="AB370" t="str">
        <f>IF(_xlfn.IFNA(VLOOKUP(P370,Set_Ref!$B$6:$B$1048576,1,FALSE),"")&lt;&gt;"","-",FALSE)</f>
        <v>-</v>
      </c>
      <c r="AC370" t="str">
        <f t="shared" si="63"/>
        <v>-</v>
      </c>
      <c r="AD370" t="str">
        <f t="shared" si="64"/>
        <v>-</v>
      </c>
      <c r="AE370" t="b">
        <f t="shared" si="65"/>
        <v>1</v>
      </c>
    </row>
    <row r="371" spans="1:31" x14ac:dyDescent="0.25">
      <c r="A371">
        <v>2</v>
      </c>
      <c r="B371">
        <v>52</v>
      </c>
      <c r="C371">
        <v>261</v>
      </c>
      <c r="D371" s="11" t="s">
        <v>149</v>
      </c>
      <c r="E371" t="s">
        <v>293</v>
      </c>
      <c r="F371" t="s">
        <v>184</v>
      </c>
      <c r="G371" s="11" t="s">
        <v>446</v>
      </c>
      <c r="H371">
        <v>4</v>
      </c>
      <c r="I371" s="11" t="s">
        <v>427</v>
      </c>
      <c r="J371" t="s">
        <v>448</v>
      </c>
      <c r="K371" t="s">
        <v>237</v>
      </c>
      <c r="L371" s="11" t="s">
        <v>39</v>
      </c>
      <c r="M371" s="11" t="s">
        <v>39</v>
      </c>
      <c r="N371" s="11" t="s">
        <v>39</v>
      </c>
      <c r="O371" s="11" t="s">
        <v>39</v>
      </c>
      <c r="P371" t="s">
        <v>9</v>
      </c>
      <c r="Q371">
        <v>10</v>
      </c>
      <c r="R371">
        <v>0</v>
      </c>
      <c r="S371">
        <v>0</v>
      </c>
      <c r="T371" t="str">
        <f t="shared" si="55"/>
        <v>-</v>
      </c>
      <c r="U371" t="str">
        <f t="shared" si="56"/>
        <v>-</v>
      </c>
      <c r="V371" t="str">
        <f t="shared" si="57"/>
        <v>-</v>
      </c>
      <c r="W371" t="str">
        <f t="shared" si="58"/>
        <v>-</v>
      </c>
      <c r="X371" t="str">
        <f t="shared" si="59"/>
        <v>-</v>
      </c>
      <c r="Y371" t="str">
        <f t="shared" si="60"/>
        <v>-</v>
      </c>
      <c r="Z371" t="str">
        <f t="shared" si="61"/>
        <v>-</v>
      </c>
      <c r="AA371" t="str">
        <f t="shared" si="62"/>
        <v>-</v>
      </c>
      <c r="AB371" t="str">
        <f>IF(_xlfn.IFNA(VLOOKUP(P371,Set_Ref!$B$6:$B$1048576,1,FALSE),"")&lt;&gt;"","-",FALSE)</f>
        <v>-</v>
      </c>
      <c r="AC371" t="str">
        <f t="shared" si="63"/>
        <v>-</v>
      </c>
      <c r="AD371" t="str">
        <f t="shared" si="64"/>
        <v>-</v>
      </c>
      <c r="AE371" t="b">
        <f t="shared" si="65"/>
        <v>1</v>
      </c>
    </row>
    <row r="372" spans="1:31" x14ac:dyDescent="0.25">
      <c r="A372">
        <v>2</v>
      </c>
      <c r="B372">
        <v>53</v>
      </c>
      <c r="C372">
        <v>261</v>
      </c>
      <c r="D372" s="11" t="s">
        <v>149</v>
      </c>
      <c r="E372" t="s">
        <v>293</v>
      </c>
      <c r="F372" t="s">
        <v>184</v>
      </c>
      <c r="G372" s="11" t="s">
        <v>446</v>
      </c>
      <c r="H372">
        <v>4</v>
      </c>
      <c r="I372" s="11" t="s">
        <v>427</v>
      </c>
      <c r="J372" t="s">
        <v>448</v>
      </c>
      <c r="K372" t="s">
        <v>237</v>
      </c>
      <c r="L372" s="11" t="s">
        <v>39</v>
      </c>
      <c r="M372" s="11" t="s">
        <v>39</v>
      </c>
      <c r="N372" s="11" t="s">
        <v>39</v>
      </c>
      <c r="O372" s="11" t="s">
        <v>39</v>
      </c>
      <c r="P372" t="s">
        <v>9</v>
      </c>
      <c r="Q372">
        <v>20</v>
      </c>
      <c r="R372">
        <v>0</v>
      </c>
      <c r="S372">
        <v>0</v>
      </c>
      <c r="T372" t="str">
        <f t="shared" si="55"/>
        <v>-</v>
      </c>
      <c r="U372" t="str">
        <f t="shared" si="56"/>
        <v>-</v>
      </c>
      <c r="V372" t="str">
        <f t="shared" si="57"/>
        <v>-</v>
      </c>
      <c r="W372" t="str">
        <f t="shared" si="58"/>
        <v>-</v>
      </c>
      <c r="X372" t="str">
        <f t="shared" si="59"/>
        <v>-</v>
      </c>
      <c r="Y372" t="str">
        <f t="shared" si="60"/>
        <v>-</v>
      </c>
      <c r="Z372" t="str">
        <f t="shared" si="61"/>
        <v>-</v>
      </c>
      <c r="AA372" t="str">
        <f t="shared" si="62"/>
        <v>-</v>
      </c>
      <c r="AB372" t="str">
        <f>IF(_xlfn.IFNA(VLOOKUP(P372,Set_Ref!$B$6:$B$1048576,1,FALSE),"")&lt;&gt;"","-",FALSE)</f>
        <v>-</v>
      </c>
      <c r="AC372" t="str">
        <f t="shared" si="63"/>
        <v>-</v>
      </c>
      <c r="AD372" t="str">
        <f t="shared" si="64"/>
        <v>-</v>
      </c>
      <c r="AE372" t="b">
        <f t="shared" si="65"/>
        <v>1</v>
      </c>
    </row>
    <row r="373" spans="1:31" x14ac:dyDescent="0.25">
      <c r="A373">
        <v>2</v>
      </c>
      <c r="B373">
        <v>54</v>
      </c>
      <c r="C373">
        <v>261</v>
      </c>
      <c r="D373" s="11" t="s">
        <v>149</v>
      </c>
      <c r="E373" t="s">
        <v>293</v>
      </c>
      <c r="F373" t="s">
        <v>184</v>
      </c>
      <c r="G373" s="11" t="s">
        <v>446</v>
      </c>
      <c r="H373">
        <v>4</v>
      </c>
      <c r="I373" s="11" t="s">
        <v>427</v>
      </c>
      <c r="J373" t="s">
        <v>448</v>
      </c>
      <c r="K373" t="s">
        <v>237</v>
      </c>
      <c r="L373" s="11" t="s">
        <v>39</v>
      </c>
      <c r="M373" s="11" t="s">
        <v>39</v>
      </c>
      <c r="N373" s="11" t="s">
        <v>39</v>
      </c>
      <c r="O373" s="11" t="s">
        <v>39</v>
      </c>
      <c r="P373" t="s">
        <v>9</v>
      </c>
      <c r="Q373">
        <v>40</v>
      </c>
      <c r="R373">
        <v>0</v>
      </c>
      <c r="S373">
        <v>0</v>
      </c>
      <c r="T373" t="str">
        <f t="shared" si="55"/>
        <v>-</v>
      </c>
      <c r="U373" t="str">
        <f t="shared" si="56"/>
        <v>-</v>
      </c>
      <c r="V373" t="str">
        <f t="shared" si="57"/>
        <v>-</v>
      </c>
      <c r="W373" t="str">
        <f t="shared" si="58"/>
        <v>-</v>
      </c>
      <c r="X373" t="str">
        <f t="shared" si="59"/>
        <v>-</v>
      </c>
      <c r="Y373" t="str">
        <f t="shared" si="60"/>
        <v>-</v>
      </c>
      <c r="Z373" t="str">
        <f t="shared" si="61"/>
        <v>-</v>
      </c>
      <c r="AA373" t="str">
        <f t="shared" si="62"/>
        <v>-</v>
      </c>
      <c r="AB373" t="str">
        <f>IF(_xlfn.IFNA(VLOOKUP(P373,Set_Ref!$B$6:$B$1048576,1,FALSE),"")&lt;&gt;"","-",FALSE)</f>
        <v>-</v>
      </c>
      <c r="AC373" t="str">
        <f t="shared" si="63"/>
        <v>-</v>
      </c>
      <c r="AD373" t="str">
        <f t="shared" si="64"/>
        <v>-</v>
      </c>
      <c r="AE373" t="b">
        <f t="shared" si="65"/>
        <v>1</v>
      </c>
    </row>
    <row r="374" spans="1:31" x14ac:dyDescent="0.25">
      <c r="A374">
        <v>2</v>
      </c>
      <c r="B374">
        <v>55</v>
      </c>
      <c r="C374">
        <v>261</v>
      </c>
      <c r="D374" s="11" t="s">
        <v>149</v>
      </c>
      <c r="E374" t="s">
        <v>293</v>
      </c>
      <c r="F374" t="s">
        <v>184</v>
      </c>
      <c r="G374" s="11" t="s">
        <v>446</v>
      </c>
      <c r="H374">
        <v>4</v>
      </c>
      <c r="I374" s="11" t="s">
        <v>427</v>
      </c>
      <c r="J374" t="s">
        <v>448</v>
      </c>
      <c r="K374" t="s">
        <v>237</v>
      </c>
      <c r="L374" s="11" t="s">
        <v>39</v>
      </c>
      <c r="M374" s="11" t="s">
        <v>39</v>
      </c>
      <c r="N374" s="11" t="s">
        <v>39</v>
      </c>
      <c r="O374" s="11" t="s">
        <v>39</v>
      </c>
      <c r="P374" t="s">
        <v>9</v>
      </c>
      <c r="Q374">
        <v>30</v>
      </c>
      <c r="R374">
        <v>0</v>
      </c>
      <c r="S374">
        <v>0</v>
      </c>
      <c r="T374" t="str">
        <f t="shared" si="55"/>
        <v>-</v>
      </c>
      <c r="U374" t="str">
        <f t="shared" si="56"/>
        <v>-</v>
      </c>
      <c r="V374" t="str">
        <f t="shared" si="57"/>
        <v>-</v>
      </c>
      <c r="W374" t="str">
        <f t="shared" si="58"/>
        <v>-</v>
      </c>
      <c r="X374" t="str">
        <f t="shared" si="59"/>
        <v>-</v>
      </c>
      <c r="Y374" t="str">
        <f t="shared" si="60"/>
        <v>-</v>
      </c>
      <c r="Z374" t="str">
        <f t="shared" si="61"/>
        <v>-</v>
      </c>
      <c r="AA374" t="str">
        <f t="shared" si="62"/>
        <v>-</v>
      </c>
      <c r="AB374" t="str">
        <f>IF(_xlfn.IFNA(VLOOKUP(P374,Set_Ref!$B$6:$B$1048576,1,FALSE),"")&lt;&gt;"","-",FALSE)</f>
        <v>-</v>
      </c>
      <c r="AC374" t="str">
        <f t="shared" si="63"/>
        <v>-</v>
      </c>
      <c r="AD374" t="str">
        <f t="shared" si="64"/>
        <v>-</v>
      </c>
      <c r="AE374" t="b">
        <f t="shared" si="65"/>
        <v>1</v>
      </c>
    </row>
    <row r="375" spans="1:31" x14ac:dyDescent="0.25">
      <c r="A375">
        <v>2</v>
      </c>
      <c r="B375">
        <v>56</v>
      </c>
      <c r="C375">
        <v>261</v>
      </c>
      <c r="D375" s="11" t="s">
        <v>149</v>
      </c>
      <c r="E375" t="s">
        <v>293</v>
      </c>
      <c r="F375" t="s">
        <v>184</v>
      </c>
      <c r="G375" s="11" t="s">
        <v>446</v>
      </c>
      <c r="H375">
        <v>4</v>
      </c>
      <c r="I375" s="11" t="s">
        <v>427</v>
      </c>
      <c r="J375" t="s">
        <v>448</v>
      </c>
      <c r="K375" t="s">
        <v>237</v>
      </c>
      <c r="L375" s="11" t="s">
        <v>39</v>
      </c>
      <c r="M375" s="11" t="s">
        <v>39</v>
      </c>
      <c r="N375" s="11" t="s">
        <v>39</v>
      </c>
      <c r="O375" s="11" t="s">
        <v>39</v>
      </c>
      <c r="P375" t="s">
        <v>9</v>
      </c>
      <c r="Q375">
        <v>75</v>
      </c>
      <c r="R375">
        <v>0</v>
      </c>
      <c r="S375">
        <v>0</v>
      </c>
      <c r="T375" t="str">
        <f t="shared" si="55"/>
        <v>-</v>
      </c>
      <c r="U375" t="str">
        <f t="shared" si="56"/>
        <v>-</v>
      </c>
      <c r="V375" t="str">
        <f t="shared" si="57"/>
        <v>-</v>
      </c>
      <c r="W375" t="str">
        <f t="shared" si="58"/>
        <v>-</v>
      </c>
      <c r="X375" t="str">
        <f t="shared" si="59"/>
        <v>-</v>
      </c>
      <c r="Y375" t="str">
        <f t="shared" si="60"/>
        <v>-</v>
      </c>
      <c r="Z375" t="str">
        <f t="shared" si="61"/>
        <v>-</v>
      </c>
      <c r="AA375" t="str">
        <f t="shared" si="62"/>
        <v>-</v>
      </c>
      <c r="AB375" t="str">
        <f>IF(_xlfn.IFNA(VLOOKUP(P375,Set_Ref!$B$6:$B$1048576,1,FALSE),"")&lt;&gt;"","-",FALSE)</f>
        <v>-</v>
      </c>
      <c r="AC375" t="str">
        <f t="shared" si="63"/>
        <v>-</v>
      </c>
      <c r="AD375" t="str">
        <f t="shared" si="64"/>
        <v>-</v>
      </c>
      <c r="AE375" t="b">
        <f t="shared" si="65"/>
        <v>1</v>
      </c>
    </row>
    <row r="376" spans="1:31" x14ac:dyDescent="0.25">
      <c r="A376">
        <v>2</v>
      </c>
      <c r="B376">
        <v>57</v>
      </c>
      <c r="C376">
        <v>261</v>
      </c>
      <c r="D376" s="11" t="s">
        <v>149</v>
      </c>
      <c r="E376" t="s">
        <v>293</v>
      </c>
      <c r="F376" t="s">
        <v>184</v>
      </c>
      <c r="G376" s="11" t="s">
        <v>446</v>
      </c>
      <c r="H376">
        <v>4</v>
      </c>
      <c r="I376" s="11" t="s">
        <v>427</v>
      </c>
      <c r="J376" t="s">
        <v>448</v>
      </c>
      <c r="K376" t="s">
        <v>237</v>
      </c>
      <c r="L376" s="11" t="s">
        <v>39</v>
      </c>
      <c r="M376" s="11" t="s">
        <v>39</v>
      </c>
      <c r="N376" s="11" t="s">
        <v>39</v>
      </c>
      <c r="O376" s="11" t="s">
        <v>39</v>
      </c>
      <c r="P376" t="s">
        <v>9</v>
      </c>
      <c r="Q376">
        <v>105</v>
      </c>
      <c r="R376">
        <v>0</v>
      </c>
      <c r="S376">
        <v>0</v>
      </c>
      <c r="T376" t="str">
        <f t="shared" si="55"/>
        <v>-</v>
      </c>
      <c r="U376" t="str">
        <f t="shared" si="56"/>
        <v>-</v>
      </c>
      <c r="V376" t="str">
        <f t="shared" si="57"/>
        <v>-</v>
      </c>
      <c r="W376" t="str">
        <f t="shared" si="58"/>
        <v>-</v>
      </c>
      <c r="X376" t="str">
        <f t="shared" si="59"/>
        <v>-</v>
      </c>
      <c r="Y376" t="str">
        <f t="shared" si="60"/>
        <v>-</v>
      </c>
      <c r="Z376" t="str">
        <f t="shared" si="61"/>
        <v>-</v>
      </c>
      <c r="AA376" t="str">
        <f t="shared" si="62"/>
        <v>-</v>
      </c>
      <c r="AB376" t="str">
        <f>IF(_xlfn.IFNA(VLOOKUP(P376,Set_Ref!$B$6:$B$1048576,1,FALSE),"")&lt;&gt;"","-",FALSE)</f>
        <v>-</v>
      </c>
      <c r="AC376" t="str">
        <f t="shared" si="63"/>
        <v>-</v>
      </c>
      <c r="AD376" t="str">
        <f t="shared" si="64"/>
        <v>-</v>
      </c>
      <c r="AE376" t="b">
        <f t="shared" si="65"/>
        <v>1</v>
      </c>
    </row>
    <row r="377" spans="1:31" x14ac:dyDescent="0.25">
      <c r="A377">
        <v>2</v>
      </c>
      <c r="B377">
        <v>58</v>
      </c>
      <c r="C377">
        <v>261</v>
      </c>
      <c r="D377" s="11" t="s">
        <v>149</v>
      </c>
      <c r="E377" t="s">
        <v>293</v>
      </c>
      <c r="F377" t="s">
        <v>184</v>
      </c>
      <c r="G377" s="11" t="s">
        <v>446</v>
      </c>
      <c r="H377">
        <v>4</v>
      </c>
      <c r="I377" s="11" t="s">
        <v>427</v>
      </c>
      <c r="J377" t="s">
        <v>448</v>
      </c>
      <c r="K377" t="s">
        <v>237</v>
      </c>
      <c r="L377" s="11" t="s">
        <v>39</v>
      </c>
      <c r="M377" s="11" t="s">
        <v>39</v>
      </c>
      <c r="N377" s="11" t="s">
        <v>39</v>
      </c>
      <c r="O377" s="11" t="s">
        <v>39</v>
      </c>
      <c r="P377" t="s">
        <v>9</v>
      </c>
      <c r="Q377">
        <v>70</v>
      </c>
      <c r="R377">
        <v>0</v>
      </c>
      <c r="S377">
        <v>0</v>
      </c>
      <c r="T377" t="str">
        <f t="shared" si="55"/>
        <v>-</v>
      </c>
      <c r="U377" t="str">
        <f t="shared" si="56"/>
        <v>-</v>
      </c>
      <c r="V377" t="str">
        <f t="shared" si="57"/>
        <v>-</v>
      </c>
      <c r="W377" t="str">
        <f t="shared" si="58"/>
        <v>-</v>
      </c>
      <c r="X377" t="str">
        <f t="shared" si="59"/>
        <v>-</v>
      </c>
      <c r="Y377" t="str">
        <f t="shared" si="60"/>
        <v>-</v>
      </c>
      <c r="Z377" t="str">
        <f t="shared" si="61"/>
        <v>-</v>
      </c>
      <c r="AA377" t="str">
        <f t="shared" si="62"/>
        <v>-</v>
      </c>
      <c r="AB377" t="str">
        <f>IF(_xlfn.IFNA(VLOOKUP(P377,Set_Ref!$B$6:$B$1048576,1,FALSE),"")&lt;&gt;"","-",FALSE)</f>
        <v>-</v>
      </c>
      <c r="AC377" t="str">
        <f t="shared" si="63"/>
        <v>-</v>
      </c>
      <c r="AD377" t="str">
        <f t="shared" si="64"/>
        <v>-</v>
      </c>
      <c r="AE377" t="b">
        <f t="shared" si="65"/>
        <v>1</v>
      </c>
    </row>
    <row r="378" spans="1:31" x14ac:dyDescent="0.25">
      <c r="A378">
        <v>2</v>
      </c>
      <c r="B378">
        <v>59</v>
      </c>
      <c r="C378">
        <v>261</v>
      </c>
      <c r="D378" s="11" t="s">
        <v>149</v>
      </c>
      <c r="E378" t="s">
        <v>293</v>
      </c>
      <c r="F378" t="s">
        <v>184</v>
      </c>
      <c r="G378" s="11" t="s">
        <v>446</v>
      </c>
      <c r="H378">
        <v>4</v>
      </c>
      <c r="I378" s="11" t="s">
        <v>427</v>
      </c>
      <c r="J378" t="s">
        <v>448</v>
      </c>
      <c r="K378" t="s">
        <v>237</v>
      </c>
      <c r="L378" s="11" t="s">
        <v>39</v>
      </c>
      <c r="M378" s="11" t="s">
        <v>39</v>
      </c>
      <c r="N378" s="11" t="s">
        <v>39</v>
      </c>
      <c r="O378" s="11" t="s">
        <v>39</v>
      </c>
      <c r="P378" t="s">
        <v>9</v>
      </c>
      <c r="Q378">
        <v>20</v>
      </c>
      <c r="R378">
        <v>0</v>
      </c>
      <c r="S378">
        <v>0</v>
      </c>
      <c r="T378" t="str">
        <f t="shared" si="55"/>
        <v>-</v>
      </c>
      <c r="U378" t="str">
        <f t="shared" si="56"/>
        <v>-</v>
      </c>
      <c r="V378" t="str">
        <f t="shared" si="57"/>
        <v>-</v>
      </c>
      <c r="W378" t="str">
        <f t="shared" si="58"/>
        <v>-</v>
      </c>
      <c r="X378" t="str">
        <f t="shared" si="59"/>
        <v>-</v>
      </c>
      <c r="Y378" t="str">
        <f t="shared" si="60"/>
        <v>-</v>
      </c>
      <c r="Z378" t="str">
        <f t="shared" si="61"/>
        <v>-</v>
      </c>
      <c r="AA378" t="str">
        <f t="shared" si="62"/>
        <v>-</v>
      </c>
      <c r="AB378" t="str">
        <f>IF(_xlfn.IFNA(VLOOKUP(P378,Set_Ref!$B$6:$B$1048576,1,FALSE),"")&lt;&gt;"","-",FALSE)</f>
        <v>-</v>
      </c>
      <c r="AC378" t="str">
        <f t="shared" si="63"/>
        <v>-</v>
      </c>
      <c r="AD378" t="str">
        <f t="shared" si="64"/>
        <v>-</v>
      </c>
      <c r="AE378" t="b">
        <f t="shared" si="65"/>
        <v>1</v>
      </c>
    </row>
    <row r="379" spans="1:31" x14ac:dyDescent="0.25">
      <c r="A379">
        <v>2</v>
      </c>
      <c r="B379">
        <v>60</v>
      </c>
      <c r="C379">
        <v>261</v>
      </c>
      <c r="D379" s="11" t="s">
        <v>149</v>
      </c>
      <c r="E379" t="s">
        <v>293</v>
      </c>
      <c r="F379" t="s">
        <v>184</v>
      </c>
      <c r="G379" s="11" t="s">
        <v>446</v>
      </c>
      <c r="H379">
        <v>4</v>
      </c>
      <c r="I379" s="11" t="s">
        <v>427</v>
      </c>
      <c r="J379" t="s">
        <v>448</v>
      </c>
      <c r="K379" t="s">
        <v>237</v>
      </c>
      <c r="L379" s="11" t="s">
        <v>39</v>
      </c>
      <c r="M379" s="11" t="s">
        <v>39</v>
      </c>
      <c r="N379" s="11" t="s">
        <v>39</v>
      </c>
      <c r="O379" s="11" t="s">
        <v>39</v>
      </c>
      <c r="P379" t="s">
        <v>9</v>
      </c>
      <c r="Q379">
        <v>36</v>
      </c>
      <c r="R379">
        <v>0</v>
      </c>
      <c r="S379">
        <v>0</v>
      </c>
      <c r="T379" t="str">
        <f t="shared" si="55"/>
        <v>-</v>
      </c>
      <c r="U379" t="str">
        <f t="shared" si="56"/>
        <v>-</v>
      </c>
      <c r="V379" t="str">
        <f t="shared" si="57"/>
        <v>-</v>
      </c>
      <c r="W379" t="str">
        <f t="shared" si="58"/>
        <v>-</v>
      </c>
      <c r="X379" t="str">
        <f t="shared" si="59"/>
        <v>-</v>
      </c>
      <c r="Y379" t="str">
        <f t="shared" si="60"/>
        <v>-</v>
      </c>
      <c r="Z379" t="str">
        <f t="shared" si="61"/>
        <v>-</v>
      </c>
      <c r="AA379" t="str">
        <f t="shared" si="62"/>
        <v>-</v>
      </c>
      <c r="AB379" t="str">
        <f>IF(_xlfn.IFNA(VLOOKUP(P379,Set_Ref!$B$6:$B$1048576,1,FALSE),"")&lt;&gt;"","-",FALSE)</f>
        <v>-</v>
      </c>
      <c r="AC379" t="str">
        <f t="shared" si="63"/>
        <v>-</v>
      </c>
      <c r="AD379" t="str">
        <f t="shared" si="64"/>
        <v>-</v>
      </c>
      <c r="AE379" t="b">
        <f t="shared" si="65"/>
        <v>1</v>
      </c>
    </row>
    <row r="380" spans="1:31" x14ac:dyDescent="0.25">
      <c r="A380">
        <v>2</v>
      </c>
      <c r="B380">
        <v>61</v>
      </c>
      <c r="C380">
        <v>261</v>
      </c>
      <c r="D380" s="11" t="s">
        <v>149</v>
      </c>
      <c r="E380" t="s">
        <v>293</v>
      </c>
      <c r="F380" t="s">
        <v>184</v>
      </c>
      <c r="G380" s="11" t="s">
        <v>446</v>
      </c>
      <c r="H380">
        <v>4</v>
      </c>
      <c r="I380" s="11" t="s">
        <v>427</v>
      </c>
      <c r="J380" t="s">
        <v>448</v>
      </c>
      <c r="K380" t="s">
        <v>237</v>
      </c>
      <c r="L380" s="11" t="s">
        <v>39</v>
      </c>
      <c r="M380" s="11" t="s">
        <v>39</v>
      </c>
      <c r="N380" s="11" t="s">
        <v>39</v>
      </c>
      <c r="O380" s="11" t="s">
        <v>39</v>
      </c>
      <c r="P380" t="s">
        <v>9</v>
      </c>
      <c r="Q380">
        <v>30</v>
      </c>
      <c r="R380">
        <v>0</v>
      </c>
      <c r="S380">
        <v>0</v>
      </c>
      <c r="T380" t="str">
        <f t="shared" si="55"/>
        <v>-</v>
      </c>
      <c r="U380" t="str">
        <f t="shared" si="56"/>
        <v>-</v>
      </c>
      <c r="V380" t="str">
        <f t="shared" si="57"/>
        <v>-</v>
      </c>
      <c r="W380" t="str">
        <f t="shared" si="58"/>
        <v>-</v>
      </c>
      <c r="X380" t="str">
        <f t="shared" si="59"/>
        <v>-</v>
      </c>
      <c r="Y380" t="str">
        <f t="shared" si="60"/>
        <v>-</v>
      </c>
      <c r="Z380" t="str">
        <f t="shared" si="61"/>
        <v>-</v>
      </c>
      <c r="AA380" t="str">
        <f t="shared" si="62"/>
        <v>-</v>
      </c>
      <c r="AB380" t="str">
        <f>IF(_xlfn.IFNA(VLOOKUP(P380,Set_Ref!$B$6:$B$1048576,1,FALSE),"")&lt;&gt;"","-",FALSE)</f>
        <v>-</v>
      </c>
      <c r="AC380" t="str">
        <f t="shared" si="63"/>
        <v>-</v>
      </c>
      <c r="AD380" t="str">
        <f t="shared" si="64"/>
        <v>-</v>
      </c>
      <c r="AE380" t="b">
        <f t="shared" si="65"/>
        <v>1</v>
      </c>
    </row>
    <row r="381" spans="1:31" x14ac:dyDescent="0.25">
      <c r="A381">
        <v>2</v>
      </c>
      <c r="B381">
        <v>62</v>
      </c>
      <c r="C381">
        <v>261</v>
      </c>
      <c r="D381" s="11" t="s">
        <v>149</v>
      </c>
      <c r="E381" t="s">
        <v>293</v>
      </c>
      <c r="F381" t="s">
        <v>184</v>
      </c>
      <c r="G381" s="11" t="s">
        <v>446</v>
      </c>
      <c r="H381">
        <v>4</v>
      </c>
      <c r="I381" s="11" t="s">
        <v>427</v>
      </c>
      <c r="J381" t="s">
        <v>448</v>
      </c>
      <c r="K381" t="s">
        <v>237</v>
      </c>
      <c r="L381" s="11" t="s">
        <v>39</v>
      </c>
      <c r="M381" s="11" t="s">
        <v>39</v>
      </c>
      <c r="N381" s="11" t="s">
        <v>39</v>
      </c>
      <c r="O381" s="11" t="s">
        <v>39</v>
      </c>
      <c r="P381" t="s">
        <v>9</v>
      </c>
      <c r="Q381">
        <v>76</v>
      </c>
      <c r="R381">
        <v>0</v>
      </c>
      <c r="S381">
        <v>0</v>
      </c>
      <c r="T381" t="str">
        <f t="shared" si="55"/>
        <v>-</v>
      </c>
      <c r="U381" t="str">
        <f t="shared" si="56"/>
        <v>-</v>
      </c>
      <c r="V381" t="str">
        <f t="shared" si="57"/>
        <v>-</v>
      </c>
      <c r="W381" t="str">
        <f t="shared" si="58"/>
        <v>-</v>
      </c>
      <c r="X381" t="str">
        <f t="shared" si="59"/>
        <v>-</v>
      </c>
      <c r="Y381" t="str">
        <f t="shared" si="60"/>
        <v>-</v>
      </c>
      <c r="Z381" t="str">
        <f t="shared" si="61"/>
        <v>-</v>
      </c>
      <c r="AA381" t="str">
        <f t="shared" si="62"/>
        <v>-</v>
      </c>
      <c r="AB381" t="str">
        <f>IF(_xlfn.IFNA(VLOOKUP(P381,Set_Ref!$B$6:$B$1048576,1,FALSE),"")&lt;&gt;"","-",FALSE)</f>
        <v>-</v>
      </c>
      <c r="AC381" t="str">
        <f t="shared" si="63"/>
        <v>-</v>
      </c>
      <c r="AD381" t="str">
        <f t="shared" si="64"/>
        <v>-</v>
      </c>
      <c r="AE381" t="b">
        <f t="shared" si="65"/>
        <v>1</v>
      </c>
    </row>
    <row r="382" spans="1:31" x14ac:dyDescent="0.25">
      <c r="A382">
        <v>2</v>
      </c>
      <c r="B382">
        <v>63</v>
      </c>
      <c r="C382">
        <v>261</v>
      </c>
      <c r="D382" s="11" t="s">
        <v>149</v>
      </c>
      <c r="E382" t="s">
        <v>293</v>
      </c>
      <c r="F382" t="s">
        <v>184</v>
      </c>
      <c r="G382" s="11" t="s">
        <v>446</v>
      </c>
      <c r="H382">
        <v>4</v>
      </c>
      <c r="I382" s="11" t="s">
        <v>427</v>
      </c>
      <c r="J382" t="s">
        <v>448</v>
      </c>
      <c r="K382" t="s">
        <v>237</v>
      </c>
      <c r="L382" s="11" t="s">
        <v>39</v>
      </c>
      <c r="M382" s="11" t="s">
        <v>39</v>
      </c>
      <c r="N382" s="11" t="s">
        <v>39</v>
      </c>
      <c r="O382" s="11" t="s">
        <v>39</v>
      </c>
      <c r="P382" t="s">
        <v>9</v>
      </c>
      <c r="Q382">
        <v>37</v>
      </c>
      <c r="R382">
        <v>0</v>
      </c>
      <c r="S382">
        <v>0</v>
      </c>
      <c r="T382" t="str">
        <f t="shared" si="55"/>
        <v>-</v>
      </c>
      <c r="U382" t="str">
        <f t="shared" si="56"/>
        <v>-</v>
      </c>
      <c r="V382" t="str">
        <f t="shared" si="57"/>
        <v>-</v>
      </c>
      <c r="W382" t="str">
        <f t="shared" si="58"/>
        <v>-</v>
      </c>
      <c r="X382" t="str">
        <f t="shared" si="59"/>
        <v>-</v>
      </c>
      <c r="Y382" t="str">
        <f t="shared" si="60"/>
        <v>-</v>
      </c>
      <c r="Z382" t="str">
        <f t="shared" si="61"/>
        <v>-</v>
      </c>
      <c r="AA382" t="str">
        <f t="shared" si="62"/>
        <v>-</v>
      </c>
      <c r="AB382" t="str">
        <f>IF(_xlfn.IFNA(VLOOKUP(P382,Set_Ref!$B$6:$B$1048576,1,FALSE),"")&lt;&gt;"","-",FALSE)</f>
        <v>-</v>
      </c>
      <c r="AC382" t="str">
        <f t="shared" si="63"/>
        <v>-</v>
      </c>
      <c r="AD382" t="str">
        <f t="shared" si="64"/>
        <v>-</v>
      </c>
      <c r="AE382" t="b">
        <f t="shared" si="65"/>
        <v>1</v>
      </c>
    </row>
    <row r="383" spans="1:31" x14ac:dyDescent="0.25">
      <c r="A383">
        <v>2</v>
      </c>
      <c r="B383">
        <v>64</v>
      </c>
      <c r="C383">
        <v>261</v>
      </c>
      <c r="D383" s="11" t="s">
        <v>149</v>
      </c>
      <c r="E383" t="s">
        <v>293</v>
      </c>
      <c r="F383" t="s">
        <v>184</v>
      </c>
      <c r="G383" s="11" t="s">
        <v>446</v>
      </c>
      <c r="H383">
        <v>4</v>
      </c>
      <c r="I383" s="11" t="s">
        <v>427</v>
      </c>
      <c r="J383" t="s">
        <v>448</v>
      </c>
      <c r="K383" t="s">
        <v>237</v>
      </c>
      <c r="L383" s="11" t="s">
        <v>39</v>
      </c>
      <c r="M383" s="11" t="s">
        <v>39</v>
      </c>
      <c r="N383" s="11" t="s">
        <v>39</v>
      </c>
      <c r="O383" s="11" t="s">
        <v>39</v>
      </c>
      <c r="P383" t="s">
        <v>9</v>
      </c>
      <c r="Q383">
        <v>20</v>
      </c>
      <c r="R383">
        <v>0</v>
      </c>
      <c r="S383">
        <v>0</v>
      </c>
      <c r="T383" t="str">
        <f t="shared" si="55"/>
        <v>-</v>
      </c>
      <c r="U383" t="str">
        <f t="shared" si="56"/>
        <v>-</v>
      </c>
      <c r="V383" t="str">
        <f t="shared" si="57"/>
        <v>-</v>
      </c>
      <c r="W383" t="str">
        <f t="shared" si="58"/>
        <v>-</v>
      </c>
      <c r="X383" t="str">
        <f t="shared" si="59"/>
        <v>-</v>
      </c>
      <c r="Y383" t="str">
        <f t="shared" si="60"/>
        <v>-</v>
      </c>
      <c r="Z383" t="str">
        <f t="shared" si="61"/>
        <v>-</v>
      </c>
      <c r="AA383" t="str">
        <f t="shared" si="62"/>
        <v>-</v>
      </c>
      <c r="AB383" t="str">
        <f>IF(_xlfn.IFNA(VLOOKUP(P383,Set_Ref!$B$6:$B$1048576,1,FALSE),"")&lt;&gt;"","-",FALSE)</f>
        <v>-</v>
      </c>
      <c r="AC383" t="str">
        <f t="shared" si="63"/>
        <v>-</v>
      </c>
      <c r="AD383" t="str">
        <f t="shared" si="64"/>
        <v>-</v>
      </c>
      <c r="AE383" t="b">
        <f t="shared" si="65"/>
        <v>1</v>
      </c>
    </row>
    <row r="384" spans="1:31" x14ac:dyDescent="0.25">
      <c r="A384">
        <v>2</v>
      </c>
      <c r="B384">
        <v>65</v>
      </c>
      <c r="C384">
        <v>261</v>
      </c>
      <c r="D384" s="11" t="s">
        <v>149</v>
      </c>
      <c r="E384" t="s">
        <v>293</v>
      </c>
      <c r="F384" t="s">
        <v>184</v>
      </c>
      <c r="G384" s="11" t="s">
        <v>446</v>
      </c>
      <c r="H384">
        <v>4</v>
      </c>
      <c r="I384" s="11" t="s">
        <v>427</v>
      </c>
      <c r="J384" t="s">
        <v>448</v>
      </c>
      <c r="K384" t="s">
        <v>237</v>
      </c>
      <c r="L384" s="11" t="s">
        <v>39</v>
      </c>
      <c r="M384" s="11" t="s">
        <v>39</v>
      </c>
      <c r="N384" s="11" t="s">
        <v>39</v>
      </c>
      <c r="O384" s="11" t="s">
        <v>39</v>
      </c>
      <c r="P384" t="s">
        <v>9</v>
      </c>
      <c r="Q384">
        <v>30</v>
      </c>
      <c r="R384">
        <v>0</v>
      </c>
      <c r="S384">
        <v>0</v>
      </c>
      <c r="T384" t="str">
        <f t="shared" si="55"/>
        <v>-</v>
      </c>
      <c r="U384" t="str">
        <f t="shared" si="56"/>
        <v>-</v>
      </c>
      <c r="V384" t="str">
        <f t="shared" si="57"/>
        <v>-</v>
      </c>
      <c r="W384" t="str">
        <f t="shared" si="58"/>
        <v>-</v>
      </c>
      <c r="X384" t="str">
        <f t="shared" si="59"/>
        <v>-</v>
      </c>
      <c r="Y384" t="str">
        <f t="shared" si="60"/>
        <v>-</v>
      </c>
      <c r="Z384" t="str">
        <f t="shared" si="61"/>
        <v>-</v>
      </c>
      <c r="AA384" t="str">
        <f t="shared" si="62"/>
        <v>-</v>
      </c>
      <c r="AB384" t="str">
        <f>IF(_xlfn.IFNA(VLOOKUP(P384,Set_Ref!$B$6:$B$1048576,1,FALSE),"")&lt;&gt;"","-",FALSE)</f>
        <v>-</v>
      </c>
      <c r="AC384" t="str">
        <f t="shared" si="63"/>
        <v>-</v>
      </c>
      <c r="AD384" t="str">
        <f t="shared" si="64"/>
        <v>-</v>
      </c>
      <c r="AE384" t="b">
        <f t="shared" si="65"/>
        <v>1</v>
      </c>
    </row>
    <row r="385" spans="1:31" x14ac:dyDescent="0.25">
      <c r="A385">
        <v>2</v>
      </c>
      <c r="B385">
        <v>66</v>
      </c>
      <c r="C385">
        <v>261</v>
      </c>
      <c r="D385" s="11" t="s">
        <v>149</v>
      </c>
      <c r="E385" t="s">
        <v>293</v>
      </c>
      <c r="F385" t="s">
        <v>184</v>
      </c>
      <c r="G385" s="11" t="s">
        <v>446</v>
      </c>
      <c r="H385">
        <v>4</v>
      </c>
      <c r="I385" s="11" t="s">
        <v>427</v>
      </c>
      <c r="J385" t="s">
        <v>448</v>
      </c>
      <c r="K385" t="s">
        <v>237</v>
      </c>
      <c r="L385" s="11" t="s">
        <v>39</v>
      </c>
      <c r="M385" s="11" t="s">
        <v>39</v>
      </c>
      <c r="N385" s="11" t="s">
        <v>39</v>
      </c>
      <c r="O385" s="11" t="s">
        <v>39</v>
      </c>
      <c r="P385" t="s">
        <v>9</v>
      </c>
      <c r="Q385">
        <v>38</v>
      </c>
      <c r="R385">
        <v>0</v>
      </c>
      <c r="S385">
        <v>0</v>
      </c>
      <c r="T385" t="str">
        <f t="shared" si="55"/>
        <v>-</v>
      </c>
      <c r="U385" t="str">
        <f t="shared" si="56"/>
        <v>-</v>
      </c>
      <c r="V385" t="str">
        <f t="shared" si="57"/>
        <v>-</v>
      </c>
      <c r="W385" t="str">
        <f t="shared" si="58"/>
        <v>-</v>
      </c>
      <c r="X385" t="str">
        <f t="shared" si="59"/>
        <v>-</v>
      </c>
      <c r="Y385" t="str">
        <f t="shared" si="60"/>
        <v>-</v>
      </c>
      <c r="Z385" t="str">
        <f t="shared" si="61"/>
        <v>-</v>
      </c>
      <c r="AA385" t="str">
        <f t="shared" si="62"/>
        <v>-</v>
      </c>
      <c r="AB385" t="str">
        <f>IF(_xlfn.IFNA(VLOOKUP(P385,Set_Ref!$B$6:$B$1048576,1,FALSE),"")&lt;&gt;"","-",FALSE)</f>
        <v>-</v>
      </c>
      <c r="AC385" t="str">
        <f t="shared" si="63"/>
        <v>-</v>
      </c>
      <c r="AD385" t="str">
        <f t="shared" si="64"/>
        <v>-</v>
      </c>
      <c r="AE385" t="b">
        <f t="shared" si="65"/>
        <v>1</v>
      </c>
    </row>
    <row r="386" spans="1:31" x14ac:dyDescent="0.25">
      <c r="A386">
        <v>2</v>
      </c>
      <c r="B386">
        <v>67</v>
      </c>
      <c r="C386">
        <v>261</v>
      </c>
      <c r="D386" s="11" t="s">
        <v>149</v>
      </c>
      <c r="E386" t="s">
        <v>293</v>
      </c>
      <c r="F386" t="s">
        <v>184</v>
      </c>
      <c r="G386" s="11" t="s">
        <v>446</v>
      </c>
      <c r="H386">
        <v>4</v>
      </c>
      <c r="I386" s="11" t="s">
        <v>427</v>
      </c>
      <c r="J386" t="s">
        <v>448</v>
      </c>
      <c r="K386" t="s">
        <v>237</v>
      </c>
      <c r="L386" s="11" t="s">
        <v>39</v>
      </c>
      <c r="M386" s="11" t="s">
        <v>39</v>
      </c>
      <c r="N386" s="11" t="s">
        <v>39</v>
      </c>
      <c r="O386" s="11" t="s">
        <v>39</v>
      </c>
      <c r="P386" t="s">
        <v>9</v>
      </c>
      <c r="Q386">
        <v>18</v>
      </c>
      <c r="R386">
        <v>0</v>
      </c>
      <c r="S386">
        <v>0</v>
      </c>
      <c r="T386" t="str">
        <f t="shared" si="55"/>
        <v>-</v>
      </c>
      <c r="U386" t="str">
        <f t="shared" si="56"/>
        <v>-</v>
      </c>
      <c r="V386" t="str">
        <f t="shared" si="57"/>
        <v>-</v>
      </c>
      <c r="W386" t="str">
        <f t="shared" si="58"/>
        <v>-</v>
      </c>
      <c r="X386" t="str">
        <f t="shared" si="59"/>
        <v>-</v>
      </c>
      <c r="Y386" t="str">
        <f t="shared" si="60"/>
        <v>-</v>
      </c>
      <c r="Z386" t="str">
        <f t="shared" si="61"/>
        <v>-</v>
      </c>
      <c r="AA386" t="str">
        <f t="shared" si="62"/>
        <v>-</v>
      </c>
      <c r="AB386" t="str">
        <f>IF(_xlfn.IFNA(VLOOKUP(P386,Set_Ref!$B$6:$B$1048576,1,FALSE),"")&lt;&gt;"","-",FALSE)</f>
        <v>-</v>
      </c>
      <c r="AC386" t="str">
        <f t="shared" si="63"/>
        <v>-</v>
      </c>
      <c r="AD386" t="str">
        <f t="shared" si="64"/>
        <v>-</v>
      </c>
      <c r="AE386" t="b">
        <f t="shared" si="65"/>
        <v>1</v>
      </c>
    </row>
    <row r="387" spans="1:31" x14ac:dyDescent="0.25">
      <c r="A387">
        <v>2</v>
      </c>
      <c r="B387">
        <v>68</v>
      </c>
      <c r="C387">
        <v>261</v>
      </c>
      <c r="D387" s="11" t="s">
        <v>149</v>
      </c>
      <c r="E387" t="s">
        <v>293</v>
      </c>
      <c r="F387" t="s">
        <v>184</v>
      </c>
      <c r="G387" s="11" t="s">
        <v>446</v>
      </c>
      <c r="H387">
        <v>4</v>
      </c>
      <c r="I387" s="11" t="s">
        <v>427</v>
      </c>
      <c r="J387" t="s">
        <v>448</v>
      </c>
      <c r="K387" t="s">
        <v>237</v>
      </c>
      <c r="L387" s="11" t="s">
        <v>39</v>
      </c>
      <c r="M387" s="11" t="s">
        <v>39</v>
      </c>
      <c r="N387" s="11" t="s">
        <v>39</v>
      </c>
      <c r="O387" s="11" t="s">
        <v>39</v>
      </c>
      <c r="P387" t="s">
        <v>9</v>
      </c>
      <c r="Q387">
        <v>30</v>
      </c>
      <c r="R387">
        <v>0</v>
      </c>
      <c r="S387">
        <v>0</v>
      </c>
      <c r="T387" t="str">
        <f t="shared" ref="T387:T450" si="66">IF(OR(A387="",A387&lt;1),FALSE,IF(ISNUMBER(A387), IF(INT(A387) = A387, "-", FALSE), FALSE))</f>
        <v>-</v>
      </c>
      <c r="U387" t="str">
        <f t="shared" ref="U387:U450" si="67">IF(OR(B387="",A387&lt;1),FALSE,IF(ISNUMBER(A387), IF(INT(A387) = A387, "-", FALSE), FALSE))</f>
        <v>-</v>
      </c>
      <c r="V387" t="str">
        <f t="shared" ref="V387:V450" si="68">IF(OR(C387="",C387="PilihSalasatu"),FALSE,"-")</f>
        <v>-</v>
      </c>
      <c r="W387" t="str">
        <f t="shared" ref="W387:W450" si="69">IF(D387="",FALSE,"-")</f>
        <v>-</v>
      </c>
      <c r="X387" t="str">
        <f t="shared" ref="X387:X450" si="70">IF(E387="",FALSE,"-")</f>
        <v>-</v>
      </c>
      <c r="Y387" t="str">
        <f t="shared" ref="Y387:Y450" si="71">IF(F387="",FALSE,"-")</f>
        <v>-</v>
      </c>
      <c r="Z387" t="str">
        <f t="shared" ref="Z387:Z450" si="72">IF(I387="",FALSE,"-")</f>
        <v>-</v>
      </c>
      <c r="AA387" t="str">
        <f t="shared" ref="AA387:AA450" si="73">IF(J387="",FALSE,"-")</f>
        <v>-</v>
      </c>
      <c r="AB387" t="str">
        <f>IF(_xlfn.IFNA(VLOOKUP(P387,Set_Ref!$B$6:$B$1048576,1,FALSE),"")&lt;&gt;"","-",FALSE)</f>
        <v>-</v>
      </c>
      <c r="AC387" t="str">
        <f t="shared" ref="AC387:AC450" si="74">IF(OR(Q387="",Q387&lt;0),FALSE,IF(ISNUMBER(Q387),"-",FALSE))</f>
        <v>-</v>
      </c>
      <c r="AD387" t="str">
        <f t="shared" ref="AD387:AD450" si="75">IF(OR(G387="",H387="",I387="",K387=""),FALSE,"-")</f>
        <v>-</v>
      </c>
      <c r="AE387" t="b">
        <f t="shared" ref="AE387:AE450" si="76">IF(COUNTIF(T387:AD387, "FALSE") &gt; 0, FALSE, TRUE)</f>
        <v>1</v>
      </c>
    </row>
    <row r="388" spans="1:31" x14ac:dyDescent="0.25">
      <c r="A388">
        <v>2</v>
      </c>
      <c r="B388">
        <v>69</v>
      </c>
      <c r="C388">
        <v>261</v>
      </c>
      <c r="D388" s="11" t="s">
        <v>149</v>
      </c>
      <c r="E388" t="s">
        <v>293</v>
      </c>
      <c r="F388" t="s">
        <v>184</v>
      </c>
      <c r="G388" s="11" t="s">
        <v>446</v>
      </c>
      <c r="H388">
        <v>4</v>
      </c>
      <c r="I388" s="11" t="s">
        <v>427</v>
      </c>
      <c r="J388" t="s">
        <v>448</v>
      </c>
      <c r="K388" t="s">
        <v>237</v>
      </c>
      <c r="L388" s="11" t="s">
        <v>39</v>
      </c>
      <c r="M388" s="11" t="s">
        <v>39</v>
      </c>
      <c r="N388" s="11" t="s">
        <v>39</v>
      </c>
      <c r="O388" s="11" t="s">
        <v>39</v>
      </c>
      <c r="P388" t="s">
        <v>9</v>
      </c>
      <c r="Q388">
        <v>20</v>
      </c>
      <c r="R388">
        <v>0</v>
      </c>
      <c r="S388">
        <v>0</v>
      </c>
      <c r="T388" t="str">
        <f t="shared" si="66"/>
        <v>-</v>
      </c>
      <c r="U388" t="str">
        <f t="shared" si="67"/>
        <v>-</v>
      </c>
      <c r="V388" t="str">
        <f t="shared" si="68"/>
        <v>-</v>
      </c>
      <c r="W388" t="str">
        <f t="shared" si="69"/>
        <v>-</v>
      </c>
      <c r="X388" t="str">
        <f t="shared" si="70"/>
        <v>-</v>
      </c>
      <c r="Y388" t="str">
        <f t="shared" si="71"/>
        <v>-</v>
      </c>
      <c r="Z388" t="str">
        <f t="shared" si="72"/>
        <v>-</v>
      </c>
      <c r="AA388" t="str">
        <f t="shared" si="73"/>
        <v>-</v>
      </c>
      <c r="AB388" t="str">
        <f>IF(_xlfn.IFNA(VLOOKUP(P388,Set_Ref!$B$6:$B$1048576,1,FALSE),"")&lt;&gt;"","-",FALSE)</f>
        <v>-</v>
      </c>
      <c r="AC388" t="str">
        <f t="shared" si="74"/>
        <v>-</v>
      </c>
      <c r="AD388" t="str">
        <f t="shared" si="75"/>
        <v>-</v>
      </c>
      <c r="AE388" t="b">
        <f t="shared" si="76"/>
        <v>1</v>
      </c>
    </row>
    <row r="389" spans="1:31" x14ac:dyDescent="0.25">
      <c r="A389">
        <v>2</v>
      </c>
      <c r="B389">
        <v>70</v>
      </c>
      <c r="C389">
        <v>261</v>
      </c>
      <c r="D389" s="11" t="s">
        <v>149</v>
      </c>
      <c r="E389" t="s">
        <v>293</v>
      </c>
      <c r="F389" t="s">
        <v>184</v>
      </c>
      <c r="G389" s="11" t="s">
        <v>446</v>
      </c>
      <c r="H389">
        <v>4</v>
      </c>
      <c r="I389" s="11" t="s">
        <v>427</v>
      </c>
      <c r="J389" t="s">
        <v>448</v>
      </c>
      <c r="K389" t="s">
        <v>237</v>
      </c>
      <c r="L389" s="11" t="s">
        <v>39</v>
      </c>
      <c r="M389" s="11" t="s">
        <v>39</v>
      </c>
      <c r="N389" s="11" t="s">
        <v>39</v>
      </c>
      <c r="O389" s="11" t="s">
        <v>39</v>
      </c>
      <c r="P389" t="s">
        <v>9</v>
      </c>
      <c r="Q389">
        <v>10</v>
      </c>
      <c r="R389">
        <v>0</v>
      </c>
      <c r="S389">
        <v>0</v>
      </c>
      <c r="T389" t="str">
        <f t="shared" si="66"/>
        <v>-</v>
      </c>
      <c r="U389" t="str">
        <f t="shared" si="67"/>
        <v>-</v>
      </c>
      <c r="V389" t="str">
        <f t="shared" si="68"/>
        <v>-</v>
      </c>
      <c r="W389" t="str">
        <f t="shared" si="69"/>
        <v>-</v>
      </c>
      <c r="X389" t="str">
        <f t="shared" si="70"/>
        <v>-</v>
      </c>
      <c r="Y389" t="str">
        <f t="shared" si="71"/>
        <v>-</v>
      </c>
      <c r="Z389" t="str">
        <f t="shared" si="72"/>
        <v>-</v>
      </c>
      <c r="AA389" t="str">
        <f t="shared" si="73"/>
        <v>-</v>
      </c>
      <c r="AB389" t="str">
        <f>IF(_xlfn.IFNA(VLOOKUP(P389,Set_Ref!$B$6:$B$1048576,1,FALSE),"")&lt;&gt;"","-",FALSE)</f>
        <v>-</v>
      </c>
      <c r="AC389" t="str">
        <f t="shared" si="74"/>
        <v>-</v>
      </c>
      <c r="AD389" t="str">
        <f t="shared" si="75"/>
        <v>-</v>
      </c>
      <c r="AE389" t="b">
        <f t="shared" si="76"/>
        <v>1</v>
      </c>
    </row>
    <row r="390" spans="1:31" x14ac:dyDescent="0.25">
      <c r="A390">
        <v>2</v>
      </c>
      <c r="B390">
        <v>71</v>
      </c>
      <c r="C390">
        <v>261</v>
      </c>
      <c r="D390" s="11" t="s">
        <v>149</v>
      </c>
      <c r="E390" t="s">
        <v>293</v>
      </c>
      <c r="F390" t="s">
        <v>184</v>
      </c>
      <c r="G390" s="11" t="s">
        <v>446</v>
      </c>
      <c r="H390">
        <v>4</v>
      </c>
      <c r="I390" s="11" t="s">
        <v>427</v>
      </c>
      <c r="J390" t="s">
        <v>448</v>
      </c>
      <c r="K390" t="s">
        <v>237</v>
      </c>
      <c r="L390" s="11" t="s">
        <v>39</v>
      </c>
      <c r="M390" s="11" t="s">
        <v>39</v>
      </c>
      <c r="N390" s="11" t="s">
        <v>39</v>
      </c>
      <c r="O390" s="11" t="s">
        <v>39</v>
      </c>
      <c r="P390" t="s">
        <v>9</v>
      </c>
      <c r="Q390">
        <v>40</v>
      </c>
      <c r="R390">
        <v>0</v>
      </c>
      <c r="S390">
        <v>0</v>
      </c>
      <c r="T390" t="str">
        <f t="shared" si="66"/>
        <v>-</v>
      </c>
      <c r="U390" t="str">
        <f t="shared" si="67"/>
        <v>-</v>
      </c>
      <c r="V390" t="str">
        <f t="shared" si="68"/>
        <v>-</v>
      </c>
      <c r="W390" t="str">
        <f t="shared" si="69"/>
        <v>-</v>
      </c>
      <c r="X390" t="str">
        <f t="shared" si="70"/>
        <v>-</v>
      </c>
      <c r="Y390" t="str">
        <f t="shared" si="71"/>
        <v>-</v>
      </c>
      <c r="Z390" t="str">
        <f t="shared" si="72"/>
        <v>-</v>
      </c>
      <c r="AA390" t="str">
        <f t="shared" si="73"/>
        <v>-</v>
      </c>
      <c r="AB390" t="str">
        <f>IF(_xlfn.IFNA(VLOOKUP(P390,Set_Ref!$B$6:$B$1048576,1,FALSE),"")&lt;&gt;"","-",FALSE)</f>
        <v>-</v>
      </c>
      <c r="AC390" t="str">
        <f t="shared" si="74"/>
        <v>-</v>
      </c>
      <c r="AD390" t="str">
        <f t="shared" si="75"/>
        <v>-</v>
      </c>
      <c r="AE390" t="b">
        <f t="shared" si="76"/>
        <v>1</v>
      </c>
    </row>
    <row r="391" spans="1:31" x14ac:dyDescent="0.25">
      <c r="A391">
        <v>2</v>
      </c>
      <c r="B391">
        <v>72</v>
      </c>
      <c r="C391">
        <v>261</v>
      </c>
      <c r="D391" s="11" t="s">
        <v>149</v>
      </c>
      <c r="E391" t="s">
        <v>293</v>
      </c>
      <c r="F391" t="s">
        <v>184</v>
      </c>
      <c r="G391" s="11" t="s">
        <v>446</v>
      </c>
      <c r="H391">
        <v>4</v>
      </c>
      <c r="I391" s="11" t="s">
        <v>427</v>
      </c>
      <c r="J391" t="s">
        <v>448</v>
      </c>
      <c r="K391" t="s">
        <v>237</v>
      </c>
      <c r="L391" s="11" t="s">
        <v>39</v>
      </c>
      <c r="M391" s="11" t="s">
        <v>39</v>
      </c>
      <c r="N391" s="11" t="s">
        <v>39</v>
      </c>
      <c r="O391" s="11" t="s">
        <v>39</v>
      </c>
      <c r="P391" t="s">
        <v>9</v>
      </c>
      <c r="Q391">
        <v>40</v>
      </c>
      <c r="R391">
        <v>0</v>
      </c>
      <c r="S391">
        <v>0</v>
      </c>
      <c r="T391" t="str">
        <f t="shared" si="66"/>
        <v>-</v>
      </c>
      <c r="U391" t="str">
        <f t="shared" si="67"/>
        <v>-</v>
      </c>
      <c r="V391" t="str">
        <f t="shared" si="68"/>
        <v>-</v>
      </c>
      <c r="W391" t="str">
        <f t="shared" si="69"/>
        <v>-</v>
      </c>
      <c r="X391" t="str">
        <f t="shared" si="70"/>
        <v>-</v>
      </c>
      <c r="Y391" t="str">
        <f t="shared" si="71"/>
        <v>-</v>
      </c>
      <c r="Z391" t="str">
        <f t="shared" si="72"/>
        <v>-</v>
      </c>
      <c r="AA391" t="str">
        <f t="shared" si="73"/>
        <v>-</v>
      </c>
      <c r="AB391" t="str">
        <f>IF(_xlfn.IFNA(VLOOKUP(P391,Set_Ref!$B$6:$B$1048576,1,FALSE),"")&lt;&gt;"","-",FALSE)</f>
        <v>-</v>
      </c>
      <c r="AC391" t="str">
        <f t="shared" si="74"/>
        <v>-</v>
      </c>
      <c r="AD391" t="str">
        <f t="shared" si="75"/>
        <v>-</v>
      </c>
      <c r="AE391" t="b">
        <f t="shared" si="76"/>
        <v>1</v>
      </c>
    </row>
    <row r="392" spans="1:31" x14ac:dyDescent="0.25">
      <c r="A392">
        <v>2</v>
      </c>
      <c r="B392">
        <v>73</v>
      </c>
      <c r="C392">
        <v>261</v>
      </c>
      <c r="D392" s="11" t="s">
        <v>149</v>
      </c>
      <c r="E392" t="s">
        <v>293</v>
      </c>
      <c r="F392" t="s">
        <v>184</v>
      </c>
      <c r="G392" s="11" t="s">
        <v>446</v>
      </c>
      <c r="H392">
        <v>4</v>
      </c>
      <c r="I392" s="11" t="s">
        <v>427</v>
      </c>
      <c r="J392" t="s">
        <v>448</v>
      </c>
      <c r="K392" t="s">
        <v>237</v>
      </c>
      <c r="L392" s="11" t="s">
        <v>39</v>
      </c>
      <c r="M392" s="11" t="s">
        <v>39</v>
      </c>
      <c r="N392" s="11" t="s">
        <v>39</v>
      </c>
      <c r="O392" s="11" t="s">
        <v>39</v>
      </c>
      <c r="P392" t="s">
        <v>9</v>
      </c>
      <c r="Q392">
        <v>27</v>
      </c>
      <c r="R392">
        <v>0</v>
      </c>
      <c r="S392">
        <v>0</v>
      </c>
      <c r="T392" t="str">
        <f t="shared" si="66"/>
        <v>-</v>
      </c>
      <c r="U392" t="str">
        <f t="shared" si="67"/>
        <v>-</v>
      </c>
      <c r="V392" t="str">
        <f t="shared" si="68"/>
        <v>-</v>
      </c>
      <c r="W392" t="str">
        <f t="shared" si="69"/>
        <v>-</v>
      </c>
      <c r="X392" t="str">
        <f t="shared" si="70"/>
        <v>-</v>
      </c>
      <c r="Y392" t="str">
        <f t="shared" si="71"/>
        <v>-</v>
      </c>
      <c r="Z392" t="str">
        <f t="shared" si="72"/>
        <v>-</v>
      </c>
      <c r="AA392" t="str">
        <f t="shared" si="73"/>
        <v>-</v>
      </c>
      <c r="AB392" t="str">
        <f>IF(_xlfn.IFNA(VLOOKUP(P392,Set_Ref!$B$6:$B$1048576,1,FALSE),"")&lt;&gt;"","-",FALSE)</f>
        <v>-</v>
      </c>
      <c r="AC392" t="str">
        <f t="shared" si="74"/>
        <v>-</v>
      </c>
      <c r="AD392" t="str">
        <f t="shared" si="75"/>
        <v>-</v>
      </c>
      <c r="AE392" t="b">
        <f t="shared" si="76"/>
        <v>1</v>
      </c>
    </row>
    <row r="393" spans="1:31" x14ac:dyDescent="0.25">
      <c r="A393">
        <v>2</v>
      </c>
      <c r="B393">
        <v>74</v>
      </c>
      <c r="C393">
        <v>261</v>
      </c>
      <c r="D393" s="11" t="s">
        <v>149</v>
      </c>
      <c r="E393" t="s">
        <v>293</v>
      </c>
      <c r="F393" t="s">
        <v>184</v>
      </c>
      <c r="G393" s="11" t="s">
        <v>446</v>
      </c>
      <c r="H393">
        <v>4</v>
      </c>
      <c r="I393" s="11" t="s">
        <v>427</v>
      </c>
      <c r="J393" t="s">
        <v>448</v>
      </c>
      <c r="K393" t="s">
        <v>237</v>
      </c>
      <c r="L393" s="11" t="s">
        <v>39</v>
      </c>
      <c r="M393" s="11" t="s">
        <v>39</v>
      </c>
      <c r="N393" s="11" t="s">
        <v>39</v>
      </c>
      <c r="O393" s="11" t="s">
        <v>39</v>
      </c>
      <c r="P393" t="s">
        <v>9</v>
      </c>
      <c r="Q393">
        <v>31</v>
      </c>
      <c r="R393">
        <v>0</v>
      </c>
      <c r="S393">
        <v>0</v>
      </c>
      <c r="T393" t="str">
        <f t="shared" si="66"/>
        <v>-</v>
      </c>
      <c r="U393" t="str">
        <f t="shared" si="67"/>
        <v>-</v>
      </c>
      <c r="V393" t="str">
        <f t="shared" si="68"/>
        <v>-</v>
      </c>
      <c r="W393" t="str">
        <f t="shared" si="69"/>
        <v>-</v>
      </c>
      <c r="X393" t="str">
        <f t="shared" si="70"/>
        <v>-</v>
      </c>
      <c r="Y393" t="str">
        <f t="shared" si="71"/>
        <v>-</v>
      </c>
      <c r="Z393" t="str">
        <f t="shared" si="72"/>
        <v>-</v>
      </c>
      <c r="AA393" t="str">
        <f t="shared" si="73"/>
        <v>-</v>
      </c>
      <c r="AB393" t="str">
        <f>IF(_xlfn.IFNA(VLOOKUP(P393,Set_Ref!$B$6:$B$1048576,1,FALSE),"")&lt;&gt;"","-",FALSE)</f>
        <v>-</v>
      </c>
      <c r="AC393" t="str">
        <f t="shared" si="74"/>
        <v>-</v>
      </c>
      <c r="AD393" t="str">
        <f t="shared" si="75"/>
        <v>-</v>
      </c>
      <c r="AE393" t="b">
        <f t="shared" si="76"/>
        <v>1</v>
      </c>
    </row>
    <row r="394" spans="1:31" x14ac:dyDescent="0.25">
      <c r="A394">
        <v>2</v>
      </c>
      <c r="B394">
        <v>75</v>
      </c>
      <c r="C394">
        <v>261</v>
      </c>
      <c r="D394" s="11" t="s">
        <v>149</v>
      </c>
      <c r="E394" t="s">
        <v>299</v>
      </c>
      <c r="F394" t="s">
        <v>185</v>
      </c>
      <c r="G394" s="11" t="s">
        <v>449</v>
      </c>
      <c r="H394">
        <v>1</v>
      </c>
      <c r="I394" s="11" t="s">
        <v>440</v>
      </c>
      <c r="J394" t="s">
        <v>290</v>
      </c>
      <c r="K394" t="s">
        <v>231</v>
      </c>
      <c r="L394" s="11" t="s">
        <v>39</v>
      </c>
      <c r="M394" s="11" t="s">
        <v>39</v>
      </c>
      <c r="N394" s="11" t="s">
        <v>39</v>
      </c>
      <c r="O394" s="11" t="s">
        <v>39</v>
      </c>
      <c r="P394" t="s">
        <v>10</v>
      </c>
      <c r="Q394">
        <v>874.3</v>
      </c>
      <c r="R394">
        <v>0</v>
      </c>
      <c r="S394">
        <v>0</v>
      </c>
      <c r="T394" t="str">
        <f t="shared" si="66"/>
        <v>-</v>
      </c>
      <c r="U394" t="str">
        <f t="shared" si="67"/>
        <v>-</v>
      </c>
      <c r="V394" t="str">
        <f t="shared" si="68"/>
        <v>-</v>
      </c>
      <c r="W394" t="str">
        <f t="shared" si="69"/>
        <v>-</v>
      </c>
      <c r="X394" t="str">
        <f t="shared" si="70"/>
        <v>-</v>
      </c>
      <c r="Y394" t="str">
        <f t="shared" si="71"/>
        <v>-</v>
      </c>
      <c r="Z394" t="str">
        <f t="shared" si="72"/>
        <v>-</v>
      </c>
      <c r="AA394" t="str">
        <f t="shared" si="73"/>
        <v>-</v>
      </c>
      <c r="AB394" t="str">
        <f>IF(_xlfn.IFNA(VLOOKUP(P394,Set_Ref!$B$6:$B$1048576,1,FALSE),"")&lt;&gt;"","-",FALSE)</f>
        <v>-</v>
      </c>
      <c r="AC394" t="str">
        <f t="shared" si="74"/>
        <v>-</v>
      </c>
      <c r="AD394" t="str">
        <f t="shared" si="75"/>
        <v>-</v>
      </c>
      <c r="AE394" t="b">
        <f t="shared" si="76"/>
        <v>1</v>
      </c>
    </row>
    <row r="395" spans="1:31" x14ac:dyDescent="0.25">
      <c r="A395">
        <v>2</v>
      </c>
      <c r="B395">
        <v>76</v>
      </c>
      <c r="C395">
        <v>261</v>
      </c>
      <c r="D395" s="11" t="s">
        <v>149</v>
      </c>
      <c r="E395" t="s">
        <v>300</v>
      </c>
      <c r="F395" t="s">
        <v>185</v>
      </c>
      <c r="G395" s="11" t="s">
        <v>450</v>
      </c>
      <c r="H395">
        <v>1</v>
      </c>
      <c r="I395" s="11" t="s">
        <v>433</v>
      </c>
      <c r="J395" t="s">
        <v>281</v>
      </c>
      <c r="K395" t="s">
        <v>222</v>
      </c>
      <c r="L395" s="11" t="s">
        <v>39</v>
      </c>
      <c r="M395" s="11" t="s">
        <v>39</v>
      </c>
      <c r="N395" s="11" t="s">
        <v>39</v>
      </c>
      <c r="O395" s="11" t="s">
        <v>39</v>
      </c>
      <c r="P395" t="s">
        <v>10</v>
      </c>
      <c r="Q395">
        <v>4744</v>
      </c>
      <c r="R395">
        <v>0</v>
      </c>
      <c r="S395">
        <v>0</v>
      </c>
      <c r="T395" t="str">
        <f t="shared" si="66"/>
        <v>-</v>
      </c>
      <c r="U395" t="str">
        <f t="shared" si="67"/>
        <v>-</v>
      </c>
      <c r="V395" t="str">
        <f t="shared" si="68"/>
        <v>-</v>
      </c>
      <c r="W395" t="str">
        <f t="shared" si="69"/>
        <v>-</v>
      </c>
      <c r="X395" t="str">
        <f t="shared" si="70"/>
        <v>-</v>
      </c>
      <c r="Y395" t="str">
        <f t="shared" si="71"/>
        <v>-</v>
      </c>
      <c r="Z395" t="str">
        <f t="shared" si="72"/>
        <v>-</v>
      </c>
      <c r="AA395" t="str">
        <f t="shared" si="73"/>
        <v>-</v>
      </c>
      <c r="AB395" t="str">
        <f>IF(_xlfn.IFNA(VLOOKUP(P395,Set_Ref!$B$6:$B$1048576,1,FALSE),"")&lt;&gt;"","-",FALSE)</f>
        <v>-</v>
      </c>
      <c r="AC395" t="str">
        <f t="shared" si="74"/>
        <v>-</v>
      </c>
      <c r="AD395" t="str">
        <f t="shared" si="75"/>
        <v>-</v>
      </c>
      <c r="AE395" t="b">
        <f t="shared" si="76"/>
        <v>1</v>
      </c>
    </row>
    <row r="396" spans="1:31" x14ac:dyDescent="0.25">
      <c r="A396">
        <v>2</v>
      </c>
      <c r="B396">
        <v>77</v>
      </c>
      <c r="C396">
        <v>261</v>
      </c>
      <c r="D396" s="11" t="s">
        <v>149</v>
      </c>
      <c r="E396" t="s">
        <v>300</v>
      </c>
      <c r="F396" t="s">
        <v>185</v>
      </c>
      <c r="G396" s="11" t="s">
        <v>450</v>
      </c>
      <c r="H396">
        <v>2</v>
      </c>
      <c r="I396" s="11" t="s">
        <v>427</v>
      </c>
      <c r="J396" t="s">
        <v>296</v>
      </c>
      <c r="K396" t="s">
        <v>238</v>
      </c>
      <c r="L396" s="11" t="s">
        <v>39</v>
      </c>
      <c r="M396" s="11" t="s">
        <v>39</v>
      </c>
      <c r="N396" s="11" t="s">
        <v>39</v>
      </c>
      <c r="O396" s="11" t="s">
        <v>39</v>
      </c>
      <c r="P396" t="s">
        <v>9</v>
      </c>
      <c r="Q396">
        <v>6510</v>
      </c>
      <c r="R396">
        <v>0</v>
      </c>
      <c r="S396">
        <v>0</v>
      </c>
      <c r="T396" t="str">
        <f t="shared" si="66"/>
        <v>-</v>
      </c>
      <c r="U396" t="str">
        <f t="shared" si="67"/>
        <v>-</v>
      </c>
      <c r="V396" t="str">
        <f t="shared" si="68"/>
        <v>-</v>
      </c>
      <c r="W396" t="str">
        <f t="shared" si="69"/>
        <v>-</v>
      </c>
      <c r="X396" t="str">
        <f t="shared" si="70"/>
        <v>-</v>
      </c>
      <c r="Y396" t="str">
        <f t="shared" si="71"/>
        <v>-</v>
      </c>
      <c r="Z396" t="str">
        <f t="shared" si="72"/>
        <v>-</v>
      </c>
      <c r="AA396" t="str">
        <f t="shared" si="73"/>
        <v>-</v>
      </c>
      <c r="AB396" t="str">
        <f>IF(_xlfn.IFNA(VLOOKUP(P396,Set_Ref!$B$6:$B$1048576,1,FALSE),"")&lt;&gt;"","-",FALSE)</f>
        <v>-</v>
      </c>
      <c r="AC396" t="str">
        <f t="shared" si="74"/>
        <v>-</v>
      </c>
      <c r="AD396" t="str">
        <f t="shared" si="75"/>
        <v>-</v>
      </c>
      <c r="AE396" t="b">
        <f t="shared" si="76"/>
        <v>1</v>
      </c>
    </row>
    <row r="397" spans="1:31" x14ac:dyDescent="0.25">
      <c r="A397">
        <v>2</v>
      </c>
      <c r="B397">
        <v>78</v>
      </c>
      <c r="C397">
        <v>261</v>
      </c>
      <c r="D397" s="11" t="s">
        <v>149</v>
      </c>
      <c r="E397" t="s">
        <v>300</v>
      </c>
      <c r="F397" t="s">
        <v>185</v>
      </c>
      <c r="G397" s="11" t="s">
        <v>450</v>
      </c>
      <c r="H397">
        <v>3</v>
      </c>
      <c r="I397" s="11" t="s">
        <v>451</v>
      </c>
      <c r="J397" t="s">
        <v>301</v>
      </c>
      <c r="K397" t="s">
        <v>219</v>
      </c>
      <c r="L397" s="11" t="s">
        <v>39</v>
      </c>
      <c r="M397" s="11" t="s">
        <v>39</v>
      </c>
      <c r="N397" s="11" t="s">
        <v>39</v>
      </c>
      <c r="O397" s="11" t="s">
        <v>39</v>
      </c>
      <c r="P397" t="s">
        <v>11</v>
      </c>
      <c r="Q397">
        <v>154</v>
      </c>
      <c r="R397">
        <v>0</v>
      </c>
      <c r="S397">
        <v>0</v>
      </c>
      <c r="T397" t="str">
        <f t="shared" si="66"/>
        <v>-</v>
      </c>
      <c r="U397" t="str">
        <f t="shared" si="67"/>
        <v>-</v>
      </c>
      <c r="V397" t="str">
        <f t="shared" si="68"/>
        <v>-</v>
      </c>
      <c r="W397" t="str">
        <f t="shared" si="69"/>
        <v>-</v>
      </c>
      <c r="X397" t="str">
        <f t="shared" si="70"/>
        <v>-</v>
      </c>
      <c r="Y397" t="str">
        <f t="shared" si="71"/>
        <v>-</v>
      </c>
      <c r="Z397" t="str">
        <f t="shared" si="72"/>
        <v>-</v>
      </c>
      <c r="AA397" t="str">
        <f t="shared" si="73"/>
        <v>-</v>
      </c>
      <c r="AB397" t="str">
        <f>IF(_xlfn.IFNA(VLOOKUP(P397,Set_Ref!$B$6:$B$1048576,1,FALSE),"")&lt;&gt;"","-",FALSE)</f>
        <v>-</v>
      </c>
      <c r="AC397" t="str">
        <f t="shared" si="74"/>
        <v>-</v>
      </c>
      <c r="AD397" t="str">
        <f t="shared" si="75"/>
        <v>-</v>
      </c>
      <c r="AE397" t="b">
        <f t="shared" si="76"/>
        <v>1</v>
      </c>
    </row>
    <row r="398" spans="1:31" x14ac:dyDescent="0.25">
      <c r="A398">
        <v>2</v>
      </c>
      <c r="B398">
        <v>79</v>
      </c>
      <c r="C398">
        <v>261</v>
      </c>
      <c r="D398" s="11" t="s">
        <v>149</v>
      </c>
      <c r="E398" t="s">
        <v>302</v>
      </c>
      <c r="F398" t="s">
        <v>186</v>
      </c>
      <c r="G398" s="11" t="s">
        <v>452</v>
      </c>
      <c r="H398">
        <v>1</v>
      </c>
      <c r="I398" s="11" t="s">
        <v>172</v>
      </c>
      <c r="J398" t="s">
        <v>303</v>
      </c>
      <c r="K398" t="s">
        <v>219</v>
      </c>
      <c r="L398" s="11" t="s">
        <v>39</v>
      </c>
      <c r="M398" s="11" t="s">
        <v>39</v>
      </c>
      <c r="N398" s="11" t="s">
        <v>39</v>
      </c>
      <c r="O398" s="11" t="s">
        <v>39</v>
      </c>
      <c r="P398" t="s">
        <v>11</v>
      </c>
      <c r="Q398">
        <v>68</v>
      </c>
      <c r="R398">
        <v>0</v>
      </c>
      <c r="S398">
        <v>0</v>
      </c>
      <c r="T398" t="str">
        <f t="shared" si="66"/>
        <v>-</v>
      </c>
      <c r="U398" t="str">
        <f t="shared" si="67"/>
        <v>-</v>
      </c>
      <c r="V398" t="str">
        <f t="shared" si="68"/>
        <v>-</v>
      </c>
      <c r="W398" t="str">
        <f t="shared" si="69"/>
        <v>-</v>
      </c>
      <c r="X398" t="str">
        <f t="shared" si="70"/>
        <v>-</v>
      </c>
      <c r="Y398" t="str">
        <f t="shared" si="71"/>
        <v>-</v>
      </c>
      <c r="Z398" t="str">
        <f t="shared" si="72"/>
        <v>-</v>
      </c>
      <c r="AA398" t="str">
        <f t="shared" si="73"/>
        <v>-</v>
      </c>
      <c r="AB398" t="str">
        <f>IF(_xlfn.IFNA(VLOOKUP(P398,Set_Ref!$B$6:$B$1048576,1,FALSE),"")&lt;&gt;"","-",FALSE)</f>
        <v>-</v>
      </c>
      <c r="AC398" t="str">
        <f t="shared" si="74"/>
        <v>-</v>
      </c>
      <c r="AD398" t="str">
        <f t="shared" si="75"/>
        <v>-</v>
      </c>
      <c r="AE398" t="b">
        <f t="shared" si="76"/>
        <v>1</v>
      </c>
    </row>
    <row r="399" spans="1:31" x14ac:dyDescent="0.25">
      <c r="A399">
        <v>2</v>
      </c>
      <c r="B399">
        <v>80</v>
      </c>
      <c r="C399">
        <v>261</v>
      </c>
      <c r="D399" s="11" t="s">
        <v>149</v>
      </c>
      <c r="E399" t="s">
        <v>304</v>
      </c>
      <c r="F399" t="s">
        <v>186</v>
      </c>
      <c r="G399" s="11" t="s">
        <v>453</v>
      </c>
      <c r="H399">
        <v>1</v>
      </c>
      <c r="I399" s="11" t="s">
        <v>451</v>
      </c>
      <c r="J399" t="s">
        <v>301</v>
      </c>
      <c r="K399" t="s">
        <v>219</v>
      </c>
      <c r="L399" s="11" t="s">
        <v>39</v>
      </c>
      <c r="M399" s="11" t="s">
        <v>39</v>
      </c>
      <c r="N399" s="11" t="s">
        <v>39</v>
      </c>
      <c r="O399" s="11" t="s">
        <v>39</v>
      </c>
      <c r="P399" t="s">
        <v>11</v>
      </c>
      <c r="Q399">
        <v>30</v>
      </c>
      <c r="R399">
        <v>0</v>
      </c>
      <c r="S399">
        <v>0</v>
      </c>
      <c r="T399" t="str">
        <f t="shared" si="66"/>
        <v>-</v>
      </c>
      <c r="U399" t="str">
        <f t="shared" si="67"/>
        <v>-</v>
      </c>
      <c r="V399" t="str">
        <f t="shared" si="68"/>
        <v>-</v>
      </c>
      <c r="W399" t="str">
        <f t="shared" si="69"/>
        <v>-</v>
      </c>
      <c r="X399" t="str">
        <f t="shared" si="70"/>
        <v>-</v>
      </c>
      <c r="Y399" t="str">
        <f t="shared" si="71"/>
        <v>-</v>
      </c>
      <c r="Z399" t="str">
        <f t="shared" si="72"/>
        <v>-</v>
      </c>
      <c r="AA399" t="str">
        <f t="shared" si="73"/>
        <v>-</v>
      </c>
      <c r="AB399" t="str">
        <f>IF(_xlfn.IFNA(VLOOKUP(P399,Set_Ref!$B$6:$B$1048576,1,FALSE),"")&lt;&gt;"","-",FALSE)</f>
        <v>-</v>
      </c>
      <c r="AC399" t="str">
        <f t="shared" si="74"/>
        <v>-</v>
      </c>
      <c r="AD399" t="str">
        <f t="shared" si="75"/>
        <v>-</v>
      </c>
      <c r="AE399" t="b">
        <f t="shared" si="76"/>
        <v>1</v>
      </c>
    </row>
    <row r="400" spans="1:31" x14ac:dyDescent="0.25">
      <c r="A400">
        <v>2</v>
      </c>
      <c r="B400">
        <v>81</v>
      </c>
      <c r="C400">
        <v>261</v>
      </c>
      <c r="D400" s="11" t="s">
        <v>149</v>
      </c>
      <c r="E400" t="s">
        <v>305</v>
      </c>
      <c r="F400" t="s">
        <v>187</v>
      </c>
      <c r="G400" s="11" t="s">
        <v>454</v>
      </c>
      <c r="H400">
        <v>1</v>
      </c>
      <c r="I400" s="11" t="s">
        <v>427</v>
      </c>
      <c r="J400" t="s">
        <v>297</v>
      </c>
      <c r="K400" t="s">
        <v>239</v>
      </c>
      <c r="L400" s="11" t="s">
        <v>39</v>
      </c>
      <c r="M400" s="11" t="s">
        <v>39</v>
      </c>
      <c r="N400" s="11" t="s">
        <v>39</v>
      </c>
      <c r="O400" s="11" t="s">
        <v>39</v>
      </c>
      <c r="P400" t="s">
        <v>9</v>
      </c>
      <c r="Q400">
        <v>3155</v>
      </c>
      <c r="R400">
        <v>0</v>
      </c>
      <c r="S400">
        <v>0</v>
      </c>
      <c r="T400" t="str">
        <f t="shared" si="66"/>
        <v>-</v>
      </c>
      <c r="U400" t="str">
        <f t="shared" si="67"/>
        <v>-</v>
      </c>
      <c r="V400" t="str">
        <f t="shared" si="68"/>
        <v>-</v>
      </c>
      <c r="W400" t="str">
        <f t="shared" si="69"/>
        <v>-</v>
      </c>
      <c r="X400" t="str">
        <f t="shared" si="70"/>
        <v>-</v>
      </c>
      <c r="Y400" t="str">
        <f t="shared" si="71"/>
        <v>-</v>
      </c>
      <c r="Z400" t="str">
        <f t="shared" si="72"/>
        <v>-</v>
      </c>
      <c r="AA400" t="str">
        <f t="shared" si="73"/>
        <v>-</v>
      </c>
      <c r="AB400" t="str">
        <f>IF(_xlfn.IFNA(VLOOKUP(P400,Set_Ref!$B$6:$B$1048576,1,FALSE),"")&lt;&gt;"","-",FALSE)</f>
        <v>-</v>
      </c>
      <c r="AC400" t="str">
        <f t="shared" si="74"/>
        <v>-</v>
      </c>
      <c r="AD400" t="str">
        <f t="shared" si="75"/>
        <v>-</v>
      </c>
      <c r="AE400" t="b">
        <f t="shared" si="76"/>
        <v>1</v>
      </c>
    </row>
    <row r="401" spans="1:31" x14ac:dyDescent="0.25">
      <c r="A401">
        <v>2</v>
      </c>
      <c r="B401">
        <v>82</v>
      </c>
      <c r="C401">
        <v>261</v>
      </c>
      <c r="D401" s="11" t="s">
        <v>149</v>
      </c>
      <c r="E401" t="s">
        <v>305</v>
      </c>
      <c r="F401" t="s">
        <v>187</v>
      </c>
      <c r="G401" s="11" t="s">
        <v>454</v>
      </c>
      <c r="H401">
        <v>2</v>
      </c>
      <c r="I401" s="11" t="s">
        <v>427</v>
      </c>
      <c r="J401" t="s">
        <v>306</v>
      </c>
      <c r="K401" t="s">
        <v>240</v>
      </c>
      <c r="L401" s="11" t="s">
        <v>39</v>
      </c>
      <c r="M401" s="11" t="s">
        <v>39</v>
      </c>
      <c r="N401" s="11" t="s">
        <v>39</v>
      </c>
      <c r="O401" s="11" t="s">
        <v>39</v>
      </c>
      <c r="P401" t="s">
        <v>9</v>
      </c>
      <c r="Q401">
        <v>1950</v>
      </c>
      <c r="R401">
        <v>0</v>
      </c>
      <c r="S401">
        <v>0</v>
      </c>
      <c r="T401" t="str">
        <f t="shared" si="66"/>
        <v>-</v>
      </c>
      <c r="U401" t="str">
        <f t="shared" si="67"/>
        <v>-</v>
      </c>
      <c r="V401" t="str">
        <f t="shared" si="68"/>
        <v>-</v>
      </c>
      <c r="W401" t="str">
        <f t="shared" si="69"/>
        <v>-</v>
      </c>
      <c r="X401" t="str">
        <f t="shared" si="70"/>
        <v>-</v>
      </c>
      <c r="Y401" t="str">
        <f t="shared" si="71"/>
        <v>-</v>
      </c>
      <c r="Z401" t="str">
        <f t="shared" si="72"/>
        <v>-</v>
      </c>
      <c r="AA401" t="str">
        <f t="shared" si="73"/>
        <v>-</v>
      </c>
      <c r="AB401" t="str">
        <f>IF(_xlfn.IFNA(VLOOKUP(P401,Set_Ref!$B$6:$B$1048576,1,FALSE),"")&lt;&gt;"","-",FALSE)</f>
        <v>-</v>
      </c>
      <c r="AC401" t="str">
        <f t="shared" si="74"/>
        <v>-</v>
      </c>
      <c r="AD401" t="str">
        <f t="shared" si="75"/>
        <v>-</v>
      </c>
      <c r="AE401" t="b">
        <f t="shared" si="76"/>
        <v>1</v>
      </c>
    </row>
    <row r="402" spans="1:31" x14ac:dyDescent="0.25">
      <c r="A402">
        <v>2</v>
      </c>
      <c r="B402">
        <v>83</v>
      </c>
      <c r="C402">
        <v>261</v>
      </c>
      <c r="D402" s="11" t="s">
        <v>149</v>
      </c>
      <c r="E402" t="s">
        <v>307</v>
      </c>
      <c r="F402" t="s">
        <v>187</v>
      </c>
      <c r="G402" s="11" t="s">
        <v>455</v>
      </c>
      <c r="H402">
        <v>1</v>
      </c>
      <c r="I402" s="11" t="s">
        <v>427</v>
      </c>
      <c r="J402" t="s">
        <v>282</v>
      </c>
      <c r="K402" t="s">
        <v>224</v>
      </c>
      <c r="L402" s="11" t="s">
        <v>39</v>
      </c>
      <c r="M402" s="11" t="s">
        <v>39</v>
      </c>
      <c r="N402" s="11" t="s">
        <v>39</v>
      </c>
      <c r="O402" s="11" t="s">
        <v>39</v>
      </c>
      <c r="P402" t="s">
        <v>9</v>
      </c>
      <c r="Q402">
        <v>2300</v>
      </c>
      <c r="R402">
        <v>0</v>
      </c>
      <c r="S402">
        <v>0</v>
      </c>
      <c r="T402" t="str">
        <f t="shared" si="66"/>
        <v>-</v>
      </c>
      <c r="U402" t="str">
        <f t="shared" si="67"/>
        <v>-</v>
      </c>
      <c r="V402" t="str">
        <f t="shared" si="68"/>
        <v>-</v>
      </c>
      <c r="W402" t="str">
        <f t="shared" si="69"/>
        <v>-</v>
      </c>
      <c r="X402" t="str">
        <f t="shared" si="70"/>
        <v>-</v>
      </c>
      <c r="Y402" t="str">
        <f t="shared" si="71"/>
        <v>-</v>
      </c>
      <c r="Z402" t="str">
        <f t="shared" si="72"/>
        <v>-</v>
      </c>
      <c r="AA402" t="str">
        <f t="shared" si="73"/>
        <v>-</v>
      </c>
      <c r="AB402" t="str">
        <f>IF(_xlfn.IFNA(VLOOKUP(P402,Set_Ref!$B$6:$B$1048576,1,FALSE),"")&lt;&gt;"","-",FALSE)</f>
        <v>-</v>
      </c>
      <c r="AC402" t="str">
        <f t="shared" si="74"/>
        <v>-</v>
      </c>
      <c r="AD402" t="str">
        <f t="shared" si="75"/>
        <v>-</v>
      </c>
      <c r="AE402" t="b">
        <f t="shared" si="76"/>
        <v>1</v>
      </c>
    </row>
    <row r="403" spans="1:31" x14ac:dyDescent="0.25">
      <c r="A403">
        <v>2</v>
      </c>
      <c r="B403">
        <v>84</v>
      </c>
      <c r="C403">
        <v>261</v>
      </c>
      <c r="D403" s="11" t="s">
        <v>149</v>
      </c>
      <c r="E403" t="s">
        <v>307</v>
      </c>
      <c r="F403" t="s">
        <v>187</v>
      </c>
      <c r="G403" s="11" t="s">
        <v>455</v>
      </c>
      <c r="H403">
        <v>2</v>
      </c>
      <c r="I403" s="11" t="s">
        <v>433</v>
      </c>
      <c r="J403" t="s">
        <v>281</v>
      </c>
      <c r="K403" t="s">
        <v>222</v>
      </c>
      <c r="L403" s="11" t="s">
        <v>39</v>
      </c>
      <c r="M403" s="11" t="s">
        <v>39</v>
      </c>
      <c r="N403" s="11" t="s">
        <v>39</v>
      </c>
      <c r="O403" s="11" t="s">
        <v>39</v>
      </c>
      <c r="P403" t="s">
        <v>10</v>
      </c>
      <c r="Q403">
        <v>2022</v>
      </c>
      <c r="R403">
        <v>0</v>
      </c>
      <c r="S403">
        <v>0</v>
      </c>
      <c r="T403" t="str">
        <f t="shared" si="66"/>
        <v>-</v>
      </c>
      <c r="U403" t="str">
        <f t="shared" si="67"/>
        <v>-</v>
      </c>
      <c r="V403" t="str">
        <f t="shared" si="68"/>
        <v>-</v>
      </c>
      <c r="W403" t="str">
        <f t="shared" si="69"/>
        <v>-</v>
      </c>
      <c r="X403" t="str">
        <f t="shared" si="70"/>
        <v>-</v>
      </c>
      <c r="Y403" t="str">
        <f t="shared" si="71"/>
        <v>-</v>
      </c>
      <c r="Z403" t="str">
        <f t="shared" si="72"/>
        <v>-</v>
      </c>
      <c r="AA403" t="str">
        <f t="shared" si="73"/>
        <v>-</v>
      </c>
      <c r="AB403" t="str">
        <f>IF(_xlfn.IFNA(VLOOKUP(P403,Set_Ref!$B$6:$B$1048576,1,FALSE),"")&lt;&gt;"","-",FALSE)</f>
        <v>-</v>
      </c>
      <c r="AC403" t="str">
        <f t="shared" si="74"/>
        <v>-</v>
      </c>
      <c r="AD403" t="str">
        <f t="shared" si="75"/>
        <v>-</v>
      </c>
      <c r="AE403" t="b">
        <f t="shared" si="76"/>
        <v>1</v>
      </c>
    </row>
    <row r="404" spans="1:31" x14ac:dyDescent="0.25">
      <c r="A404">
        <v>2</v>
      </c>
      <c r="B404">
        <v>85</v>
      </c>
      <c r="C404">
        <v>261</v>
      </c>
      <c r="D404" s="11" t="s">
        <v>149</v>
      </c>
      <c r="E404" t="s">
        <v>308</v>
      </c>
      <c r="F404" t="s">
        <v>188</v>
      </c>
      <c r="G404" s="11" t="s">
        <v>456</v>
      </c>
      <c r="H404">
        <v>1</v>
      </c>
      <c r="I404" s="11" t="s">
        <v>444</v>
      </c>
      <c r="J404" t="s">
        <v>291</v>
      </c>
      <c r="K404" t="s">
        <v>234</v>
      </c>
      <c r="L404" s="11" t="s">
        <v>39</v>
      </c>
      <c r="M404" s="11" t="s">
        <v>39</v>
      </c>
      <c r="N404" s="11" t="s">
        <v>39</v>
      </c>
      <c r="O404" s="11" t="s">
        <v>39</v>
      </c>
      <c r="P404" t="s">
        <v>8</v>
      </c>
      <c r="Q404">
        <v>4</v>
      </c>
      <c r="R404">
        <v>0</v>
      </c>
      <c r="S404">
        <v>0</v>
      </c>
      <c r="T404" t="str">
        <f t="shared" si="66"/>
        <v>-</v>
      </c>
      <c r="U404" t="str">
        <f t="shared" si="67"/>
        <v>-</v>
      </c>
      <c r="V404" t="str">
        <f t="shared" si="68"/>
        <v>-</v>
      </c>
      <c r="W404" t="str">
        <f t="shared" si="69"/>
        <v>-</v>
      </c>
      <c r="X404" t="str">
        <f t="shared" si="70"/>
        <v>-</v>
      </c>
      <c r="Y404" t="str">
        <f t="shared" si="71"/>
        <v>-</v>
      </c>
      <c r="Z404" t="str">
        <f t="shared" si="72"/>
        <v>-</v>
      </c>
      <c r="AA404" t="str">
        <f t="shared" si="73"/>
        <v>-</v>
      </c>
      <c r="AB404" t="str">
        <f>IF(_xlfn.IFNA(VLOOKUP(P404,Set_Ref!$B$6:$B$1048576,1,FALSE),"")&lt;&gt;"","-",FALSE)</f>
        <v>-</v>
      </c>
      <c r="AC404" t="str">
        <f t="shared" si="74"/>
        <v>-</v>
      </c>
      <c r="AD404" t="str">
        <f t="shared" si="75"/>
        <v>-</v>
      </c>
      <c r="AE404" t="b">
        <f t="shared" si="76"/>
        <v>1</v>
      </c>
    </row>
    <row r="405" spans="1:31" x14ac:dyDescent="0.25">
      <c r="A405">
        <v>2</v>
      </c>
      <c r="B405">
        <v>86</v>
      </c>
      <c r="C405">
        <v>261</v>
      </c>
      <c r="D405" s="11" t="s">
        <v>149</v>
      </c>
      <c r="E405" t="s">
        <v>308</v>
      </c>
      <c r="F405" t="s">
        <v>188</v>
      </c>
      <c r="G405" s="11" t="s">
        <v>456</v>
      </c>
      <c r="H405">
        <v>2</v>
      </c>
      <c r="I405" s="11" t="s">
        <v>440</v>
      </c>
      <c r="J405" t="s">
        <v>457</v>
      </c>
      <c r="K405" t="s">
        <v>231</v>
      </c>
      <c r="L405" s="11" t="s">
        <v>39</v>
      </c>
      <c r="M405" s="11" t="s">
        <v>39</v>
      </c>
      <c r="N405" s="11" t="s">
        <v>39</v>
      </c>
      <c r="O405" s="11" t="s">
        <v>39</v>
      </c>
      <c r="P405" t="s">
        <v>10</v>
      </c>
      <c r="Q405">
        <v>3802.2</v>
      </c>
      <c r="R405">
        <v>0</v>
      </c>
      <c r="S405">
        <v>0</v>
      </c>
      <c r="T405" t="str">
        <f t="shared" si="66"/>
        <v>-</v>
      </c>
      <c r="U405" t="str">
        <f t="shared" si="67"/>
        <v>-</v>
      </c>
      <c r="V405" t="str">
        <f t="shared" si="68"/>
        <v>-</v>
      </c>
      <c r="W405" t="str">
        <f t="shared" si="69"/>
        <v>-</v>
      </c>
      <c r="X405" t="str">
        <f t="shared" si="70"/>
        <v>-</v>
      </c>
      <c r="Y405" t="str">
        <f t="shared" si="71"/>
        <v>-</v>
      </c>
      <c r="Z405" t="str">
        <f t="shared" si="72"/>
        <v>-</v>
      </c>
      <c r="AA405" t="str">
        <f t="shared" si="73"/>
        <v>-</v>
      </c>
      <c r="AB405" t="str">
        <f>IF(_xlfn.IFNA(VLOOKUP(P405,Set_Ref!$B$6:$B$1048576,1,FALSE),"")&lt;&gt;"","-",FALSE)</f>
        <v>-</v>
      </c>
      <c r="AC405" t="str">
        <f t="shared" si="74"/>
        <v>-</v>
      </c>
      <c r="AD405" t="str">
        <f t="shared" si="75"/>
        <v>-</v>
      </c>
      <c r="AE405" t="b">
        <f t="shared" si="76"/>
        <v>1</v>
      </c>
    </row>
    <row r="406" spans="1:31" x14ac:dyDescent="0.25">
      <c r="A406">
        <v>2</v>
      </c>
      <c r="B406">
        <v>87</v>
      </c>
      <c r="C406">
        <v>261</v>
      </c>
      <c r="D406" s="11" t="s">
        <v>149</v>
      </c>
      <c r="E406" t="s">
        <v>308</v>
      </c>
      <c r="F406" t="s">
        <v>188</v>
      </c>
      <c r="G406" s="11" t="s">
        <v>456</v>
      </c>
      <c r="H406">
        <v>2</v>
      </c>
      <c r="I406" s="11" t="s">
        <v>440</v>
      </c>
      <c r="J406" t="s">
        <v>457</v>
      </c>
      <c r="K406" t="s">
        <v>231</v>
      </c>
      <c r="L406" s="11" t="s">
        <v>39</v>
      </c>
      <c r="M406" s="11" t="s">
        <v>39</v>
      </c>
      <c r="N406" s="11" t="s">
        <v>39</v>
      </c>
      <c r="O406" s="11" t="s">
        <v>39</v>
      </c>
      <c r="P406" t="s">
        <v>10</v>
      </c>
      <c r="Q406">
        <v>111</v>
      </c>
      <c r="R406">
        <v>0</v>
      </c>
      <c r="S406">
        <v>0</v>
      </c>
      <c r="T406" t="str">
        <f t="shared" si="66"/>
        <v>-</v>
      </c>
      <c r="U406" t="str">
        <f t="shared" si="67"/>
        <v>-</v>
      </c>
      <c r="V406" t="str">
        <f t="shared" si="68"/>
        <v>-</v>
      </c>
      <c r="W406" t="str">
        <f t="shared" si="69"/>
        <v>-</v>
      </c>
      <c r="X406" t="str">
        <f t="shared" si="70"/>
        <v>-</v>
      </c>
      <c r="Y406" t="str">
        <f t="shared" si="71"/>
        <v>-</v>
      </c>
      <c r="Z406" t="str">
        <f t="shared" si="72"/>
        <v>-</v>
      </c>
      <c r="AA406" t="str">
        <f t="shared" si="73"/>
        <v>-</v>
      </c>
      <c r="AB406" t="str">
        <f>IF(_xlfn.IFNA(VLOOKUP(P406,Set_Ref!$B$6:$B$1048576,1,FALSE),"")&lt;&gt;"","-",FALSE)</f>
        <v>-</v>
      </c>
      <c r="AC406" t="str">
        <f t="shared" si="74"/>
        <v>-</v>
      </c>
      <c r="AD406" t="str">
        <f t="shared" si="75"/>
        <v>-</v>
      </c>
      <c r="AE406" t="b">
        <f t="shared" si="76"/>
        <v>1</v>
      </c>
    </row>
    <row r="407" spans="1:31" x14ac:dyDescent="0.25">
      <c r="A407">
        <v>2</v>
      </c>
      <c r="B407">
        <v>88</v>
      </c>
      <c r="C407">
        <v>261</v>
      </c>
      <c r="D407" s="11" t="s">
        <v>149</v>
      </c>
      <c r="E407" t="s">
        <v>310</v>
      </c>
      <c r="F407" t="s">
        <v>189</v>
      </c>
      <c r="G407" s="11" t="s">
        <v>458</v>
      </c>
      <c r="H407">
        <v>1</v>
      </c>
      <c r="I407" s="11" t="s">
        <v>427</v>
      </c>
      <c r="J407" t="s">
        <v>459</v>
      </c>
      <c r="K407" t="s">
        <v>240</v>
      </c>
      <c r="L407" s="11" t="s">
        <v>39</v>
      </c>
      <c r="M407" s="11" t="s">
        <v>39</v>
      </c>
      <c r="N407" s="11" t="s">
        <v>39</v>
      </c>
      <c r="O407" s="11" t="s">
        <v>39</v>
      </c>
      <c r="P407" t="s">
        <v>9</v>
      </c>
      <c r="Q407">
        <v>1800</v>
      </c>
      <c r="R407">
        <v>0</v>
      </c>
      <c r="S407">
        <v>0</v>
      </c>
      <c r="T407" t="str">
        <f t="shared" si="66"/>
        <v>-</v>
      </c>
      <c r="U407" t="str">
        <f t="shared" si="67"/>
        <v>-</v>
      </c>
      <c r="V407" t="str">
        <f t="shared" si="68"/>
        <v>-</v>
      </c>
      <c r="W407" t="str">
        <f t="shared" si="69"/>
        <v>-</v>
      </c>
      <c r="X407" t="str">
        <f t="shared" si="70"/>
        <v>-</v>
      </c>
      <c r="Y407" t="str">
        <f t="shared" si="71"/>
        <v>-</v>
      </c>
      <c r="Z407" t="str">
        <f t="shared" si="72"/>
        <v>-</v>
      </c>
      <c r="AA407" t="str">
        <f t="shared" si="73"/>
        <v>-</v>
      </c>
      <c r="AB407" t="str">
        <f>IF(_xlfn.IFNA(VLOOKUP(P407,Set_Ref!$B$6:$B$1048576,1,FALSE),"")&lt;&gt;"","-",FALSE)</f>
        <v>-</v>
      </c>
      <c r="AC407" t="str">
        <f t="shared" si="74"/>
        <v>-</v>
      </c>
      <c r="AD407" t="str">
        <f t="shared" si="75"/>
        <v>-</v>
      </c>
      <c r="AE407" t="b">
        <f t="shared" si="76"/>
        <v>1</v>
      </c>
    </row>
    <row r="408" spans="1:31" x14ac:dyDescent="0.25">
      <c r="A408">
        <v>2</v>
      </c>
      <c r="B408">
        <v>89</v>
      </c>
      <c r="C408">
        <v>261</v>
      </c>
      <c r="D408" s="11" t="s">
        <v>149</v>
      </c>
      <c r="E408" t="s">
        <v>310</v>
      </c>
      <c r="F408" t="s">
        <v>189</v>
      </c>
      <c r="G408" s="11" t="s">
        <v>458</v>
      </c>
      <c r="H408">
        <v>1</v>
      </c>
      <c r="I408" s="11" t="s">
        <v>427</v>
      </c>
      <c r="J408" t="s">
        <v>459</v>
      </c>
      <c r="K408" t="s">
        <v>240</v>
      </c>
      <c r="L408" s="11" t="s">
        <v>39</v>
      </c>
      <c r="M408" s="11" t="s">
        <v>39</v>
      </c>
      <c r="N408" s="11" t="s">
        <v>39</v>
      </c>
      <c r="O408" s="11" t="s">
        <v>39</v>
      </c>
      <c r="P408" t="s">
        <v>9</v>
      </c>
      <c r="Q408">
        <v>2105</v>
      </c>
      <c r="R408">
        <v>0</v>
      </c>
      <c r="S408">
        <v>0</v>
      </c>
      <c r="T408" t="str">
        <f t="shared" si="66"/>
        <v>-</v>
      </c>
      <c r="U408" t="str">
        <f t="shared" si="67"/>
        <v>-</v>
      </c>
      <c r="V408" t="str">
        <f t="shared" si="68"/>
        <v>-</v>
      </c>
      <c r="W408" t="str">
        <f t="shared" si="69"/>
        <v>-</v>
      </c>
      <c r="X408" t="str">
        <f t="shared" si="70"/>
        <v>-</v>
      </c>
      <c r="Y408" t="str">
        <f t="shared" si="71"/>
        <v>-</v>
      </c>
      <c r="Z408" t="str">
        <f t="shared" si="72"/>
        <v>-</v>
      </c>
      <c r="AA408" t="str">
        <f t="shared" si="73"/>
        <v>-</v>
      </c>
      <c r="AB408" t="str">
        <f>IF(_xlfn.IFNA(VLOOKUP(P408,Set_Ref!$B$6:$B$1048576,1,FALSE),"")&lt;&gt;"","-",FALSE)</f>
        <v>-</v>
      </c>
      <c r="AC408" t="str">
        <f t="shared" si="74"/>
        <v>-</v>
      </c>
      <c r="AD408" t="str">
        <f t="shared" si="75"/>
        <v>-</v>
      </c>
      <c r="AE408" t="b">
        <f t="shared" si="76"/>
        <v>1</v>
      </c>
    </row>
    <row r="409" spans="1:31" x14ac:dyDescent="0.25">
      <c r="A409">
        <v>2</v>
      </c>
      <c r="B409">
        <v>90</v>
      </c>
      <c r="C409">
        <v>261</v>
      </c>
      <c r="D409" s="11" t="s">
        <v>149</v>
      </c>
      <c r="E409" t="s">
        <v>310</v>
      </c>
      <c r="F409" t="s">
        <v>189</v>
      </c>
      <c r="G409" s="11" t="s">
        <v>458</v>
      </c>
      <c r="H409">
        <v>2</v>
      </c>
      <c r="I409" s="11" t="s">
        <v>177</v>
      </c>
      <c r="J409" t="s">
        <v>460</v>
      </c>
      <c r="K409" t="s">
        <v>241</v>
      </c>
      <c r="L409" s="11" t="s">
        <v>39</v>
      </c>
      <c r="M409" s="11" t="s">
        <v>39</v>
      </c>
      <c r="N409" s="11" t="s">
        <v>39</v>
      </c>
      <c r="O409" s="11" t="s">
        <v>39</v>
      </c>
      <c r="P409" t="s">
        <v>9</v>
      </c>
      <c r="Q409">
        <v>20</v>
      </c>
      <c r="R409">
        <v>0</v>
      </c>
      <c r="S409">
        <v>0</v>
      </c>
      <c r="T409" t="str">
        <f t="shared" si="66"/>
        <v>-</v>
      </c>
      <c r="U409" t="str">
        <f t="shared" si="67"/>
        <v>-</v>
      </c>
      <c r="V409" t="str">
        <f t="shared" si="68"/>
        <v>-</v>
      </c>
      <c r="W409" t="str">
        <f t="shared" si="69"/>
        <v>-</v>
      </c>
      <c r="X409" t="str">
        <f t="shared" si="70"/>
        <v>-</v>
      </c>
      <c r="Y409" t="str">
        <f t="shared" si="71"/>
        <v>-</v>
      </c>
      <c r="Z409" t="str">
        <f t="shared" si="72"/>
        <v>-</v>
      </c>
      <c r="AA409" t="str">
        <f t="shared" si="73"/>
        <v>-</v>
      </c>
      <c r="AB409" t="str">
        <f>IF(_xlfn.IFNA(VLOOKUP(P409,Set_Ref!$B$6:$B$1048576,1,FALSE),"")&lt;&gt;"","-",FALSE)</f>
        <v>-</v>
      </c>
      <c r="AC409" t="str">
        <f t="shared" si="74"/>
        <v>-</v>
      </c>
      <c r="AD409" t="str">
        <f t="shared" si="75"/>
        <v>-</v>
      </c>
      <c r="AE409" t="b">
        <f t="shared" si="76"/>
        <v>1</v>
      </c>
    </row>
    <row r="410" spans="1:31" x14ac:dyDescent="0.25">
      <c r="A410">
        <v>2</v>
      </c>
      <c r="B410">
        <v>91</v>
      </c>
      <c r="C410">
        <v>261</v>
      </c>
      <c r="D410" s="11" t="s">
        <v>149</v>
      </c>
      <c r="E410" t="s">
        <v>310</v>
      </c>
      <c r="F410" t="s">
        <v>189</v>
      </c>
      <c r="G410" s="11" t="s">
        <v>458</v>
      </c>
      <c r="H410">
        <v>2</v>
      </c>
      <c r="I410" s="11" t="s">
        <v>177</v>
      </c>
      <c r="J410" t="s">
        <v>460</v>
      </c>
      <c r="K410" t="s">
        <v>241</v>
      </c>
      <c r="L410" s="11" t="s">
        <v>39</v>
      </c>
      <c r="M410" s="11" t="s">
        <v>39</v>
      </c>
      <c r="N410" s="11" t="s">
        <v>39</v>
      </c>
      <c r="O410" s="11" t="s">
        <v>39</v>
      </c>
      <c r="P410" t="s">
        <v>9</v>
      </c>
      <c r="Q410">
        <v>110</v>
      </c>
      <c r="R410">
        <v>0</v>
      </c>
      <c r="S410">
        <v>0</v>
      </c>
      <c r="T410" t="str">
        <f t="shared" si="66"/>
        <v>-</v>
      </c>
      <c r="U410" t="str">
        <f t="shared" si="67"/>
        <v>-</v>
      </c>
      <c r="V410" t="str">
        <f t="shared" si="68"/>
        <v>-</v>
      </c>
      <c r="W410" t="str">
        <f t="shared" si="69"/>
        <v>-</v>
      </c>
      <c r="X410" t="str">
        <f t="shared" si="70"/>
        <v>-</v>
      </c>
      <c r="Y410" t="str">
        <f t="shared" si="71"/>
        <v>-</v>
      </c>
      <c r="Z410" t="str">
        <f t="shared" si="72"/>
        <v>-</v>
      </c>
      <c r="AA410" t="str">
        <f t="shared" si="73"/>
        <v>-</v>
      </c>
      <c r="AB410" t="str">
        <f>IF(_xlfn.IFNA(VLOOKUP(P410,Set_Ref!$B$6:$B$1048576,1,FALSE),"")&lt;&gt;"","-",FALSE)</f>
        <v>-</v>
      </c>
      <c r="AC410" t="str">
        <f t="shared" si="74"/>
        <v>-</v>
      </c>
      <c r="AD410" t="str">
        <f t="shared" si="75"/>
        <v>-</v>
      </c>
      <c r="AE410" t="b">
        <f t="shared" si="76"/>
        <v>1</v>
      </c>
    </row>
    <row r="411" spans="1:31" x14ac:dyDescent="0.25">
      <c r="A411">
        <v>2</v>
      </c>
      <c r="B411">
        <v>92</v>
      </c>
      <c r="C411">
        <v>261</v>
      </c>
      <c r="D411" s="11" t="s">
        <v>149</v>
      </c>
      <c r="E411" t="s">
        <v>310</v>
      </c>
      <c r="F411" t="s">
        <v>189</v>
      </c>
      <c r="G411" s="11" t="s">
        <v>458</v>
      </c>
      <c r="H411">
        <v>2</v>
      </c>
      <c r="I411" s="11" t="s">
        <v>177</v>
      </c>
      <c r="J411" t="s">
        <v>460</v>
      </c>
      <c r="K411" t="s">
        <v>241</v>
      </c>
      <c r="L411" s="11" t="s">
        <v>39</v>
      </c>
      <c r="M411" s="11" t="s">
        <v>39</v>
      </c>
      <c r="N411" s="11" t="s">
        <v>39</v>
      </c>
      <c r="O411" s="11" t="s">
        <v>39</v>
      </c>
      <c r="P411" t="s">
        <v>9</v>
      </c>
      <c r="Q411">
        <v>70</v>
      </c>
      <c r="R411">
        <v>0</v>
      </c>
      <c r="S411">
        <v>0</v>
      </c>
      <c r="T411" t="str">
        <f t="shared" si="66"/>
        <v>-</v>
      </c>
      <c r="U411" t="str">
        <f t="shared" si="67"/>
        <v>-</v>
      </c>
      <c r="V411" t="str">
        <f t="shared" si="68"/>
        <v>-</v>
      </c>
      <c r="W411" t="str">
        <f t="shared" si="69"/>
        <v>-</v>
      </c>
      <c r="X411" t="str">
        <f t="shared" si="70"/>
        <v>-</v>
      </c>
      <c r="Y411" t="str">
        <f t="shared" si="71"/>
        <v>-</v>
      </c>
      <c r="Z411" t="str">
        <f t="shared" si="72"/>
        <v>-</v>
      </c>
      <c r="AA411" t="str">
        <f t="shared" si="73"/>
        <v>-</v>
      </c>
      <c r="AB411" t="str">
        <f>IF(_xlfn.IFNA(VLOOKUP(P411,Set_Ref!$B$6:$B$1048576,1,FALSE),"")&lt;&gt;"","-",FALSE)</f>
        <v>-</v>
      </c>
      <c r="AC411" t="str">
        <f t="shared" si="74"/>
        <v>-</v>
      </c>
      <c r="AD411" t="str">
        <f t="shared" si="75"/>
        <v>-</v>
      </c>
      <c r="AE411" t="b">
        <f t="shared" si="76"/>
        <v>1</v>
      </c>
    </row>
    <row r="412" spans="1:31" x14ac:dyDescent="0.25">
      <c r="A412">
        <v>2</v>
      </c>
      <c r="B412">
        <v>93</v>
      </c>
      <c r="C412">
        <v>261</v>
      </c>
      <c r="D412" s="11" t="s">
        <v>149</v>
      </c>
      <c r="E412" t="s">
        <v>312</v>
      </c>
      <c r="F412" t="s">
        <v>189</v>
      </c>
      <c r="G412" s="11" t="s">
        <v>461</v>
      </c>
      <c r="H412">
        <v>1</v>
      </c>
      <c r="I412" s="11" t="s">
        <v>462</v>
      </c>
      <c r="J412" t="s">
        <v>313</v>
      </c>
      <c r="K412" t="s">
        <v>242</v>
      </c>
      <c r="L412" s="11" t="s">
        <v>39</v>
      </c>
      <c r="M412" s="11" t="s">
        <v>39</v>
      </c>
      <c r="N412" s="11" t="s">
        <v>39</v>
      </c>
      <c r="O412" s="11" t="s">
        <v>39</v>
      </c>
      <c r="P412" t="s">
        <v>8</v>
      </c>
      <c r="Q412">
        <v>657</v>
      </c>
      <c r="R412">
        <v>0</v>
      </c>
      <c r="S412">
        <v>0</v>
      </c>
      <c r="T412" t="str">
        <f t="shared" si="66"/>
        <v>-</v>
      </c>
      <c r="U412" t="str">
        <f t="shared" si="67"/>
        <v>-</v>
      </c>
      <c r="V412" t="str">
        <f t="shared" si="68"/>
        <v>-</v>
      </c>
      <c r="W412" t="str">
        <f t="shared" si="69"/>
        <v>-</v>
      </c>
      <c r="X412" t="str">
        <f t="shared" si="70"/>
        <v>-</v>
      </c>
      <c r="Y412" t="str">
        <f t="shared" si="71"/>
        <v>-</v>
      </c>
      <c r="Z412" t="str">
        <f t="shared" si="72"/>
        <v>-</v>
      </c>
      <c r="AA412" t="str">
        <f t="shared" si="73"/>
        <v>-</v>
      </c>
      <c r="AB412" t="str">
        <f>IF(_xlfn.IFNA(VLOOKUP(P412,Set_Ref!$B$6:$B$1048576,1,FALSE),"")&lt;&gt;"","-",FALSE)</f>
        <v>-</v>
      </c>
      <c r="AC412" t="str">
        <f t="shared" si="74"/>
        <v>-</v>
      </c>
      <c r="AD412" t="str">
        <f t="shared" si="75"/>
        <v>-</v>
      </c>
      <c r="AE412" t="b">
        <f t="shared" si="76"/>
        <v>1</v>
      </c>
    </row>
    <row r="413" spans="1:31" x14ac:dyDescent="0.25">
      <c r="A413">
        <v>2</v>
      </c>
      <c r="B413">
        <v>94</v>
      </c>
      <c r="C413">
        <v>261</v>
      </c>
      <c r="D413" s="11" t="s">
        <v>149</v>
      </c>
      <c r="E413" t="s">
        <v>314</v>
      </c>
      <c r="F413" t="s">
        <v>190</v>
      </c>
      <c r="G413" s="11" t="s">
        <v>463</v>
      </c>
      <c r="H413">
        <v>1</v>
      </c>
      <c r="I413" s="11" t="s">
        <v>172</v>
      </c>
      <c r="J413" t="s">
        <v>315</v>
      </c>
      <c r="K413" t="s">
        <v>243</v>
      </c>
      <c r="L413" s="11" t="s">
        <v>39</v>
      </c>
      <c r="M413" s="11" t="s">
        <v>39</v>
      </c>
      <c r="N413" s="11" t="s">
        <v>39</v>
      </c>
      <c r="O413" s="11" t="s">
        <v>39</v>
      </c>
      <c r="P413" t="s">
        <v>11</v>
      </c>
      <c r="Q413">
        <v>11</v>
      </c>
      <c r="R413">
        <v>0</v>
      </c>
      <c r="S413">
        <v>0</v>
      </c>
      <c r="T413" t="str">
        <f t="shared" si="66"/>
        <v>-</v>
      </c>
      <c r="U413" t="str">
        <f t="shared" si="67"/>
        <v>-</v>
      </c>
      <c r="V413" t="str">
        <f t="shared" si="68"/>
        <v>-</v>
      </c>
      <c r="W413" t="str">
        <f t="shared" si="69"/>
        <v>-</v>
      </c>
      <c r="X413" t="str">
        <f t="shared" si="70"/>
        <v>-</v>
      </c>
      <c r="Y413" t="str">
        <f t="shared" si="71"/>
        <v>-</v>
      </c>
      <c r="Z413" t="str">
        <f t="shared" si="72"/>
        <v>-</v>
      </c>
      <c r="AA413" t="str">
        <f t="shared" si="73"/>
        <v>-</v>
      </c>
      <c r="AB413" t="str">
        <f>IF(_xlfn.IFNA(VLOOKUP(P413,Set_Ref!$B$6:$B$1048576,1,FALSE),"")&lt;&gt;"","-",FALSE)</f>
        <v>-</v>
      </c>
      <c r="AC413" t="str">
        <f t="shared" si="74"/>
        <v>-</v>
      </c>
      <c r="AD413" t="str">
        <f t="shared" si="75"/>
        <v>-</v>
      </c>
      <c r="AE413" t="b">
        <f t="shared" si="76"/>
        <v>1</v>
      </c>
    </row>
    <row r="414" spans="1:31" x14ac:dyDescent="0.25">
      <c r="A414">
        <v>2</v>
      </c>
      <c r="B414">
        <v>95</v>
      </c>
      <c r="C414">
        <v>261</v>
      </c>
      <c r="D414" s="11" t="s">
        <v>149</v>
      </c>
      <c r="E414" t="s">
        <v>314</v>
      </c>
      <c r="F414" t="s">
        <v>190</v>
      </c>
      <c r="G414" s="11" t="s">
        <v>463</v>
      </c>
      <c r="H414">
        <v>2</v>
      </c>
      <c r="I414" s="11" t="s">
        <v>427</v>
      </c>
      <c r="J414" t="s">
        <v>316</v>
      </c>
      <c r="K414" t="s">
        <v>244</v>
      </c>
      <c r="L414" s="11" t="s">
        <v>39</v>
      </c>
      <c r="M414" s="11" t="s">
        <v>39</v>
      </c>
      <c r="N414" s="11" t="s">
        <v>39</v>
      </c>
      <c r="O414" s="11" t="s">
        <v>39</v>
      </c>
      <c r="P414" t="s">
        <v>9</v>
      </c>
      <c r="Q414">
        <v>4000</v>
      </c>
      <c r="R414">
        <v>0</v>
      </c>
      <c r="S414">
        <v>0</v>
      </c>
      <c r="T414" t="str">
        <f t="shared" si="66"/>
        <v>-</v>
      </c>
      <c r="U414" t="str">
        <f t="shared" si="67"/>
        <v>-</v>
      </c>
      <c r="V414" t="str">
        <f t="shared" si="68"/>
        <v>-</v>
      </c>
      <c r="W414" t="str">
        <f t="shared" si="69"/>
        <v>-</v>
      </c>
      <c r="X414" t="str">
        <f t="shared" si="70"/>
        <v>-</v>
      </c>
      <c r="Y414" t="str">
        <f t="shared" si="71"/>
        <v>-</v>
      </c>
      <c r="Z414" t="str">
        <f t="shared" si="72"/>
        <v>-</v>
      </c>
      <c r="AA414" t="str">
        <f t="shared" si="73"/>
        <v>-</v>
      </c>
      <c r="AB414" t="str">
        <f>IF(_xlfn.IFNA(VLOOKUP(P414,Set_Ref!$B$6:$B$1048576,1,FALSE),"")&lt;&gt;"","-",FALSE)</f>
        <v>-</v>
      </c>
      <c r="AC414" t="str">
        <f t="shared" si="74"/>
        <v>-</v>
      </c>
      <c r="AD414" t="str">
        <f t="shared" si="75"/>
        <v>-</v>
      </c>
      <c r="AE414" t="b">
        <f t="shared" si="76"/>
        <v>1</v>
      </c>
    </row>
    <row r="415" spans="1:31" x14ac:dyDescent="0.25">
      <c r="A415">
        <v>2</v>
      </c>
      <c r="B415">
        <v>96</v>
      </c>
      <c r="C415">
        <v>261</v>
      </c>
      <c r="D415" s="11" t="s">
        <v>149</v>
      </c>
      <c r="E415" t="s">
        <v>314</v>
      </c>
      <c r="F415" t="s">
        <v>190</v>
      </c>
      <c r="G415" s="11" t="s">
        <v>463</v>
      </c>
      <c r="H415">
        <v>3</v>
      </c>
      <c r="I415" s="11" t="s">
        <v>427</v>
      </c>
      <c r="J415" t="s">
        <v>317</v>
      </c>
      <c r="K415" t="s">
        <v>245</v>
      </c>
      <c r="L415" s="11" t="s">
        <v>39</v>
      </c>
      <c r="M415" s="11" t="s">
        <v>39</v>
      </c>
      <c r="N415" s="11" t="s">
        <v>39</v>
      </c>
      <c r="O415" s="11" t="s">
        <v>39</v>
      </c>
      <c r="P415" t="s">
        <v>9</v>
      </c>
      <c r="Q415">
        <v>4000</v>
      </c>
      <c r="R415">
        <v>0</v>
      </c>
      <c r="S415">
        <v>0</v>
      </c>
      <c r="T415" t="str">
        <f t="shared" si="66"/>
        <v>-</v>
      </c>
      <c r="U415" t="str">
        <f t="shared" si="67"/>
        <v>-</v>
      </c>
      <c r="V415" t="str">
        <f t="shared" si="68"/>
        <v>-</v>
      </c>
      <c r="W415" t="str">
        <f t="shared" si="69"/>
        <v>-</v>
      </c>
      <c r="X415" t="str">
        <f t="shared" si="70"/>
        <v>-</v>
      </c>
      <c r="Y415" t="str">
        <f t="shared" si="71"/>
        <v>-</v>
      </c>
      <c r="Z415" t="str">
        <f t="shared" si="72"/>
        <v>-</v>
      </c>
      <c r="AA415" t="str">
        <f t="shared" si="73"/>
        <v>-</v>
      </c>
      <c r="AB415" t="str">
        <f>IF(_xlfn.IFNA(VLOOKUP(P415,Set_Ref!$B$6:$B$1048576,1,FALSE),"")&lt;&gt;"","-",FALSE)</f>
        <v>-</v>
      </c>
      <c r="AC415" t="str">
        <f t="shared" si="74"/>
        <v>-</v>
      </c>
      <c r="AD415" t="str">
        <f t="shared" si="75"/>
        <v>-</v>
      </c>
      <c r="AE415" t="b">
        <f t="shared" si="76"/>
        <v>1</v>
      </c>
    </row>
    <row r="416" spans="1:31" x14ac:dyDescent="0.25">
      <c r="A416">
        <v>2</v>
      </c>
      <c r="B416">
        <v>97</v>
      </c>
      <c r="C416">
        <v>261</v>
      </c>
      <c r="D416" s="11" t="s">
        <v>149</v>
      </c>
      <c r="E416" t="s">
        <v>314</v>
      </c>
      <c r="F416" t="s">
        <v>190</v>
      </c>
      <c r="G416" s="11" t="s">
        <v>463</v>
      </c>
      <c r="H416">
        <v>4</v>
      </c>
      <c r="I416" s="11" t="s">
        <v>427</v>
      </c>
      <c r="J416" t="s">
        <v>318</v>
      </c>
      <c r="K416" t="s">
        <v>246</v>
      </c>
      <c r="L416" s="11" t="s">
        <v>39</v>
      </c>
      <c r="M416" s="11" t="s">
        <v>39</v>
      </c>
      <c r="N416" s="11" t="s">
        <v>39</v>
      </c>
      <c r="O416" s="11" t="s">
        <v>39</v>
      </c>
      <c r="P416" t="s">
        <v>9</v>
      </c>
      <c r="Q416">
        <v>1500</v>
      </c>
      <c r="R416">
        <v>0</v>
      </c>
      <c r="S416">
        <v>0</v>
      </c>
      <c r="T416" t="str">
        <f t="shared" si="66"/>
        <v>-</v>
      </c>
      <c r="U416" t="str">
        <f t="shared" si="67"/>
        <v>-</v>
      </c>
      <c r="V416" t="str">
        <f t="shared" si="68"/>
        <v>-</v>
      </c>
      <c r="W416" t="str">
        <f t="shared" si="69"/>
        <v>-</v>
      </c>
      <c r="X416" t="str">
        <f t="shared" si="70"/>
        <v>-</v>
      </c>
      <c r="Y416" t="str">
        <f t="shared" si="71"/>
        <v>-</v>
      </c>
      <c r="Z416" t="str">
        <f t="shared" si="72"/>
        <v>-</v>
      </c>
      <c r="AA416" t="str">
        <f t="shared" si="73"/>
        <v>-</v>
      </c>
      <c r="AB416" t="str">
        <f>IF(_xlfn.IFNA(VLOOKUP(P416,Set_Ref!$B$6:$B$1048576,1,FALSE),"")&lt;&gt;"","-",FALSE)</f>
        <v>-</v>
      </c>
      <c r="AC416" t="str">
        <f t="shared" si="74"/>
        <v>-</v>
      </c>
      <c r="AD416" t="str">
        <f t="shared" si="75"/>
        <v>-</v>
      </c>
      <c r="AE416" t="b">
        <f t="shared" si="76"/>
        <v>1</v>
      </c>
    </row>
    <row r="417" spans="1:31" x14ac:dyDescent="0.25">
      <c r="A417">
        <v>2</v>
      </c>
      <c r="B417">
        <v>98</v>
      </c>
      <c r="C417">
        <v>261</v>
      </c>
      <c r="D417" s="11" t="s">
        <v>149</v>
      </c>
      <c r="E417" t="s">
        <v>314</v>
      </c>
      <c r="F417" t="s">
        <v>190</v>
      </c>
      <c r="G417" s="11" t="s">
        <v>463</v>
      </c>
      <c r="H417">
        <v>5</v>
      </c>
      <c r="I417" s="11" t="s">
        <v>427</v>
      </c>
      <c r="J417" t="s">
        <v>319</v>
      </c>
      <c r="K417" t="s">
        <v>247</v>
      </c>
      <c r="L417" s="11" t="s">
        <v>39</v>
      </c>
      <c r="M417" s="11" t="s">
        <v>39</v>
      </c>
      <c r="N417" s="11" t="s">
        <v>39</v>
      </c>
      <c r="O417" s="11" t="s">
        <v>39</v>
      </c>
      <c r="P417" t="s">
        <v>9</v>
      </c>
      <c r="Q417">
        <v>349</v>
      </c>
      <c r="R417">
        <v>0</v>
      </c>
      <c r="S417">
        <v>0</v>
      </c>
      <c r="T417" t="str">
        <f t="shared" si="66"/>
        <v>-</v>
      </c>
      <c r="U417" t="str">
        <f t="shared" si="67"/>
        <v>-</v>
      </c>
      <c r="V417" t="str">
        <f t="shared" si="68"/>
        <v>-</v>
      </c>
      <c r="W417" t="str">
        <f t="shared" si="69"/>
        <v>-</v>
      </c>
      <c r="X417" t="str">
        <f t="shared" si="70"/>
        <v>-</v>
      </c>
      <c r="Y417" t="str">
        <f t="shared" si="71"/>
        <v>-</v>
      </c>
      <c r="Z417" t="str">
        <f t="shared" si="72"/>
        <v>-</v>
      </c>
      <c r="AA417" t="str">
        <f t="shared" si="73"/>
        <v>-</v>
      </c>
      <c r="AB417" t="str">
        <f>IF(_xlfn.IFNA(VLOOKUP(P417,Set_Ref!$B$6:$B$1048576,1,FALSE),"")&lt;&gt;"","-",FALSE)</f>
        <v>-</v>
      </c>
      <c r="AC417" t="str">
        <f t="shared" si="74"/>
        <v>-</v>
      </c>
      <c r="AD417" t="str">
        <f t="shared" si="75"/>
        <v>-</v>
      </c>
      <c r="AE417" t="b">
        <f t="shared" si="76"/>
        <v>1</v>
      </c>
    </row>
    <row r="418" spans="1:31" x14ac:dyDescent="0.25">
      <c r="A418">
        <v>2</v>
      </c>
      <c r="B418">
        <v>99</v>
      </c>
      <c r="C418">
        <v>261</v>
      </c>
      <c r="D418" s="11" t="s">
        <v>149</v>
      </c>
      <c r="E418" t="s">
        <v>314</v>
      </c>
      <c r="F418" t="s">
        <v>190</v>
      </c>
      <c r="G418" s="11" t="s">
        <v>463</v>
      </c>
      <c r="H418">
        <v>6</v>
      </c>
      <c r="I418" s="11" t="s">
        <v>440</v>
      </c>
      <c r="J418" t="s">
        <v>289</v>
      </c>
      <c r="K418" t="s">
        <v>231</v>
      </c>
      <c r="L418" s="11" t="s">
        <v>39</v>
      </c>
      <c r="M418" s="11" t="s">
        <v>39</v>
      </c>
      <c r="N418" s="11" t="s">
        <v>39</v>
      </c>
      <c r="O418" s="11" t="s">
        <v>39</v>
      </c>
      <c r="P418" t="s">
        <v>10</v>
      </c>
      <c r="Q418">
        <v>1443.4</v>
      </c>
      <c r="R418">
        <v>0</v>
      </c>
      <c r="S418">
        <v>0</v>
      </c>
      <c r="T418" t="str">
        <f t="shared" si="66"/>
        <v>-</v>
      </c>
      <c r="U418" t="str">
        <f t="shared" si="67"/>
        <v>-</v>
      </c>
      <c r="V418" t="str">
        <f t="shared" si="68"/>
        <v>-</v>
      </c>
      <c r="W418" t="str">
        <f t="shared" si="69"/>
        <v>-</v>
      </c>
      <c r="X418" t="str">
        <f t="shared" si="70"/>
        <v>-</v>
      </c>
      <c r="Y418" t="str">
        <f t="shared" si="71"/>
        <v>-</v>
      </c>
      <c r="Z418" t="str">
        <f t="shared" si="72"/>
        <v>-</v>
      </c>
      <c r="AA418" t="str">
        <f t="shared" si="73"/>
        <v>-</v>
      </c>
      <c r="AB418" t="str">
        <f>IF(_xlfn.IFNA(VLOOKUP(P418,Set_Ref!$B$6:$B$1048576,1,FALSE),"")&lt;&gt;"","-",FALSE)</f>
        <v>-</v>
      </c>
      <c r="AC418" t="str">
        <f t="shared" si="74"/>
        <v>-</v>
      </c>
      <c r="AD418" t="str">
        <f t="shared" si="75"/>
        <v>-</v>
      </c>
      <c r="AE418" t="b">
        <f t="shared" si="76"/>
        <v>1</v>
      </c>
    </row>
    <row r="419" spans="1:31" x14ac:dyDescent="0.25">
      <c r="A419">
        <v>2</v>
      </c>
      <c r="B419">
        <v>100</v>
      </c>
      <c r="C419">
        <v>261</v>
      </c>
      <c r="D419" s="11" t="s">
        <v>149</v>
      </c>
      <c r="E419" t="s">
        <v>320</v>
      </c>
      <c r="F419" t="s">
        <v>190</v>
      </c>
      <c r="G419" s="11" t="s">
        <v>464</v>
      </c>
      <c r="H419">
        <v>1</v>
      </c>
      <c r="I419" s="11" t="s">
        <v>172</v>
      </c>
      <c r="J419" t="s">
        <v>315</v>
      </c>
      <c r="K419" t="s">
        <v>243</v>
      </c>
      <c r="L419" s="11" t="s">
        <v>39</v>
      </c>
      <c r="M419" s="11" t="s">
        <v>39</v>
      </c>
      <c r="N419" s="11" t="s">
        <v>39</v>
      </c>
      <c r="O419" s="11" t="s">
        <v>39</v>
      </c>
      <c r="P419" t="s">
        <v>11</v>
      </c>
      <c r="Q419">
        <v>51</v>
      </c>
      <c r="R419">
        <v>0</v>
      </c>
      <c r="S419">
        <v>0</v>
      </c>
      <c r="T419" t="str">
        <f t="shared" si="66"/>
        <v>-</v>
      </c>
      <c r="U419" t="str">
        <f t="shared" si="67"/>
        <v>-</v>
      </c>
      <c r="V419" t="str">
        <f t="shared" si="68"/>
        <v>-</v>
      </c>
      <c r="W419" t="str">
        <f t="shared" si="69"/>
        <v>-</v>
      </c>
      <c r="X419" t="str">
        <f t="shared" si="70"/>
        <v>-</v>
      </c>
      <c r="Y419" t="str">
        <f t="shared" si="71"/>
        <v>-</v>
      </c>
      <c r="Z419" t="str">
        <f t="shared" si="72"/>
        <v>-</v>
      </c>
      <c r="AA419" t="str">
        <f t="shared" si="73"/>
        <v>-</v>
      </c>
      <c r="AB419" t="str">
        <f>IF(_xlfn.IFNA(VLOOKUP(P419,Set_Ref!$B$6:$B$1048576,1,FALSE),"")&lt;&gt;"","-",FALSE)</f>
        <v>-</v>
      </c>
      <c r="AC419" t="str">
        <f t="shared" si="74"/>
        <v>-</v>
      </c>
      <c r="AD419" t="str">
        <f t="shared" si="75"/>
        <v>-</v>
      </c>
      <c r="AE419" t="b">
        <f t="shared" si="76"/>
        <v>1</v>
      </c>
    </row>
    <row r="420" spans="1:31" x14ac:dyDescent="0.25">
      <c r="A420">
        <v>2</v>
      </c>
      <c r="B420">
        <v>101</v>
      </c>
      <c r="C420">
        <v>261</v>
      </c>
      <c r="D420" s="11" t="s">
        <v>149</v>
      </c>
      <c r="E420" t="s">
        <v>320</v>
      </c>
      <c r="F420" t="s">
        <v>190</v>
      </c>
      <c r="G420" s="11" t="s">
        <v>464</v>
      </c>
      <c r="H420">
        <v>2</v>
      </c>
      <c r="I420" s="11" t="s">
        <v>430</v>
      </c>
      <c r="J420" t="s">
        <v>278</v>
      </c>
      <c r="K420" t="s">
        <v>218</v>
      </c>
      <c r="L420" s="11" t="s">
        <v>39</v>
      </c>
      <c r="M420" s="11" t="s">
        <v>39</v>
      </c>
      <c r="N420" s="11" t="s">
        <v>39</v>
      </c>
      <c r="O420" s="11" t="s">
        <v>39</v>
      </c>
      <c r="P420" t="s">
        <v>58</v>
      </c>
      <c r="Q420">
        <v>2.54</v>
      </c>
      <c r="R420">
        <v>0</v>
      </c>
      <c r="S420">
        <v>0</v>
      </c>
      <c r="T420" t="str">
        <f t="shared" si="66"/>
        <v>-</v>
      </c>
      <c r="U420" t="str">
        <f t="shared" si="67"/>
        <v>-</v>
      </c>
      <c r="V420" t="str">
        <f t="shared" si="68"/>
        <v>-</v>
      </c>
      <c r="W420" t="str">
        <f t="shared" si="69"/>
        <v>-</v>
      </c>
      <c r="X420" t="str">
        <f t="shared" si="70"/>
        <v>-</v>
      </c>
      <c r="Y420" t="str">
        <f t="shared" si="71"/>
        <v>-</v>
      </c>
      <c r="Z420" t="str">
        <f t="shared" si="72"/>
        <v>-</v>
      </c>
      <c r="AA420" t="str">
        <f t="shared" si="73"/>
        <v>-</v>
      </c>
      <c r="AB420" t="str">
        <f>IF(_xlfn.IFNA(VLOOKUP(P420,Set_Ref!$B$6:$B$1048576,1,FALSE),"")&lt;&gt;"","-",FALSE)</f>
        <v>-</v>
      </c>
      <c r="AC420" t="str">
        <f t="shared" si="74"/>
        <v>-</v>
      </c>
      <c r="AD420" t="str">
        <f t="shared" si="75"/>
        <v>-</v>
      </c>
      <c r="AE420" t="b">
        <f t="shared" si="76"/>
        <v>1</v>
      </c>
    </row>
    <row r="421" spans="1:31" x14ac:dyDescent="0.25">
      <c r="A421">
        <v>2</v>
      </c>
      <c r="B421">
        <v>102</v>
      </c>
      <c r="C421">
        <v>261</v>
      </c>
      <c r="D421" s="11" t="s">
        <v>149</v>
      </c>
      <c r="E421" t="s">
        <v>320</v>
      </c>
      <c r="F421" t="s">
        <v>190</v>
      </c>
      <c r="G421" s="11" t="s">
        <v>464</v>
      </c>
      <c r="H421">
        <v>3</v>
      </c>
      <c r="I421" s="11" t="s">
        <v>427</v>
      </c>
      <c r="J421" t="s">
        <v>311</v>
      </c>
      <c r="K421" t="s">
        <v>240</v>
      </c>
      <c r="L421" s="11" t="s">
        <v>39</v>
      </c>
      <c r="M421" s="11" t="s">
        <v>39</v>
      </c>
      <c r="N421" s="11" t="s">
        <v>39</v>
      </c>
      <c r="O421" s="11" t="s">
        <v>39</v>
      </c>
      <c r="P421" t="s">
        <v>9</v>
      </c>
      <c r="Q421">
        <v>200</v>
      </c>
      <c r="R421">
        <v>0</v>
      </c>
      <c r="S421">
        <v>0</v>
      </c>
      <c r="T421" t="str">
        <f t="shared" si="66"/>
        <v>-</v>
      </c>
      <c r="U421" t="str">
        <f t="shared" si="67"/>
        <v>-</v>
      </c>
      <c r="V421" t="str">
        <f t="shared" si="68"/>
        <v>-</v>
      </c>
      <c r="W421" t="str">
        <f t="shared" si="69"/>
        <v>-</v>
      </c>
      <c r="X421" t="str">
        <f t="shared" si="70"/>
        <v>-</v>
      </c>
      <c r="Y421" t="str">
        <f t="shared" si="71"/>
        <v>-</v>
      </c>
      <c r="Z421" t="str">
        <f t="shared" si="72"/>
        <v>-</v>
      </c>
      <c r="AA421" t="str">
        <f t="shared" si="73"/>
        <v>-</v>
      </c>
      <c r="AB421" t="str">
        <f>IF(_xlfn.IFNA(VLOOKUP(P421,Set_Ref!$B$6:$B$1048576,1,FALSE),"")&lt;&gt;"","-",FALSE)</f>
        <v>-</v>
      </c>
      <c r="AC421" t="str">
        <f t="shared" si="74"/>
        <v>-</v>
      </c>
      <c r="AD421" t="str">
        <f t="shared" si="75"/>
        <v>-</v>
      </c>
      <c r="AE421" t="b">
        <f t="shared" si="76"/>
        <v>1</v>
      </c>
    </row>
    <row r="422" spans="1:31" x14ac:dyDescent="0.25">
      <c r="A422">
        <v>2</v>
      </c>
      <c r="B422">
        <v>103</v>
      </c>
      <c r="C422">
        <v>261</v>
      </c>
      <c r="D422" s="11" t="s">
        <v>149</v>
      </c>
      <c r="E422" t="s">
        <v>321</v>
      </c>
      <c r="F422" t="s">
        <v>191</v>
      </c>
      <c r="G422" s="11" t="s">
        <v>465</v>
      </c>
      <c r="H422">
        <v>1</v>
      </c>
      <c r="I422" s="11" t="s">
        <v>178</v>
      </c>
      <c r="J422" t="s">
        <v>322</v>
      </c>
      <c r="K422" t="s">
        <v>248</v>
      </c>
      <c r="L422" s="11" t="s">
        <v>39</v>
      </c>
      <c r="M422" s="11" t="s">
        <v>39</v>
      </c>
      <c r="N422" s="11" t="s">
        <v>39</v>
      </c>
      <c r="O422" s="11" t="s">
        <v>39</v>
      </c>
      <c r="P422" t="s">
        <v>38</v>
      </c>
      <c r="Q422">
        <v>32</v>
      </c>
      <c r="R422">
        <v>0</v>
      </c>
      <c r="S422">
        <v>0</v>
      </c>
      <c r="T422" t="str">
        <f t="shared" si="66"/>
        <v>-</v>
      </c>
      <c r="U422" t="str">
        <f t="shared" si="67"/>
        <v>-</v>
      </c>
      <c r="V422" t="str">
        <f t="shared" si="68"/>
        <v>-</v>
      </c>
      <c r="W422" t="str">
        <f t="shared" si="69"/>
        <v>-</v>
      </c>
      <c r="X422" t="str">
        <f t="shared" si="70"/>
        <v>-</v>
      </c>
      <c r="Y422" t="str">
        <f t="shared" si="71"/>
        <v>-</v>
      </c>
      <c r="Z422" t="str">
        <f t="shared" si="72"/>
        <v>-</v>
      </c>
      <c r="AA422" t="str">
        <f t="shared" si="73"/>
        <v>-</v>
      </c>
      <c r="AB422" t="str">
        <f>IF(_xlfn.IFNA(VLOOKUP(P422,Set_Ref!$B$6:$B$1048576,1,FALSE),"")&lt;&gt;"","-",FALSE)</f>
        <v>-</v>
      </c>
      <c r="AC422" t="str">
        <f t="shared" si="74"/>
        <v>-</v>
      </c>
      <c r="AD422" t="str">
        <f t="shared" si="75"/>
        <v>-</v>
      </c>
      <c r="AE422" t="b">
        <f t="shared" si="76"/>
        <v>1</v>
      </c>
    </row>
    <row r="423" spans="1:31" x14ac:dyDescent="0.25">
      <c r="A423">
        <v>2</v>
      </c>
      <c r="B423">
        <v>104</v>
      </c>
      <c r="C423">
        <v>261</v>
      </c>
      <c r="D423" s="11" t="s">
        <v>149</v>
      </c>
      <c r="E423" t="s">
        <v>321</v>
      </c>
      <c r="F423" t="s">
        <v>191</v>
      </c>
      <c r="G423" s="11" t="s">
        <v>465</v>
      </c>
      <c r="H423">
        <v>2</v>
      </c>
      <c r="I423" s="11" t="s">
        <v>466</v>
      </c>
      <c r="J423" t="s">
        <v>323</v>
      </c>
      <c r="K423" t="s">
        <v>249</v>
      </c>
      <c r="L423" s="11" t="s">
        <v>39</v>
      </c>
      <c r="M423" s="11" t="s">
        <v>39</v>
      </c>
      <c r="N423" s="11" t="s">
        <v>39</v>
      </c>
      <c r="O423" s="11" t="s">
        <v>39</v>
      </c>
      <c r="P423" t="s">
        <v>10</v>
      </c>
      <c r="Q423">
        <v>167</v>
      </c>
      <c r="R423">
        <v>0</v>
      </c>
      <c r="S423">
        <v>0</v>
      </c>
      <c r="T423" t="str">
        <f t="shared" si="66"/>
        <v>-</v>
      </c>
      <c r="U423" t="str">
        <f t="shared" si="67"/>
        <v>-</v>
      </c>
      <c r="V423" t="str">
        <f t="shared" si="68"/>
        <v>-</v>
      </c>
      <c r="W423" t="str">
        <f t="shared" si="69"/>
        <v>-</v>
      </c>
      <c r="X423" t="str">
        <f t="shared" si="70"/>
        <v>-</v>
      </c>
      <c r="Y423" t="str">
        <f t="shared" si="71"/>
        <v>-</v>
      </c>
      <c r="Z423" t="str">
        <f t="shared" si="72"/>
        <v>-</v>
      </c>
      <c r="AA423" t="str">
        <f t="shared" si="73"/>
        <v>-</v>
      </c>
      <c r="AB423" t="str">
        <f>IF(_xlfn.IFNA(VLOOKUP(P423,Set_Ref!$B$6:$B$1048576,1,FALSE),"")&lt;&gt;"","-",FALSE)</f>
        <v>-</v>
      </c>
      <c r="AC423" t="str">
        <f t="shared" si="74"/>
        <v>-</v>
      </c>
      <c r="AD423" t="str">
        <f t="shared" si="75"/>
        <v>-</v>
      </c>
      <c r="AE423" t="b">
        <f t="shared" si="76"/>
        <v>1</v>
      </c>
    </row>
    <row r="424" spans="1:31" x14ac:dyDescent="0.25">
      <c r="A424">
        <v>2</v>
      </c>
      <c r="B424">
        <v>105</v>
      </c>
      <c r="C424">
        <v>261</v>
      </c>
      <c r="D424" s="11" t="s">
        <v>149</v>
      </c>
      <c r="E424" t="s">
        <v>321</v>
      </c>
      <c r="F424" t="s">
        <v>191</v>
      </c>
      <c r="G424" s="11" t="s">
        <v>465</v>
      </c>
      <c r="H424">
        <v>3</v>
      </c>
      <c r="I424" s="11" t="s">
        <v>427</v>
      </c>
      <c r="J424" t="s">
        <v>311</v>
      </c>
      <c r="K424" t="s">
        <v>240</v>
      </c>
      <c r="L424" s="11" t="s">
        <v>39</v>
      </c>
      <c r="M424" s="11" t="s">
        <v>39</v>
      </c>
      <c r="N424" s="11" t="s">
        <v>39</v>
      </c>
      <c r="O424" s="11" t="s">
        <v>39</v>
      </c>
      <c r="P424" t="s">
        <v>9</v>
      </c>
      <c r="Q424">
        <v>1445</v>
      </c>
      <c r="R424">
        <v>0</v>
      </c>
      <c r="S424">
        <v>0</v>
      </c>
      <c r="T424" t="str">
        <f t="shared" si="66"/>
        <v>-</v>
      </c>
      <c r="U424" t="str">
        <f t="shared" si="67"/>
        <v>-</v>
      </c>
      <c r="V424" t="str">
        <f t="shared" si="68"/>
        <v>-</v>
      </c>
      <c r="W424" t="str">
        <f t="shared" si="69"/>
        <v>-</v>
      </c>
      <c r="X424" t="str">
        <f t="shared" si="70"/>
        <v>-</v>
      </c>
      <c r="Y424" t="str">
        <f t="shared" si="71"/>
        <v>-</v>
      </c>
      <c r="Z424" t="str">
        <f t="shared" si="72"/>
        <v>-</v>
      </c>
      <c r="AA424" t="str">
        <f t="shared" si="73"/>
        <v>-</v>
      </c>
      <c r="AB424" t="str">
        <f>IF(_xlfn.IFNA(VLOOKUP(P424,Set_Ref!$B$6:$B$1048576,1,FALSE),"")&lt;&gt;"","-",FALSE)</f>
        <v>-</v>
      </c>
      <c r="AC424" t="str">
        <f t="shared" si="74"/>
        <v>-</v>
      </c>
      <c r="AD424" t="str">
        <f t="shared" si="75"/>
        <v>-</v>
      </c>
      <c r="AE424" t="b">
        <f t="shared" si="76"/>
        <v>1</v>
      </c>
    </row>
    <row r="425" spans="1:31" x14ac:dyDescent="0.25">
      <c r="A425">
        <v>2</v>
      </c>
      <c r="B425">
        <v>106</v>
      </c>
      <c r="C425">
        <v>261</v>
      </c>
      <c r="D425" s="11" t="s">
        <v>149</v>
      </c>
      <c r="E425" t="s">
        <v>321</v>
      </c>
      <c r="F425" t="s">
        <v>191</v>
      </c>
      <c r="G425" s="11" t="s">
        <v>465</v>
      </c>
      <c r="H425">
        <v>4</v>
      </c>
      <c r="I425" s="11" t="s">
        <v>427</v>
      </c>
      <c r="J425" t="s">
        <v>282</v>
      </c>
      <c r="K425" t="s">
        <v>224</v>
      </c>
      <c r="L425" s="11" t="s">
        <v>39</v>
      </c>
      <c r="M425" s="11" t="s">
        <v>39</v>
      </c>
      <c r="N425" s="11" t="s">
        <v>39</v>
      </c>
      <c r="O425" s="11" t="s">
        <v>39</v>
      </c>
      <c r="P425" t="s">
        <v>9</v>
      </c>
      <c r="Q425">
        <v>395</v>
      </c>
      <c r="R425">
        <v>0</v>
      </c>
      <c r="S425">
        <v>0</v>
      </c>
      <c r="T425" t="str">
        <f t="shared" si="66"/>
        <v>-</v>
      </c>
      <c r="U425" t="str">
        <f t="shared" si="67"/>
        <v>-</v>
      </c>
      <c r="V425" t="str">
        <f t="shared" si="68"/>
        <v>-</v>
      </c>
      <c r="W425" t="str">
        <f t="shared" si="69"/>
        <v>-</v>
      </c>
      <c r="X425" t="str">
        <f t="shared" si="70"/>
        <v>-</v>
      </c>
      <c r="Y425" t="str">
        <f t="shared" si="71"/>
        <v>-</v>
      </c>
      <c r="Z425" t="str">
        <f t="shared" si="72"/>
        <v>-</v>
      </c>
      <c r="AA425" t="str">
        <f t="shared" si="73"/>
        <v>-</v>
      </c>
      <c r="AB425" t="str">
        <f>IF(_xlfn.IFNA(VLOOKUP(P425,Set_Ref!$B$6:$B$1048576,1,FALSE),"")&lt;&gt;"","-",FALSE)</f>
        <v>-</v>
      </c>
      <c r="AC425" t="str">
        <f t="shared" si="74"/>
        <v>-</v>
      </c>
      <c r="AD425" t="str">
        <f t="shared" si="75"/>
        <v>-</v>
      </c>
      <c r="AE425" t="b">
        <f t="shared" si="76"/>
        <v>1</v>
      </c>
    </row>
    <row r="426" spans="1:31" x14ac:dyDescent="0.25">
      <c r="A426">
        <v>2</v>
      </c>
      <c r="B426">
        <v>107</v>
      </c>
      <c r="C426">
        <v>261</v>
      </c>
      <c r="D426" s="11" t="s">
        <v>149</v>
      </c>
      <c r="E426" t="s">
        <v>321</v>
      </c>
      <c r="F426" t="s">
        <v>191</v>
      </c>
      <c r="G426" s="11" t="s">
        <v>465</v>
      </c>
      <c r="H426">
        <v>5</v>
      </c>
      <c r="I426" s="11" t="s">
        <v>177</v>
      </c>
      <c r="J426" t="s">
        <v>467</v>
      </c>
      <c r="K426" t="s">
        <v>250</v>
      </c>
      <c r="L426" s="11" t="s">
        <v>39</v>
      </c>
      <c r="M426" s="11" t="s">
        <v>39</v>
      </c>
      <c r="N426" s="11" t="s">
        <v>39</v>
      </c>
      <c r="O426" s="11" t="s">
        <v>39</v>
      </c>
      <c r="P426" t="s">
        <v>9</v>
      </c>
      <c r="Q426">
        <v>103</v>
      </c>
      <c r="R426">
        <v>0</v>
      </c>
      <c r="S426">
        <v>0</v>
      </c>
      <c r="T426" t="str">
        <f t="shared" si="66"/>
        <v>-</v>
      </c>
      <c r="U426" t="str">
        <f t="shared" si="67"/>
        <v>-</v>
      </c>
      <c r="V426" t="str">
        <f t="shared" si="68"/>
        <v>-</v>
      </c>
      <c r="W426" t="str">
        <f t="shared" si="69"/>
        <v>-</v>
      </c>
      <c r="X426" t="str">
        <f t="shared" si="70"/>
        <v>-</v>
      </c>
      <c r="Y426" t="str">
        <f t="shared" si="71"/>
        <v>-</v>
      </c>
      <c r="Z426" t="str">
        <f t="shared" si="72"/>
        <v>-</v>
      </c>
      <c r="AA426" t="str">
        <f t="shared" si="73"/>
        <v>-</v>
      </c>
      <c r="AB426" t="str">
        <f>IF(_xlfn.IFNA(VLOOKUP(P426,Set_Ref!$B$6:$B$1048576,1,FALSE),"")&lt;&gt;"","-",FALSE)</f>
        <v>-</v>
      </c>
      <c r="AC426" t="str">
        <f t="shared" si="74"/>
        <v>-</v>
      </c>
      <c r="AD426" t="str">
        <f t="shared" si="75"/>
        <v>-</v>
      </c>
      <c r="AE426" t="b">
        <f t="shared" si="76"/>
        <v>1</v>
      </c>
    </row>
    <row r="427" spans="1:31" x14ac:dyDescent="0.25">
      <c r="A427">
        <v>2</v>
      </c>
      <c r="B427">
        <v>108</v>
      </c>
      <c r="C427">
        <v>261</v>
      </c>
      <c r="D427" s="11" t="s">
        <v>149</v>
      </c>
      <c r="E427" t="s">
        <v>321</v>
      </c>
      <c r="F427" t="s">
        <v>191</v>
      </c>
      <c r="G427" s="11" t="s">
        <v>465</v>
      </c>
      <c r="H427">
        <v>6</v>
      </c>
      <c r="I427" s="11" t="s">
        <v>177</v>
      </c>
      <c r="J427" t="s">
        <v>468</v>
      </c>
      <c r="K427" t="s">
        <v>251</v>
      </c>
      <c r="L427" s="11" t="s">
        <v>39</v>
      </c>
      <c r="M427" s="11" t="s">
        <v>39</v>
      </c>
      <c r="N427" s="11" t="s">
        <v>39</v>
      </c>
      <c r="O427" s="11" t="s">
        <v>39</v>
      </c>
      <c r="P427" t="s">
        <v>9</v>
      </c>
      <c r="Q427">
        <v>364</v>
      </c>
      <c r="R427">
        <v>0</v>
      </c>
      <c r="S427">
        <v>0</v>
      </c>
      <c r="T427" t="str">
        <f t="shared" si="66"/>
        <v>-</v>
      </c>
      <c r="U427" t="str">
        <f t="shared" si="67"/>
        <v>-</v>
      </c>
      <c r="V427" t="str">
        <f t="shared" si="68"/>
        <v>-</v>
      </c>
      <c r="W427" t="str">
        <f t="shared" si="69"/>
        <v>-</v>
      </c>
      <c r="X427" t="str">
        <f t="shared" si="70"/>
        <v>-</v>
      </c>
      <c r="Y427" t="str">
        <f t="shared" si="71"/>
        <v>-</v>
      </c>
      <c r="Z427" t="str">
        <f t="shared" si="72"/>
        <v>-</v>
      </c>
      <c r="AA427" t="str">
        <f t="shared" si="73"/>
        <v>-</v>
      </c>
      <c r="AB427" t="str">
        <f>IF(_xlfn.IFNA(VLOOKUP(P427,Set_Ref!$B$6:$B$1048576,1,FALSE),"")&lt;&gt;"","-",FALSE)</f>
        <v>-</v>
      </c>
      <c r="AC427" t="str">
        <f t="shared" si="74"/>
        <v>-</v>
      </c>
      <c r="AD427" t="str">
        <f t="shared" si="75"/>
        <v>-</v>
      </c>
      <c r="AE427" t="b">
        <f t="shared" si="76"/>
        <v>1</v>
      </c>
    </row>
    <row r="428" spans="1:31" x14ac:dyDescent="0.25">
      <c r="A428">
        <v>2</v>
      </c>
      <c r="B428">
        <v>109</v>
      </c>
      <c r="C428">
        <v>261</v>
      </c>
      <c r="D428" s="11" t="s">
        <v>149</v>
      </c>
      <c r="E428" t="s">
        <v>321</v>
      </c>
      <c r="F428" t="s">
        <v>191</v>
      </c>
      <c r="G428" s="11" t="s">
        <v>465</v>
      </c>
      <c r="H428">
        <v>5</v>
      </c>
      <c r="I428" s="11" t="s">
        <v>177</v>
      </c>
      <c r="J428" t="s">
        <v>467</v>
      </c>
      <c r="K428" t="s">
        <v>250</v>
      </c>
      <c r="L428" s="11" t="s">
        <v>39</v>
      </c>
      <c r="M428" s="11" t="s">
        <v>39</v>
      </c>
      <c r="N428" s="11" t="s">
        <v>39</v>
      </c>
      <c r="O428" s="11" t="s">
        <v>39</v>
      </c>
      <c r="P428" t="s">
        <v>9</v>
      </c>
      <c r="Q428">
        <v>91</v>
      </c>
      <c r="R428">
        <v>0</v>
      </c>
      <c r="S428">
        <v>0</v>
      </c>
      <c r="T428" t="str">
        <f t="shared" si="66"/>
        <v>-</v>
      </c>
      <c r="U428" t="str">
        <f t="shared" si="67"/>
        <v>-</v>
      </c>
      <c r="V428" t="str">
        <f t="shared" si="68"/>
        <v>-</v>
      </c>
      <c r="W428" t="str">
        <f t="shared" si="69"/>
        <v>-</v>
      </c>
      <c r="X428" t="str">
        <f t="shared" si="70"/>
        <v>-</v>
      </c>
      <c r="Y428" t="str">
        <f t="shared" si="71"/>
        <v>-</v>
      </c>
      <c r="Z428" t="str">
        <f t="shared" si="72"/>
        <v>-</v>
      </c>
      <c r="AA428" t="str">
        <f t="shared" si="73"/>
        <v>-</v>
      </c>
      <c r="AB428" t="str">
        <f>IF(_xlfn.IFNA(VLOOKUP(P428,Set_Ref!$B$6:$B$1048576,1,FALSE),"")&lt;&gt;"","-",FALSE)</f>
        <v>-</v>
      </c>
      <c r="AC428" t="str">
        <f t="shared" si="74"/>
        <v>-</v>
      </c>
      <c r="AD428" t="str">
        <f t="shared" si="75"/>
        <v>-</v>
      </c>
      <c r="AE428" t="b">
        <f t="shared" si="76"/>
        <v>1</v>
      </c>
    </row>
    <row r="429" spans="1:31" x14ac:dyDescent="0.25">
      <c r="A429">
        <v>2</v>
      </c>
      <c r="B429">
        <v>110</v>
      </c>
      <c r="C429">
        <v>261</v>
      </c>
      <c r="D429" s="11" t="s">
        <v>149</v>
      </c>
      <c r="E429" t="s">
        <v>321</v>
      </c>
      <c r="F429" t="s">
        <v>191</v>
      </c>
      <c r="G429" s="11" t="s">
        <v>465</v>
      </c>
      <c r="H429">
        <v>5</v>
      </c>
      <c r="I429" s="11" t="s">
        <v>177</v>
      </c>
      <c r="J429" t="s">
        <v>467</v>
      </c>
      <c r="K429" t="s">
        <v>250</v>
      </c>
      <c r="L429" s="11" t="s">
        <v>39</v>
      </c>
      <c r="M429" s="11" t="s">
        <v>39</v>
      </c>
      <c r="N429" s="11" t="s">
        <v>39</v>
      </c>
      <c r="O429" s="11" t="s">
        <v>39</v>
      </c>
      <c r="P429" t="s">
        <v>9</v>
      </c>
      <c r="Q429">
        <v>6</v>
      </c>
      <c r="R429">
        <v>0</v>
      </c>
      <c r="S429">
        <v>0</v>
      </c>
      <c r="T429" t="str">
        <f t="shared" si="66"/>
        <v>-</v>
      </c>
      <c r="U429" t="str">
        <f t="shared" si="67"/>
        <v>-</v>
      </c>
      <c r="V429" t="str">
        <f t="shared" si="68"/>
        <v>-</v>
      </c>
      <c r="W429" t="str">
        <f t="shared" si="69"/>
        <v>-</v>
      </c>
      <c r="X429" t="str">
        <f t="shared" si="70"/>
        <v>-</v>
      </c>
      <c r="Y429" t="str">
        <f t="shared" si="71"/>
        <v>-</v>
      </c>
      <c r="Z429" t="str">
        <f t="shared" si="72"/>
        <v>-</v>
      </c>
      <c r="AA429" t="str">
        <f t="shared" si="73"/>
        <v>-</v>
      </c>
      <c r="AB429" t="str">
        <f>IF(_xlfn.IFNA(VLOOKUP(P429,Set_Ref!$B$6:$B$1048576,1,FALSE),"")&lt;&gt;"","-",FALSE)</f>
        <v>-</v>
      </c>
      <c r="AC429" t="str">
        <f t="shared" si="74"/>
        <v>-</v>
      </c>
      <c r="AD429" t="str">
        <f t="shared" si="75"/>
        <v>-</v>
      </c>
      <c r="AE429" t="b">
        <f t="shared" si="76"/>
        <v>1</v>
      </c>
    </row>
    <row r="430" spans="1:31" x14ac:dyDescent="0.25">
      <c r="A430">
        <v>2</v>
      </c>
      <c r="B430">
        <v>111</v>
      </c>
      <c r="C430">
        <v>261</v>
      </c>
      <c r="D430" s="11" t="s">
        <v>149</v>
      </c>
      <c r="E430" t="s">
        <v>321</v>
      </c>
      <c r="F430" t="s">
        <v>191</v>
      </c>
      <c r="G430" s="11" t="s">
        <v>465</v>
      </c>
      <c r="H430">
        <v>6</v>
      </c>
      <c r="I430" s="11" t="s">
        <v>177</v>
      </c>
      <c r="J430" t="s">
        <v>468</v>
      </c>
      <c r="K430" t="s">
        <v>251</v>
      </c>
      <c r="L430" s="11" t="s">
        <v>39</v>
      </c>
      <c r="M430" s="11" t="s">
        <v>39</v>
      </c>
      <c r="N430" s="11" t="s">
        <v>39</v>
      </c>
      <c r="O430" s="11" t="s">
        <v>39</v>
      </c>
      <c r="P430" t="s">
        <v>9</v>
      </c>
      <c r="Q430">
        <v>36</v>
      </c>
      <c r="R430">
        <v>0</v>
      </c>
      <c r="S430">
        <v>0</v>
      </c>
      <c r="T430" t="str">
        <f t="shared" si="66"/>
        <v>-</v>
      </c>
      <c r="U430" t="str">
        <f t="shared" si="67"/>
        <v>-</v>
      </c>
      <c r="V430" t="str">
        <f t="shared" si="68"/>
        <v>-</v>
      </c>
      <c r="W430" t="str">
        <f t="shared" si="69"/>
        <v>-</v>
      </c>
      <c r="X430" t="str">
        <f t="shared" si="70"/>
        <v>-</v>
      </c>
      <c r="Y430" t="str">
        <f t="shared" si="71"/>
        <v>-</v>
      </c>
      <c r="Z430" t="str">
        <f t="shared" si="72"/>
        <v>-</v>
      </c>
      <c r="AA430" t="str">
        <f t="shared" si="73"/>
        <v>-</v>
      </c>
      <c r="AB430" t="str">
        <f>IF(_xlfn.IFNA(VLOOKUP(P430,Set_Ref!$B$6:$B$1048576,1,FALSE),"")&lt;&gt;"","-",FALSE)</f>
        <v>-</v>
      </c>
      <c r="AC430" t="str">
        <f t="shared" si="74"/>
        <v>-</v>
      </c>
      <c r="AD430" t="str">
        <f t="shared" si="75"/>
        <v>-</v>
      </c>
      <c r="AE430" t="b">
        <f t="shared" si="76"/>
        <v>1</v>
      </c>
    </row>
    <row r="431" spans="1:31" x14ac:dyDescent="0.25">
      <c r="A431">
        <v>2</v>
      </c>
      <c r="B431">
        <v>112</v>
      </c>
      <c r="C431">
        <v>261</v>
      </c>
      <c r="D431" s="11" t="s">
        <v>149</v>
      </c>
      <c r="E431" t="s">
        <v>326</v>
      </c>
      <c r="F431" t="s">
        <v>191</v>
      </c>
      <c r="G431" s="11" t="s">
        <v>469</v>
      </c>
      <c r="H431">
        <v>5</v>
      </c>
      <c r="I431" s="11" t="s">
        <v>175</v>
      </c>
      <c r="J431" t="s">
        <v>470</v>
      </c>
      <c r="K431" t="s">
        <v>229</v>
      </c>
      <c r="L431" s="11" t="s">
        <v>39</v>
      </c>
      <c r="M431" s="11" t="s">
        <v>39</v>
      </c>
      <c r="N431" s="11" t="s">
        <v>39</v>
      </c>
      <c r="O431" s="11" t="s">
        <v>39</v>
      </c>
      <c r="P431" t="s">
        <v>9</v>
      </c>
      <c r="Q431">
        <v>17</v>
      </c>
      <c r="R431">
        <v>0</v>
      </c>
      <c r="S431">
        <v>0</v>
      </c>
      <c r="T431" t="str">
        <f t="shared" si="66"/>
        <v>-</v>
      </c>
      <c r="U431" t="str">
        <f t="shared" si="67"/>
        <v>-</v>
      </c>
      <c r="V431" t="str">
        <f t="shared" si="68"/>
        <v>-</v>
      </c>
      <c r="W431" t="str">
        <f t="shared" si="69"/>
        <v>-</v>
      </c>
      <c r="X431" t="str">
        <f t="shared" si="70"/>
        <v>-</v>
      </c>
      <c r="Y431" t="str">
        <f t="shared" si="71"/>
        <v>-</v>
      </c>
      <c r="Z431" t="str">
        <f t="shared" si="72"/>
        <v>-</v>
      </c>
      <c r="AA431" t="str">
        <f t="shared" si="73"/>
        <v>-</v>
      </c>
      <c r="AB431" t="str">
        <f>IF(_xlfn.IFNA(VLOOKUP(P431,Set_Ref!$B$6:$B$1048576,1,FALSE),"")&lt;&gt;"","-",FALSE)</f>
        <v>-</v>
      </c>
      <c r="AC431" t="str">
        <f t="shared" si="74"/>
        <v>-</v>
      </c>
      <c r="AD431" t="str">
        <f t="shared" si="75"/>
        <v>-</v>
      </c>
      <c r="AE431" t="b">
        <f t="shared" si="76"/>
        <v>1</v>
      </c>
    </row>
    <row r="432" spans="1:31" x14ac:dyDescent="0.25">
      <c r="A432">
        <v>2</v>
      </c>
      <c r="B432">
        <v>113</v>
      </c>
      <c r="C432">
        <v>261</v>
      </c>
      <c r="D432" s="11" t="s">
        <v>149</v>
      </c>
      <c r="E432" t="s">
        <v>326</v>
      </c>
      <c r="F432" t="s">
        <v>191</v>
      </c>
      <c r="G432" s="11" t="s">
        <v>469</v>
      </c>
      <c r="H432">
        <v>4</v>
      </c>
      <c r="I432" s="11" t="s">
        <v>175</v>
      </c>
      <c r="J432" t="s">
        <v>436</v>
      </c>
      <c r="K432" t="s">
        <v>228</v>
      </c>
      <c r="L432" s="11" t="s">
        <v>39</v>
      </c>
      <c r="M432" s="11" t="s">
        <v>39</v>
      </c>
      <c r="N432" s="11" t="s">
        <v>39</v>
      </c>
      <c r="O432" s="11" t="s">
        <v>39</v>
      </c>
      <c r="P432" t="s">
        <v>9</v>
      </c>
      <c r="Q432">
        <v>4200</v>
      </c>
      <c r="R432">
        <v>0</v>
      </c>
      <c r="S432">
        <v>0</v>
      </c>
      <c r="T432" t="str">
        <f t="shared" si="66"/>
        <v>-</v>
      </c>
      <c r="U432" t="str">
        <f t="shared" si="67"/>
        <v>-</v>
      </c>
      <c r="V432" t="str">
        <f t="shared" si="68"/>
        <v>-</v>
      </c>
      <c r="W432" t="str">
        <f t="shared" si="69"/>
        <v>-</v>
      </c>
      <c r="X432" t="str">
        <f t="shared" si="70"/>
        <v>-</v>
      </c>
      <c r="Y432" t="str">
        <f t="shared" si="71"/>
        <v>-</v>
      </c>
      <c r="Z432" t="str">
        <f t="shared" si="72"/>
        <v>-</v>
      </c>
      <c r="AA432" t="str">
        <f t="shared" si="73"/>
        <v>-</v>
      </c>
      <c r="AB432" t="str">
        <f>IF(_xlfn.IFNA(VLOOKUP(P432,Set_Ref!$B$6:$B$1048576,1,FALSE),"")&lt;&gt;"","-",FALSE)</f>
        <v>-</v>
      </c>
      <c r="AC432" t="str">
        <f t="shared" si="74"/>
        <v>-</v>
      </c>
      <c r="AD432" t="str">
        <f t="shared" si="75"/>
        <v>-</v>
      </c>
      <c r="AE432" t="b">
        <f t="shared" si="76"/>
        <v>1</v>
      </c>
    </row>
    <row r="433" spans="1:31" x14ac:dyDescent="0.25">
      <c r="A433">
        <v>2</v>
      </c>
      <c r="B433">
        <v>114</v>
      </c>
      <c r="C433">
        <v>261</v>
      </c>
      <c r="D433" s="11" t="s">
        <v>149</v>
      </c>
      <c r="E433" t="s">
        <v>326</v>
      </c>
      <c r="F433" t="s">
        <v>191</v>
      </c>
      <c r="G433" s="11" t="s">
        <v>469</v>
      </c>
      <c r="H433">
        <v>6</v>
      </c>
      <c r="I433" s="11" t="s">
        <v>427</v>
      </c>
      <c r="J433" t="s">
        <v>327</v>
      </c>
      <c r="K433" t="s">
        <v>252</v>
      </c>
      <c r="L433" s="11" t="s">
        <v>39</v>
      </c>
      <c r="M433" s="11" t="s">
        <v>39</v>
      </c>
      <c r="N433" s="11" t="s">
        <v>39</v>
      </c>
      <c r="O433" s="11" t="s">
        <v>39</v>
      </c>
      <c r="P433" t="s">
        <v>9</v>
      </c>
      <c r="Q433">
        <v>2000</v>
      </c>
      <c r="R433">
        <v>0</v>
      </c>
      <c r="S433">
        <v>0</v>
      </c>
      <c r="T433" t="str">
        <f t="shared" si="66"/>
        <v>-</v>
      </c>
      <c r="U433" t="str">
        <f t="shared" si="67"/>
        <v>-</v>
      </c>
      <c r="V433" t="str">
        <f t="shared" si="68"/>
        <v>-</v>
      </c>
      <c r="W433" t="str">
        <f t="shared" si="69"/>
        <v>-</v>
      </c>
      <c r="X433" t="str">
        <f t="shared" si="70"/>
        <v>-</v>
      </c>
      <c r="Y433" t="str">
        <f t="shared" si="71"/>
        <v>-</v>
      </c>
      <c r="Z433" t="str">
        <f t="shared" si="72"/>
        <v>-</v>
      </c>
      <c r="AA433" t="str">
        <f t="shared" si="73"/>
        <v>-</v>
      </c>
      <c r="AB433" t="str">
        <f>IF(_xlfn.IFNA(VLOOKUP(P433,Set_Ref!$B$6:$B$1048576,1,FALSE),"")&lt;&gt;"","-",FALSE)</f>
        <v>-</v>
      </c>
      <c r="AC433" t="str">
        <f t="shared" si="74"/>
        <v>-</v>
      </c>
      <c r="AD433" t="str">
        <f t="shared" si="75"/>
        <v>-</v>
      </c>
      <c r="AE433" t="b">
        <f t="shared" si="76"/>
        <v>1</v>
      </c>
    </row>
    <row r="434" spans="1:31" x14ac:dyDescent="0.25">
      <c r="A434">
        <v>2</v>
      </c>
      <c r="B434">
        <v>115</v>
      </c>
      <c r="C434">
        <v>261</v>
      </c>
      <c r="D434" s="11" t="s">
        <v>149</v>
      </c>
      <c r="E434" t="s">
        <v>326</v>
      </c>
      <c r="F434" t="s">
        <v>191</v>
      </c>
      <c r="G434" s="11" t="s">
        <v>469</v>
      </c>
      <c r="H434">
        <v>5</v>
      </c>
      <c r="I434" s="11" t="s">
        <v>175</v>
      </c>
      <c r="J434" t="s">
        <v>470</v>
      </c>
      <c r="K434" t="s">
        <v>229</v>
      </c>
      <c r="L434" s="11" t="s">
        <v>39</v>
      </c>
      <c r="M434" s="11" t="s">
        <v>39</v>
      </c>
      <c r="N434" s="11" t="s">
        <v>39</v>
      </c>
      <c r="O434" s="11" t="s">
        <v>39</v>
      </c>
      <c r="P434" t="s">
        <v>9</v>
      </c>
      <c r="Q434">
        <v>66</v>
      </c>
      <c r="R434">
        <v>0</v>
      </c>
      <c r="S434">
        <v>0</v>
      </c>
      <c r="T434" t="str">
        <f t="shared" si="66"/>
        <v>-</v>
      </c>
      <c r="U434" t="str">
        <f t="shared" si="67"/>
        <v>-</v>
      </c>
      <c r="V434" t="str">
        <f t="shared" si="68"/>
        <v>-</v>
      </c>
      <c r="W434" t="str">
        <f t="shared" si="69"/>
        <v>-</v>
      </c>
      <c r="X434" t="str">
        <f t="shared" si="70"/>
        <v>-</v>
      </c>
      <c r="Y434" t="str">
        <f t="shared" si="71"/>
        <v>-</v>
      </c>
      <c r="Z434" t="str">
        <f t="shared" si="72"/>
        <v>-</v>
      </c>
      <c r="AA434" t="str">
        <f t="shared" si="73"/>
        <v>-</v>
      </c>
      <c r="AB434" t="str">
        <f>IF(_xlfn.IFNA(VLOOKUP(P434,Set_Ref!$B$6:$B$1048576,1,FALSE),"")&lt;&gt;"","-",FALSE)</f>
        <v>-</v>
      </c>
      <c r="AC434" t="str">
        <f t="shared" si="74"/>
        <v>-</v>
      </c>
      <c r="AD434" t="str">
        <f t="shared" si="75"/>
        <v>-</v>
      </c>
      <c r="AE434" t="b">
        <f t="shared" si="76"/>
        <v>1</v>
      </c>
    </row>
    <row r="435" spans="1:31" x14ac:dyDescent="0.25">
      <c r="A435">
        <v>2</v>
      </c>
      <c r="B435">
        <v>116</v>
      </c>
      <c r="C435">
        <v>261</v>
      </c>
      <c r="D435" s="11" t="s">
        <v>149</v>
      </c>
      <c r="E435" t="s">
        <v>326</v>
      </c>
      <c r="F435" t="s">
        <v>191</v>
      </c>
      <c r="G435" s="11" t="s">
        <v>469</v>
      </c>
      <c r="H435">
        <v>5</v>
      </c>
      <c r="I435" s="11" t="s">
        <v>175</v>
      </c>
      <c r="J435" t="s">
        <v>470</v>
      </c>
      <c r="K435" t="s">
        <v>229</v>
      </c>
      <c r="L435" s="11" t="s">
        <v>39</v>
      </c>
      <c r="M435" s="11" t="s">
        <v>39</v>
      </c>
      <c r="N435" s="11" t="s">
        <v>39</v>
      </c>
      <c r="O435" s="11" t="s">
        <v>39</v>
      </c>
      <c r="P435" t="s">
        <v>9</v>
      </c>
      <c r="Q435">
        <v>240</v>
      </c>
      <c r="R435">
        <v>0</v>
      </c>
      <c r="S435">
        <v>0</v>
      </c>
      <c r="T435" t="str">
        <f t="shared" si="66"/>
        <v>-</v>
      </c>
      <c r="U435" t="str">
        <f t="shared" si="67"/>
        <v>-</v>
      </c>
      <c r="V435" t="str">
        <f t="shared" si="68"/>
        <v>-</v>
      </c>
      <c r="W435" t="str">
        <f t="shared" si="69"/>
        <v>-</v>
      </c>
      <c r="X435" t="str">
        <f t="shared" si="70"/>
        <v>-</v>
      </c>
      <c r="Y435" t="str">
        <f t="shared" si="71"/>
        <v>-</v>
      </c>
      <c r="Z435" t="str">
        <f t="shared" si="72"/>
        <v>-</v>
      </c>
      <c r="AA435" t="str">
        <f t="shared" si="73"/>
        <v>-</v>
      </c>
      <c r="AB435" t="str">
        <f>IF(_xlfn.IFNA(VLOOKUP(P435,Set_Ref!$B$6:$B$1048576,1,FALSE),"")&lt;&gt;"","-",FALSE)</f>
        <v>-</v>
      </c>
      <c r="AC435" t="str">
        <f t="shared" si="74"/>
        <v>-</v>
      </c>
      <c r="AD435" t="str">
        <f t="shared" si="75"/>
        <v>-</v>
      </c>
      <c r="AE435" t="b">
        <f t="shared" si="76"/>
        <v>1</v>
      </c>
    </row>
    <row r="436" spans="1:31" x14ac:dyDescent="0.25">
      <c r="A436">
        <v>2</v>
      </c>
      <c r="B436">
        <v>117</v>
      </c>
      <c r="C436">
        <v>261</v>
      </c>
      <c r="D436" s="11" t="s">
        <v>149</v>
      </c>
      <c r="E436" t="s">
        <v>326</v>
      </c>
      <c r="F436" t="s">
        <v>191</v>
      </c>
      <c r="G436" s="11" t="s">
        <v>469</v>
      </c>
      <c r="H436">
        <v>5</v>
      </c>
      <c r="I436" s="11" t="s">
        <v>175</v>
      </c>
      <c r="J436" t="s">
        <v>328</v>
      </c>
      <c r="K436" t="s">
        <v>229</v>
      </c>
      <c r="L436" s="11" t="s">
        <v>39</v>
      </c>
      <c r="M436" s="11" t="s">
        <v>39</v>
      </c>
      <c r="N436" s="11" t="s">
        <v>39</v>
      </c>
      <c r="O436" s="11" t="s">
        <v>39</v>
      </c>
      <c r="P436" t="s">
        <v>9</v>
      </c>
      <c r="Q436">
        <v>270</v>
      </c>
      <c r="R436">
        <v>0</v>
      </c>
      <c r="S436">
        <v>0</v>
      </c>
      <c r="T436" t="str">
        <f t="shared" si="66"/>
        <v>-</v>
      </c>
      <c r="U436" t="str">
        <f t="shared" si="67"/>
        <v>-</v>
      </c>
      <c r="V436" t="str">
        <f t="shared" si="68"/>
        <v>-</v>
      </c>
      <c r="W436" t="str">
        <f t="shared" si="69"/>
        <v>-</v>
      </c>
      <c r="X436" t="str">
        <f t="shared" si="70"/>
        <v>-</v>
      </c>
      <c r="Y436" t="str">
        <f t="shared" si="71"/>
        <v>-</v>
      </c>
      <c r="Z436" t="str">
        <f t="shared" si="72"/>
        <v>-</v>
      </c>
      <c r="AA436" t="str">
        <f t="shared" si="73"/>
        <v>-</v>
      </c>
      <c r="AB436" t="str">
        <f>IF(_xlfn.IFNA(VLOOKUP(P436,Set_Ref!$B$6:$B$1048576,1,FALSE),"")&lt;&gt;"","-",FALSE)</f>
        <v>-</v>
      </c>
      <c r="AC436" t="str">
        <f t="shared" si="74"/>
        <v>-</v>
      </c>
      <c r="AD436" t="str">
        <f t="shared" si="75"/>
        <v>-</v>
      </c>
      <c r="AE436" t="b">
        <f t="shared" si="76"/>
        <v>1</v>
      </c>
    </row>
    <row r="437" spans="1:31" x14ac:dyDescent="0.25">
      <c r="A437">
        <v>2</v>
      </c>
      <c r="B437">
        <v>118</v>
      </c>
      <c r="C437">
        <v>261</v>
      </c>
      <c r="D437" s="11" t="s">
        <v>149</v>
      </c>
      <c r="E437" t="s">
        <v>326</v>
      </c>
      <c r="F437" t="s">
        <v>191</v>
      </c>
      <c r="G437" s="11" t="s">
        <v>469</v>
      </c>
      <c r="H437">
        <v>5</v>
      </c>
      <c r="I437" s="11" t="s">
        <v>175</v>
      </c>
      <c r="J437" t="s">
        <v>329</v>
      </c>
      <c r="K437" t="s">
        <v>229</v>
      </c>
      <c r="L437" s="11" t="s">
        <v>39</v>
      </c>
      <c r="M437" s="11" t="s">
        <v>39</v>
      </c>
      <c r="N437" s="11" t="s">
        <v>39</v>
      </c>
      <c r="O437" s="11" t="s">
        <v>39</v>
      </c>
      <c r="P437" t="s">
        <v>9</v>
      </c>
      <c r="Q437">
        <v>110</v>
      </c>
      <c r="R437">
        <v>0</v>
      </c>
      <c r="S437">
        <v>0</v>
      </c>
      <c r="T437" t="str">
        <f t="shared" si="66"/>
        <v>-</v>
      </c>
      <c r="U437" t="str">
        <f t="shared" si="67"/>
        <v>-</v>
      </c>
      <c r="V437" t="str">
        <f t="shared" si="68"/>
        <v>-</v>
      </c>
      <c r="W437" t="str">
        <f t="shared" si="69"/>
        <v>-</v>
      </c>
      <c r="X437" t="str">
        <f t="shared" si="70"/>
        <v>-</v>
      </c>
      <c r="Y437" t="str">
        <f t="shared" si="71"/>
        <v>-</v>
      </c>
      <c r="Z437" t="str">
        <f t="shared" si="72"/>
        <v>-</v>
      </c>
      <c r="AA437" t="str">
        <f t="shared" si="73"/>
        <v>-</v>
      </c>
      <c r="AB437" t="str">
        <f>IF(_xlfn.IFNA(VLOOKUP(P437,Set_Ref!$B$6:$B$1048576,1,FALSE),"")&lt;&gt;"","-",FALSE)</f>
        <v>-</v>
      </c>
      <c r="AC437" t="str">
        <f t="shared" si="74"/>
        <v>-</v>
      </c>
      <c r="AD437" t="str">
        <f t="shared" si="75"/>
        <v>-</v>
      </c>
      <c r="AE437" t="b">
        <f t="shared" si="76"/>
        <v>1</v>
      </c>
    </row>
    <row r="438" spans="1:31" x14ac:dyDescent="0.25">
      <c r="A438">
        <v>2</v>
      </c>
      <c r="B438">
        <v>119</v>
      </c>
      <c r="C438">
        <v>261</v>
      </c>
      <c r="D438" s="11" t="s">
        <v>149</v>
      </c>
      <c r="E438" t="s">
        <v>326</v>
      </c>
      <c r="F438" t="s">
        <v>191</v>
      </c>
      <c r="G438" s="11" t="s">
        <v>469</v>
      </c>
      <c r="H438">
        <v>5</v>
      </c>
      <c r="I438" s="11" t="s">
        <v>175</v>
      </c>
      <c r="J438" t="s">
        <v>330</v>
      </c>
      <c r="K438" t="s">
        <v>229</v>
      </c>
      <c r="L438" s="11" t="s">
        <v>39</v>
      </c>
      <c r="M438" s="11" t="s">
        <v>39</v>
      </c>
      <c r="N438" s="11" t="s">
        <v>39</v>
      </c>
      <c r="O438" s="11" t="s">
        <v>39</v>
      </c>
      <c r="P438" t="s">
        <v>9</v>
      </c>
      <c r="Q438">
        <v>44</v>
      </c>
      <c r="R438">
        <v>0</v>
      </c>
      <c r="S438">
        <v>0</v>
      </c>
      <c r="T438" t="str">
        <f t="shared" si="66"/>
        <v>-</v>
      </c>
      <c r="U438" t="str">
        <f t="shared" si="67"/>
        <v>-</v>
      </c>
      <c r="V438" t="str">
        <f t="shared" si="68"/>
        <v>-</v>
      </c>
      <c r="W438" t="str">
        <f t="shared" si="69"/>
        <v>-</v>
      </c>
      <c r="X438" t="str">
        <f t="shared" si="70"/>
        <v>-</v>
      </c>
      <c r="Y438" t="str">
        <f t="shared" si="71"/>
        <v>-</v>
      </c>
      <c r="Z438" t="str">
        <f t="shared" si="72"/>
        <v>-</v>
      </c>
      <c r="AA438" t="str">
        <f t="shared" si="73"/>
        <v>-</v>
      </c>
      <c r="AB438" t="str">
        <f>IF(_xlfn.IFNA(VLOOKUP(P438,Set_Ref!$B$6:$B$1048576,1,FALSE),"")&lt;&gt;"","-",FALSE)</f>
        <v>-</v>
      </c>
      <c r="AC438" t="str">
        <f t="shared" si="74"/>
        <v>-</v>
      </c>
      <c r="AD438" t="str">
        <f t="shared" si="75"/>
        <v>-</v>
      </c>
      <c r="AE438" t="b">
        <f t="shared" si="76"/>
        <v>1</v>
      </c>
    </row>
    <row r="439" spans="1:31" x14ac:dyDescent="0.25">
      <c r="A439">
        <v>2</v>
      </c>
      <c r="B439">
        <v>120</v>
      </c>
      <c r="C439">
        <v>261</v>
      </c>
      <c r="D439" s="11" t="s">
        <v>149</v>
      </c>
      <c r="E439" t="s">
        <v>326</v>
      </c>
      <c r="F439" t="s">
        <v>191</v>
      </c>
      <c r="G439" s="11" t="s">
        <v>469</v>
      </c>
      <c r="H439">
        <v>5</v>
      </c>
      <c r="I439" s="11" t="s">
        <v>175</v>
      </c>
      <c r="J439" t="s">
        <v>331</v>
      </c>
      <c r="K439" t="s">
        <v>229</v>
      </c>
      <c r="L439" s="11" t="s">
        <v>39</v>
      </c>
      <c r="M439" s="11" t="s">
        <v>39</v>
      </c>
      <c r="N439" s="11" t="s">
        <v>39</v>
      </c>
      <c r="O439" s="11" t="s">
        <v>39</v>
      </c>
      <c r="P439" t="s">
        <v>9</v>
      </c>
      <c r="Q439">
        <v>100</v>
      </c>
      <c r="R439">
        <v>0</v>
      </c>
      <c r="S439">
        <v>0</v>
      </c>
      <c r="T439" t="str">
        <f t="shared" si="66"/>
        <v>-</v>
      </c>
      <c r="U439" t="str">
        <f t="shared" si="67"/>
        <v>-</v>
      </c>
      <c r="V439" t="str">
        <f t="shared" si="68"/>
        <v>-</v>
      </c>
      <c r="W439" t="str">
        <f t="shared" si="69"/>
        <v>-</v>
      </c>
      <c r="X439" t="str">
        <f t="shared" si="70"/>
        <v>-</v>
      </c>
      <c r="Y439" t="str">
        <f t="shared" si="71"/>
        <v>-</v>
      </c>
      <c r="Z439" t="str">
        <f t="shared" si="72"/>
        <v>-</v>
      </c>
      <c r="AA439" t="str">
        <f t="shared" si="73"/>
        <v>-</v>
      </c>
      <c r="AB439" t="str">
        <f>IF(_xlfn.IFNA(VLOOKUP(P439,Set_Ref!$B$6:$B$1048576,1,FALSE),"")&lt;&gt;"","-",FALSE)</f>
        <v>-</v>
      </c>
      <c r="AC439" t="str">
        <f t="shared" si="74"/>
        <v>-</v>
      </c>
      <c r="AD439" t="str">
        <f t="shared" si="75"/>
        <v>-</v>
      </c>
      <c r="AE439" t="b">
        <f t="shared" si="76"/>
        <v>1</v>
      </c>
    </row>
    <row r="440" spans="1:31" x14ac:dyDescent="0.25">
      <c r="A440">
        <v>2</v>
      </c>
      <c r="B440">
        <v>121</v>
      </c>
      <c r="C440">
        <v>261</v>
      </c>
      <c r="D440" s="11" t="s">
        <v>149</v>
      </c>
      <c r="E440" t="s">
        <v>326</v>
      </c>
      <c r="F440" t="s">
        <v>191</v>
      </c>
      <c r="G440" s="11" t="s">
        <v>469</v>
      </c>
      <c r="H440">
        <v>5</v>
      </c>
      <c r="I440" s="11" t="s">
        <v>175</v>
      </c>
      <c r="J440" t="s">
        <v>332</v>
      </c>
      <c r="K440" t="s">
        <v>229</v>
      </c>
      <c r="L440" s="11" t="s">
        <v>39</v>
      </c>
      <c r="M440" s="11" t="s">
        <v>39</v>
      </c>
      <c r="N440" s="11" t="s">
        <v>39</v>
      </c>
      <c r="O440" s="11" t="s">
        <v>39</v>
      </c>
      <c r="P440" t="s">
        <v>9</v>
      </c>
      <c r="Q440">
        <v>260</v>
      </c>
      <c r="R440">
        <v>0</v>
      </c>
      <c r="S440">
        <v>0</v>
      </c>
      <c r="T440" t="str">
        <f t="shared" si="66"/>
        <v>-</v>
      </c>
      <c r="U440" t="str">
        <f t="shared" si="67"/>
        <v>-</v>
      </c>
      <c r="V440" t="str">
        <f t="shared" si="68"/>
        <v>-</v>
      </c>
      <c r="W440" t="str">
        <f t="shared" si="69"/>
        <v>-</v>
      </c>
      <c r="X440" t="str">
        <f t="shared" si="70"/>
        <v>-</v>
      </c>
      <c r="Y440" t="str">
        <f t="shared" si="71"/>
        <v>-</v>
      </c>
      <c r="Z440" t="str">
        <f t="shared" si="72"/>
        <v>-</v>
      </c>
      <c r="AA440" t="str">
        <f t="shared" si="73"/>
        <v>-</v>
      </c>
      <c r="AB440" t="str">
        <f>IF(_xlfn.IFNA(VLOOKUP(P440,Set_Ref!$B$6:$B$1048576,1,FALSE),"")&lt;&gt;"","-",FALSE)</f>
        <v>-</v>
      </c>
      <c r="AC440" t="str">
        <f t="shared" si="74"/>
        <v>-</v>
      </c>
      <c r="AD440" t="str">
        <f t="shared" si="75"/>
        <v>-</v>
      </c>
      <c r="AE440" t="b">
        <f t="shared" si="76"/>
        <v>1</v>
      </c>
    </row>
    <row r="441" spans="1:31" x14ac:dyDescent="0.25">
      <c r="A441">
        <v>2</v>
      </c>
      <c r="B441">
        <v>122</v>
      </c>
      <c r="C441">
        <v>261</v>
      </c>
      <c r="D441" s="11" t="s">
        <v>149</v>
      </c>
      <c r="E441" t="s">
        <v>326</v>
      </c>
      <c r="F441" t="s">
        <v>191</v>
      </c>
      <c r="G441" s="11" t="s">
        <v>469</v>
      </c>
      <c r="H441">
        <v>5</v>
      </c>
      <c r="I441" s="11" t="s">
        <v>175</v>
      </c>
      <c r="J441" t="s">
        <v>333</v>
      </c>
      <c r="K441" t="s">
        <v>229</v>
      </c>
      <c r="L441" s="11" t="s">
        <v>39</v>
      </c>
      <c r="M441" s="11" t="s">
        <v>39</v>
      </c>
      <c r="N441" s="11" t="s">
        <v>39</v>
      </c>
      <c r="O441" s="11" t="s">
        <v>39</v>
      </c>
      <c r="P441" t="s">
        <v>9</v>
      </c>
      <c r="Q441">
        <v>460</v>
      </c>
      <c r="R441">
        <v>0</v>
      </c>
      <c r="S441">
        <v>0</v>
      </c>
      <c r="T441" t="str">
        <f t="shared" si="66"/>
        <v>-</v>
      </c>
      <c r="U441" t="str">
        <f t="shared" si="67"/>
        <v>-</v>
      </c>
      <c r="V441" t="str">
        <f t="shared" si="68"/>
        <v>-</v>
      </c>
      <c r="W441" t="str">
        <f t="shared" si="69"/>
        <v>-</v>
      </c>
      <c r="X441" t="str">
        <f t="shared" si="70"/>
        <v>-</v>
      </c>
      <c r="Y441" t="str">
        <f t="shared" si="71"/>
        <v>-</v>
      </c>
      <c r="Z441" t="str">
        <f t="shared" si="72"/>
        <v>-</v>
      </c>
      <c r="AA441" t="str">
        <f t="shared" si="73"/>
        <v>-</v>
      </c>
      <c r="AB441" t="str">
        <f>IF(_xlfn.IFNA(VLOOKUP(P441,Set_Ref!$B$6:$B$1048576,1,FALSE),"")&lt;&gt;"","-",FALSE)</f>
        <v>-</v>
      </c>
      <c r="AC441" t="str">
        <f t="shared" si="74"/>
        <v>-</v>
      </c>
      <c r="AD441" t="str">
        <f t="shared" si="75"/>
        <v>-</v>
      </c>
      <c r="AE441" t="b">
        <f t="shared" si="76"/>
        <v>1</v>
      </c>
    </row>
    <row r="442" spans="1:31" x14ac:dyDescent="0.25">
      <c r="A442">
        <v>2</v>
      </c>
      <c r="B442">
        <v>123</v>
      </c>
      <c r="C442">
        <v>261</v>
      </c>
      <c r="D442" s="11" t="s">
        <v>149</v>
      </c>
      <c r="E442" t="s">
        <v>326</v>
      </c>
      <c r="F442" t="s">
        <v>191</v>
      </c>
      <c r="G442" s="11" t="s">
        <v>469</v>
      </c>
      <c r="H442">
        <v>5</v>
      </c>
      <c r="I442" s="11" t="s">
        <v>175</v>
      </c>
      <c r="J442" t="s">
        <v>334</v>
      </c>
      <c r="K442" t="s">
        <v>229</v>
      </c>
      <c r="L442" s="11" t="s">
        <v>39</v>
      </c>
      <c r="M442" s="11" t="s">
        <v>39</v>
      </c>
      <c r="N442" s="11" t="s">
        <v>39</v>
      </c>
      <c r="O442" s="11" t="s">
        <v>39</v>
      </c>
      <c r="P442" t="s">
        <v>9</v>
      </c>
      <c r="Q442">
        <v>250</v>
      </c>
      <c r="R442">
        <v>0</v>
      </c>
      <c r="S442">
        <v>0</v>
      </c>
      <c r="T442" t="str">
        <f t="shared" si="66"/>
        <v>-</v>
      </c>
      <c r="U442" t="str">
        <f t="shared" si="67"/>
        <v>-</v>
      </c>
      <c r="V442" t="str">
        <f t="shared" si="68"/>
        <v>-</v>
      </c>
      <c r="W442" t="str">
        <f t="shared" si="69"/>
        <v>-</v>
      </c>
      <c r="X442" t="str">
        <f t="shared" si="70"/>
        <v>-</v>
      </c>
      <c r="Y442" t="str">
        <f t="shared" si="71"/>
        <v>-</v>
      </c>
      <c r="Z442" t="str">
        <f t="shared" si="72"/>
        <v>-</v>
      </c>
      <c r="AA442" t="str">
        <f t="shared" si="73"/>
        <v>-</v>
      </c>
      <c r="AB442" t="str">
        <f>IF(_xlfn.IFNA(VLOOKUP(P442,Set_Ref!$B$6:$B$1048576,1,FALSE),"")&lt;&gt;"","-",FALSE)</f>
        <v>-</v>
      </c>
      <c r="AC442" t="str">
        <f t="shared" si="74"/>
        <v>-</v>
      </c>
      <c r="AD442" t="str">
        <f t="shared" si="75"/>
        <v>-</v>
      </c>
      <c r="AE442" t="b">
        <f t="shared" si="76"/>
        <v>1</v>
      </c>
    </row>
    <row r="443" spans="1:31" x14ac:dyDescent="0.25">
      <c r="A443">
        <v>2</v>
      </c>
      <c r="B443">
        <v>124</v>
      </c>
      <c r="C443">
        <v>261</v>
      </c>
      <c r="D443" s="11" t="s">
        <v>149</v>
      </c>
      <c r="E443" t="s">
        <v>326</v>
      </c>
      <c r="F443" t="s">
        <v>191</v>
      </c>
      <c r="G443" s="11" t="s">
        <v>469</v>
      </c>
      <c r="H443">
        <v>5</v>
      </c>
      <c r="I443" s="11" t="s">
        <v>175</v>
      </c>
      <c r="J443" t="s">
        <v>335</v>
      </c>
      <c r="K443" t="s">
        <v>229</v>
      </c>
      <c r="L443" s="11" t="s">
        <v>39</v>
      </c>
      <c r="M443" s="11" t="s">
        <v>39</v>
      </c>
      <c r="N443" s="11" t="s">
        <v>39</v>
      </c>
      <c r="O443" s="11" t="s">
        <v>39</v>
      </c>
      <c r="P443" t="s">
        <v>9</v>
      </c>
      <c r="Q443">
        <v>110</v>
      </c>
      <c r="R443">
        <v>0</v>
      </c>
      <c r="S443">
        <v>0</v>
      </c>
      <c r="T443" t="str">
        <f t="shared" si="66"/>
        <v>-</v>
      </c>
      <c r="U443" t="str">
        <f t="shared" si="67"/>
        <v>-</v>
      </c>
      <c r="V443" t="str">
        <f t="shared" si="68"/>
        <v>-</v>
      </c>
      <c r="W443" t="str">
        <f t="shared" si="69"/>
        <v>-</v>
      </c>
      <c r="X443" t="str">
        <f t="shared" si="70"/>
        <v>-</v>
      </c>
      <c r="Y443" t="str">
        <f t="shared" si="71"/>
        <v>-</v>
      </c>
      <c r="Z443" t="str">
        <f t="shared" si="72"/>
        <v>-</v>
      </c>
      <c r="AA443" t="str">
        <f t="shared" si="73"/>
        <v>-</v>
      </c>
      <c r="AB443" t="str">
        <f>IF(_xlfn.IFNA(VLOOKUP(P443,Set_Ref!$B$6:$B$1048576,1,FALSE),"")&lt;&gt;"","-",FALSE)</f>
        <v>-</v>
      </c>
      <c r="AC443" t="str">
        <f t="shared" si="74"/>
        <v>-</v>
      </c>
      <c r="AD443" t="str">
        <f t="shared" si="75"/>
        <v>-</v>
      </c>
      <c r="AE443" t="b">
        <f t="shared" si="76"/>
        <v>1</v>
      </c>
    </row>
    <row r="444" spans="1:31" x14ac:dyDescent="0.25">
      <c r="A444">
        <v>2</v>
      </c>
      <c r="B444">
        <v>125</v>
      </c>
      <c r="C444">
        <v>261</v>
      </c>
      <c r="D444" s="11" t="s">
        <v>149</v>
      </c>
      <c r="E444" t="s">
        <v>326</v>
      </c>
      <c r="F444" t="s">
        <v>191</v>
      </c>
      <c r="G444" s="11" t="s">
        <v>469</v>
      </c>
      <c r="H444">
        <v>5</v>
      </c>
      <c r="I444" s="11" t="s">
        <v>175</v>
      </c>
      <c r="J444" t="s">
        <v>336</v>
      </c>
      <c r="K444" t="s">
        <v>229</v>
      </c>
      <c r="L444" s="11" t="s">
        <v>39</v>
      </c>
      <c r="M444" s="11" t="s">
        <v>39</v>
      </c>
      <c r="N444" s="11" t="s">
        <v>39</v>
      </c>
      <c r="O444" s="11" t="s">
        <v>39</v>
      </c>
      <c r="P444" t="s">
        <v>9</v>
      </c>
      <c r="Q444">
        <v>60</v>
      </c>
      <c r="R444">
        <v>0</v>
      </c>
      <c r="S444">
        <v>0</v>
      </c>
      <c r="T444" t="str">
        <f t="shared" si="66"/>
        <v>-</v>
      </c>
      <c r="U444" t="str">
        <f t="shared" si="67"/>
        <v>-</v>
      </c>
      <c r="V444" t="str">
        <f t="shared" si="68"/>
        <v>-</v>
      </c>
      <c r="W444" t="str">
        <f t="shared" si="69"/>
        <v>-</v>
      </c>
      <c r="X444" t="str">
        <f t="shared" si="70"/>
        <v>-</v>
      </c>
      <c r="Y444" t="str">
        <f t="shared" si="71"/>
        <v>-</v>
      </c>
      <c r="Z444" t="str">
        <f t="shared" si="72"/>
        <v>-</v>
      </c>
      <c r="AA444" t="str">
        <f t="shared" si="73"/>
        <v>-</v>
      </c>
      <c r="AB444" t="str">
        <f>IF(_xlfn.IFNA(VLOOKUP(P444,Set_Ref!$B$6:$B$1048576,1,FALSE),"")&lt;&gt;"","-",FALSE)</f>
        <v>-</v>
      </c>
      <c r="AC444" t="str">
        <f t="shared" si="74"/>
        <v>-</v>
      </c>
      <c r="AD444" t="str">
        <f t="shared" si="75"/>
        <v>-</v>
      </c>
      <c r="AE444" t="b">
        <f t="shared" si="76"/>
        <v>1</v>
      </c>
    </row>
    <row r="445" spans="1:31" x14ac:dyDescent="0.25">
      <c r="A445">
        <v>2</v>
      </c>
      <c r="B445">
        <v>126</v>
      </c>
      <c r="C445">
        <v>261</v>
      </c>
      <c r="D445" s="11" t="s">
        <v>149</v>
      </c>
      <c r="E445" t="s">
        <v>326</v>
      </c>
      <c r="F445" t="s">
        <v>191</v>
      </c>
      <c r="G445" s="11" t="s">
        <v>469</v>
      </c>
      <c r="H445">
        <v>5</v>
      </c>
      <c r="I445" s="11" t="s">
        <v>175</v>
      </c>
      <c r="J445" t="s">
        <v>337</v>
      </c>
      <c r="K445" t="s">
        <v>229</v>
      </c>
      <c r="L445" s="11" t="s">
        <v>39</v>
      </c>
      <c r="M445" s="11" t="s">
        <v>39</v>
      </c>
      <c r="N445" s="11" t="s">
        <v>39</v>
      </c>
      <c r="O445" s="11" t="s">
        <v>39</v>
      </c>
      <c r="P445" t="s">
        <v>9</v>
      </c>
      <c r="Q445">
        <v>10</v>
      </c>
      <c r="R445">
        <v>0</v>
      </c>
      <c r="S445">
        <v>0</v>
      </c>
      <c r="T445" t="str">
        <f t="shared" si="66"/>
        <v>-</v>
      </c>
      <c r="U445" t="str">
        <f t="shared" si="67"/>
        <v>-</v>
      </c>
      <c r="V445" t="str">
        <f t="shared" si="68"/>
        <v>-</v>
      </c>
      <c r="W445" t="str">
        <f t="shared" si="69"/>
        <v>-</v>
      </c>
      <c r="X445" t="str">
        <f t="shared" si="70"/>
        <v>-</v>
      </c>
      <c r="Y445" t="str">
        <f t="shared" si="71"/>
        <v>-</v>
      </c>
      <c r="Z445" t="str">
        <f t="shared" si="72"/>
        <v>-</v>
      </c>
      <c r="AA445" t="str">
        <f t="shared" si="73"/>
        <v>-</v>
      </c>
      <c r="AB445" t="str">
        <f>IF(_xlfn.IFNA(VLOOKUP(P445,Set_Ref!$B$6:$B$1048576,1,FALSE),"")&lt;&gt;"","-",FALSE)</f>
        <v>-</v>
      </c>
      <c r="AC445" t="str">
        <f t="shared" si="74"/>
        <v>-</v>
      </c>
      <c r="AD445" t="str">
        <f t="shared" si="75"/>
        <v>-</v>
      </c>
      <c r="AE445" t="b">
        <f t="shared" si="76"/>
        <v>1</v>
      </c>
    </row>
    <row r="446" spans="1:31" x14ac:dyDescent="0.25">
      <c r="A446">
        <v>2</v>
      </c>
      <c r="B446">
        <v>127</v>
      </c>
      <c r="C446">
        <v>261</v>
      </c>
      <c r="D446" s="11" t="s">
        <v>149</v>
      </c>
      <c r="E446" t="s">
        <v>326</v>
      </c>
      <c r="F446" t="s">
        <v>191</v>
      </c>
      <c r="G446" s="11" t="s">
        <v>469</v>
      </c>
      <c r="H446">
        <v>5</v>
      </c>
      <c r="I446" s="11" t="s">
        <v>175</v>
      </c>
      <c r="J446" t="s">
        <v>338</v>
      </c>
      <c r="K446" t="s">
        <v>229</v>
      </c>
      <c r="L446" s="11" t="s">
        <v>39</v>
      </c>
      <c r="M446" s="11" t="s">
        <v>39</v>
      </c>
      <c r="N446" s="11" t="s">
        <v>39</v>
      </c>
      <c r="O446" s="11" t="s">
        <v>39</v>
      </c>
      <c r="P446" t="s">
        <v>9</v>
      </c>
      <c r="Q446">
        <v>20</v>
      </c>
      <c r="R446">
        <v>0</v>
      </c>
      <c r="S446">
        <v>0</v>
      </c>
      <c r="T446" t="str">
        <f t="shared" si="66"/>
        <v>-</v>
      </c>
      <c r="U446" t="str">
        <f t="shared" si="67"/>
        <v>-</v>
      </c>
      <c r="V446" t="str">
        <f t="shared" si="68"/>
        <v>-</v>
      </c>
      <c r="W446" t="str">
        <f t="shared" si="69"/>
        <v>-</v>
      </c>
      <c r="X446" t="str">
        <f t="shared" si="70"/>
        <v>-</v>
      </c>
      <c r="Y446" t="str">
        <f t="shared" si="71"/>
        <v>-</v>
      </c>
      <c r="Z446" t="str">
        <f t="shared" si="72"/>
        <v>-</v>
      </c>
      <c r="AA446" t="str">
        <f t="shared" si="73"/>
        <v>-</v>
      </c>
      <c r="AB446" t="str">
        <f>IF(_xlfn.IFNA(VLOOKUP(P446,Set_Ref!$B$6:$B$1048576,1,FALSE),"")&lt;&gt;"","-",FALSE)</f>
        <v>-</v>
      </c>
      <c r="AC446" t="str">
        <f t="shared" si="74"/>
        <v>-</v>
      </c>
      <c r="AD446" t="str">
        <f t="shared" si="75"/>
        <v>-</v>
      </c>
      <c r="AE446" t="b">
        <f t="shared" si="76"/>
        <v>1</v>
      </c>
    </row>
    <row r="447" spans="1:31" x14ac:dyDescent="0.25">
      <c r="A447">
        <v>2</v>
      </c>
      <c r="B447">
        <v>128</v>
      </c>
      <c r="C447">
        <v>261</v>
      </c>
      <c r="D447" s="11" t="s">
        <v>149</v>
      </c>
      <c r="E447" t="s">
        <v>326</v>
      </c>
      <c r="F447" t="s">
        <v>191</v>
      </c>
      <c r="G447" s="11" t="s">
        <v>469</v>
      </c>
      <c r="H447">
        <v>7</v>
      </c>
      <c r="I447" s="11" t="s">
        <v>427</v>
      </c>
      <c r="J447" t="s">
        <v>285</v>
      </c>
      <c r="K447" t="s">
        <v>226</v>
      </c>
      <c r="L447" s="11" t="s">
        <v>39</v>
      </c>
      <c r="M447" s="11" t="s">
        <v>39</v>
      </c>
      <c r="N447" s="11" t="s">
        <v>39</v>
      </c>
      <c r="O447" s="11" t="s">
        <v>39</v>
      </c>
      <c r="P447" t="s">
        <v>9</v>
      </c>
      <c r="Q447">
        <v>2000</v>
      </c>
      <c r="R447">
        <v>0</v>
      </c>
      <c r="S447">
        <v>0</v>
      </c>
      <c r="T447" t="str">
        <f t="shared" si="66"/>
        <v>-</v>
      </c>
      <c r="U447" t="str">
        <f t="shared" si="67"/>
        <v>-</v>
      </c>
      <c r="V447" t="str">
        <f t="shared" si="68"/>
        <v>-</v>
      </c>
      <c r="W447" t="str">
        <f t="shared" si="69"/>
        <v>-</v>
      </c>
      <c r="X447" t="str">
        <f t="shared" si="70"/>
        <v>-</v>
      </c>
      <c r="Y447" t="str">
        <f t="shared" si="71"/>
        <v>-</v>
      </c>
      <c r="Z447" t="str">
        <f t="shared" si="72"/>
        <v>-</v>
      </c>
      <c r="AA447" t="str">
        <f t="shared" si="73"/>
        <v>-</v>
      </c>
      <c r="AB447" t="str">
        <f>IF(_xlfn.IFNA(VLOOKUP(P447,Set_Ref!$B$6:$B$1048576,1,FALSE),"")&lt;&gt;"","-",FALSE)</f>
        <v>-</v>
      </c>
      <c r="AC447" t="str">
        <f t="shared" si="74"/>
        <v>-</v>
      </c>
      <c r="AD447" t="str">
        <f t="shared" si="75"/>
        <v>-</v>
      </c>
      <c r="AE447" t="b">
        <f t="shared" si="76"/>
        <v>1</v>
      </c>
    </row>
    <row r="448" spans="1:31" x14ac:dyDescent="0.25">
      <c r="A448">
        <v>2</v>
      </c>
      <c r="B448">
        <v>129</v>
      </c>
      <c r="C448">
        <v>261</v>
      </c>
      <c r="D448" s="11" t="s">
        <v>149</v>
      </c>
      <c r="E448" t="s">
        <v>326</v>
      </c>
      <c r="F448" t="s">
        <v>191</v>
      </c>
      <c r="G448" s="11" t="s">
        <v>469</v>
      </c>
      <c r="H448">
        <v>5</v>
      </c>
      <c r="I448" s="11" t="s">
        <v>175</v>
      </c>
      <c r="J448" t="s">
        <v>339</v>
      </c>
      <c r="K448" t="s">
        <v>229</v>
      </c>
      <c r="L448" s="11" t="s">
        <v>39</v>
      </c>
      <c r="M448" s="11" t="s">
        <v>39</v>
      </c>
      <c r="N448" s="11" t="s">
        <v>39</v>
      </c>
      <c r="O448" s="11" t="s">
        <v>39</v>
      </c>
      <c r="P448" t="s">
        <v>9</v>
      </c>
      <c r="Q448">
        <v>4</v>
      </c>
      <c r="R448">
        <v>0</v>
      </c>
      <c r="S448">
        <v>0</v>
      </c>
      <c r="T448" t="str">
        <f t="shared" si="66"/>
        <v>-</v>
      </c>
      <c r="U448" t="str">
        <f t="shared" si="67"/>
        <v>-</v>
      </c>
      <c r="V448" t="str">
        <f t="shared" si="68"/>
        <v>-</v>
      </c>
      <c r="W448" t="str">
        <f t="shared" si="69"/>
        <v>-</v>
      </c>
      <c r="X448" t="str">
        <f t="shared" si="70"/>
        <v>-</v>
      </c>
      <c r="Y448" t="str">
        <f t="shared" si="71"/>
        <v>-</v>
      </c>
      <c r="Z448" t="str">
        <f t="shared" si="72"/>
        <v>-</v>
      </c>
      <c r="AA448" t="str">
        <f t="shared" si="73"/>
        <v>-</v>
      </c>
      <c r="AB448" t="str">
        <f>IF(_xlfn.IFNA(VLOOKUP(P448,Set_Ref!$B$6:$B$1048576,1,FALSE),"")&lt;&gt;"","-",FALSE)</f>
        <v>-</v>
      </c>
      <c r="AC448" t="str">
        <f t="shared" si="74"/>
        <v>-</v>
      </c>
      <c r="AD448" t="str">
        <f t="shared" si="75"/>
        <v>-</v>
      </c>
      <c r="AE448" t="b">
        <f t="shared" si="76"/>
        <v>1</v>
      </c>
    </row>
    <row r="449" spans="1:31" x14ac:dyDescent="0.25">
      <c r="A449">
        <v>2</v>
      </c>
      <c r="B449">
        <v>130</v>
      </c>
      <c r="C449">
        <v>261</v>
      </c>
      <c r="D449" s="11" t="s">
        <v>149</v>
      </c>
      <c r="E449" t="s">
        <v>326</v>
      </c>
      <c r="F449" t="s">
        <v>191</v>
      </c>
      <c r="G449" s="11" t="s">
        <v>469</v>
      </c>
      <c r="H449">
        <v>5</v>
      </c>
      <c r="I449" s="11" t="s">
        <v>175</v>
      </c>
      <c r="J449" t="s">
        <v>340</v>
      </c>
      <c r="K449" t="s">
        <v>229</v>
      </c>
      <c r="L449" s="11" t="s">
        <v>39</v>
      </c>
      <c r="M449" s="11" t="s">
        <v>39</v>
      </c>
      <c r="N449" s="11" t="s">
        <v>39</v>
      </c>
      <c r="O449" s="11" t="s">
        <v>39</v>
      </c>
      <c r="P449" t="s">
        <v>9</v>
      </c>
      <c r="Q449">
        <v>4</v>
      </c>
      <c r="R449">
        <v>0</v>
      </c>
      <c r="S449">
        <v>0</v>
      </c>
      <c r="T449" t="str">
        <f t="shared" si="66"/>
        <v>-</v>
      </c>
      <c r="U449" t="str">
        <f t="shared" si="67"/>
        <v>-</v>
      </c>
      <c r="V449" t="str">
        <f t="shared" si="68"/>
        <v>-</v>
      </c>
      <c r="W449" t="str">
        <f t="shared" si="69"/>
        <v>-</v>
      </c>
      <c r="X449" t="str">
        <f t="shared" si="70"/>
        <v>-</v>
      </c>
      <c r="Y449" t="str">
        <f t="shared" si="71"/>
        <v>-</v>
      </c>
      <c r="Z449" t="str">
        <f t="shared" si="72"/>
        <v>-</v>
      </c>
      <c r="AA449" t="str">
        <f t="shared" si="73"/>
        <v>-</v>
      </c>
      <c r="AB449" t="str">
        <f>IF(_xlfn.IFNA(VLOOKUP(P449,Set_Ref!$B$6:$B$1048576,1,FALSE),"")&lt;&gt;"","-",FALSE)</f>
        <v>-</v>
      </c>
      <c r="AC449" t="str">
        <f t="shared" si="74"/>
        <v>-</v>
      </c>
      <c r="AD449" t="str">
        <f t="shared" si="75"/>
        <v>-</v>
      </c>
      <c r="AE449" t="b">
        <f t="shared" si="76"/>
        <v>1</v>
      </c>
    </row>
    <row r="450" spans="1:31" x14ac:dyDescent="0.25">
      <c r="A450">
        <v>2</v>
      </c>
      <c r="B450">
        <v>131</v>
      </c>
      <c r="C450">
        <v>261</v>
      </c>
      <c r="D450" s="11" t="s">
        <v>149</v>
      </c>
      <c r="E450" t="s">
        <v>326</v>
      </c>
      <c r="F450" t="s">
        <v>191</v>
      </c>
      <c r="G450" s="11" t="s">
        <v>469</v>
      </c>
      <c r="H450">
        <v>5</v>
      </c>
      <c r="I450" s="11" t="s">
        <v>175</v>
      </c>
      <c r="J450" t="s">
        <v>341</v>
      </c>
      <c r="K450" t="s">
        <v>229</v>
      </c>
      <c r="L450" s="11" t="s">
        <v>39</v>
      </c>
      <c r="M450" s="11" t="s">
        <v>39</v>
      </c>
      <c r="N450" s="11" t="s">
        <v>39</v>
      </c>
      <c r="O450" s="11" t="s">
        <v>39</v>
      </c>
      <c r="P450" t="s">
        <v>9</v>
      </c>
      <c r="Q450">
        <v>4</v>
      </c>
      <c r="R450">
        <v>0</v>
      </c>
      <c r="S450">
        <v>0</v>
      </c>
      <c r="T450" t="str">
        <f t="shared" si="66"/>
        <v>-</v>
      </c>
      <c r="U450" t="str">
        <f t="shared" si="67"/>
        <v>-</v>
      </c>
      <c r="V450" t="str">
        <f t="shared" si="68"/>
        <v>-</v>
      </c>
      <c r="W450" t="str">
        <f t="shared" si="69"/>
        <v>-</v>
      </c>
      <c r="X450" t="str">
        <f t="shared" si="70"/>
        <v>-</v>
      </c>
      <c r="Y450" t="str">
        <f t="shared" si="71"/>
        <v>-</v>
      </c>
      <c r="Z450" t="str">
        <f t="shared" si="72"/>
        <v>-</v>
      </c>
      <c r="AA450" t="str">
        <f t="shared" si="73"/>
        <v>-</v>
      </c>
      <c r="AB450" t="str">
        <f>IF(_xlfn.IFNA(VLOOKUP(P450,Set_Ref!$B$6:$B$1048576,1,FALSE),"")&lt;&gt;"","-",FALSE)</f>
        <v>-</v>
      </c>
      <c r="AC450" t="str">
        <f t="shared" si="74"/>
        <v>-</v>
      </c>
      <c r="AD450" t="str">
        <f t="shared" si="75"/>
        <v>-</v>
      </c>
      <c r="AE450" t="b">
        <f t="shared" si="76"/>
        <v>1</v>
      </c>
    </row>
    <row r="451" spans="1:31" x14ac:dyDescent="0.25">
      <c r="A451">
        <v>2</v>
      </c>
      <c r="B451">
        <v>132</v>
      </c>
      <c r="C451">
        <v>261</v>
      </c>
      <c r="D451" s="11" t="s">
        <v>149</v>
      </c>
      <c r="E451" t="s">
        <v>326</v>
      </c>
      <c r="F451" t="s">
        <v>191</v>
      </c>
      <c r="G451" s="11" t="s">
        <v>469</v>
      </c>
      <c r="H451">
        <v>5</v>
      </c>
      <c r="I451" s="11" t="s">
        <v>175</v>
      </c>
      <c r="J451" t="s">
        <v>342</v>
      </c>
      <c r="K451" t="s">
        <v>229</v>
      </c>
      <c r="L451" s="11" t="s">
        <v>39</v>
      </c>
      <c r="M451" s="11" t="s">
        <v>39</v>
      </c>
      <c r="N451" s="11" t="s">
        <v>39</v>
      </c>
      <c r="O451" s="11" t="s">
        <v>39</v>
      </c>
      <c r="P451" t="s">
        <v>9</v>
      </c>
      <c r="Q451">
        <v>5</v>
      </c>
      <c r="R451">
        <v>0</v>
      </c>
      <c r="S451">
        <v>0</v>
      </c>
      <c r="T451" t="str">
        <f t="shared" ref="T451:T514" si="77">IF(OR(A451="",A451&lt;1),FALSE,IF(ISNUMBER(A451), IF(INT(A451) = A451, "-", FALSE), FALSE))</f>
        <v>-</v>
      </c>
      <c r="U451" t="str">
        <f t="shared" ref="U451:U514" si="78">IF(OR(B451="",A451&lt;1),FALSE,IF(ISNUMBER(A451), IF(INT(A451) = A451, "-", FALSE), FALSE))</f>
        <v>-</v>
      </c>
      <c r="V451" t="str">
        <f t="shared" ref="V451:V514" si="79">IF(OR(C451="",C451="PilihSalasatu"),FALSE,"-")</f>
        <v>-</v>
      </c>
      <c r="W451" t="str">
        <f t="shared" ref="W451:W514" si="80">IF(D451="",FALSE,"-")</f>
        <v>-</v>
      </c>
      <c r="X451" t="str">
        <f t="shared" ref="X451:X514" si="81">IF(E451="",FALSE,"-")</f>
        <v>-</v>
      </c>
      <c r="Y451" t="str">
        <f t="shared" ref="Y451:Y514" si="82">IF(F451="",FALSE,"-")</f>
        <v>-</v>
      </c>
      <c r="Z451" t="str">
        <f t="shared" ref="Z451:Z514" si="83">IF(I451="",FALSE,"-")</f>
        <v>-</v>
      </c>
      <c r="AA451" t="str">
        <f t="shared" ref="AA451:AA514" si="84">IF(J451="",FALSE,"-")</f>
        <v>-</v>
      </c>
      <c r="AB451" t="str">
        <f>IF(_xlfn.IFNA(VLOOKUP(P451,Set_Ref!$B$6:$B$1048576,1,FALSE),"")&lt;&gt;"","-",FALSE)</f>
        <v>-</v>
      </c>
      <c r="AC451" t="str">
        <f t="shared" ref="AC451:AC514" si="85">IF(OR(Q451="",Q451&lt;0),FALSE,IF(ISNUMBER(Q451),"-",FALSE))</f>
        <v>-</v>
      </c>
      <c r="AD451" t="str">
        <f t="shared" ref="AD451:AD514" si="86">IF(OR(G451="",H451="",I451="",K451=""),FALSE,"-")</f>
        <v>-</v>
      </c>
      <c r="AE451" t="b">
        <f t="shared" ref="AE451:AE514" si="87">IF(COUNTIF(T451:AD451, "FALSE") &gt; 0, FALSE, TRUE)</f>
        <v>1</v>
      </c>
    </row>
    <row r="452" spans="1:31" x14ac:dyDescent="0.25">
      <c r="A452">
        <v>2</v>
      </c>
      <c r="B452">
        <v>133</v>
      </c>
      <c r="C452">
        <v>261</v>
      </c>
      <c r="D452" s="11" t="s">
        <v>149</v>
      </c>
      <c r="E452" t="s">
        <v>326</v>
      </c>
      <c r="F452" t="s">
        <v>191</v>
      </c>
      <c r="G452" s="11" t="s">
        <v>469</v>
      </c>
      <c r="H452">
        <v>5</v>
      </c>
      <c r="I452" s="11" t="s">
        <v>175</v>
      </c>
      <c r="J452" t="s">
        <v>343</v>
      </c>
      <c r="K452" t="s">
        <v>229</v>
      </c>
      <c r="L452" s="11" t="s">
        <v>39</v>
      </c>
      <c r="M452" s="11" t="s">
        <v>39</v>
      </c>
      <c r="N452" s="11" t="s">
        <v>39</v>
      </c>
      <c r="O452" s="11" t="s">
        <v>39</v>
      </c>
      <c r="P452" t="s">
        <v>9</v>
      </c>
      <c r="Q452">
        <v>14</v>
      </c>
      <c r="R452">
        <v>0</v>
      </c>
      <c r="S452">
        <v>0</v>
      </c>
      <c r="T452" t="str">
        <f t="shared" si="77"/>
        <v>-</v>
      </c>
      <c r="U452" t="str">
        <f t="shared" si="78"/>
        <v>-</v>
      </c>
      <c r="V452" t="str">
        <f t="shared" si="79"/>
        <v>-</v>
      </c>
      <c r="W452" t="str">
        <f t="shared" si="80"/>
        <v>-</v>
      </c>
      <c r="X452" t="str">
        <f t="shared" si="81"/>
        <v>-</v>
      </c>
      <c r="Y452" t="str">
        <f t="shared" si="82"/>
        <v>-</v>
      </c>
      <c r="Z452" t="str">
        <f t="shared" si="83"/>
        <v>-</v>
      </c>
      <c r="AA452" t="str">
        <f t="shared" si="84"/>
        <v>-</v>
      </c>
      <c r="AB452" t="str">
        <f>IF(_xlfn.IFNA(VLOOKUP(P452,Set_Ref!$B$6:$B$1048576,1,FALSE),"")&lt;&gt;"","-",FALSE)</f>
        <v>-</v>
      </c>
      <c r="AC452" t="str">
        <f t="shared" si="85"/>
        <v>-</v>
      </c>
      <c r="AD452" t="str">
        <f t="shared" si="86"/>
        <v>-</v>
      </c>
      <c r="AE452" t="b">
        <f t="shared" si="87"/>
        <v>1</v>
      </c>
    </row>
    <row r="453" spans="1:31" x14ac:dyDescent="0.25">
      <c r="A453">
        <v>2</v>
      </c>
      <c r="B453">
        <v>134</v>
      </c>
      <c r="C453">
        <v>261</v>
      </c>
      <c r="D453" s="11" t="s">
        <v>149</v>
      </c>
      <c r="E453" t="s">
        <v>326</v>
      </c>
      <c r="F453" t="s">
        <v>191</v>
      </c>
      <c r="G453" s="11" t="s">
        <v>469</v>
      </c>
      <c r="H453">
        <v>5</v>
      </c>
      <c r="I453" s="11" t="s">
        <v>175</v>
      </c>
      <c r="J453" t="s">
        <v>344</v>
      </c>
      <c r="K453" t="s">
        <v>229</v>
      </c>
      <c r="L453" s="11" t="s">
        <v>39</v>
      </c>
      <c r="M453" s="11" t="s">
        <v>39</v>
      </c>
      <c r="N453" s="11" t="s">
        <v>39</v>
      </c>
      <c r="O453" s="11" t="s">
        <v>39</v>
      </c>
      <c r="P453" t="s">
        <v>9</v>
      </c>
      <c r="Q453">
        <v>5</v>
      </c>
      <c r="R453">
        <v>0</v>
      </c>
      <c r="S453">
        <v>0</v>
      </c>
      <c r="T453" t="str">
        <f t="shared" si="77"/>
        <v>-</v>
      </c>
      <c r="U453" t="str">
        <f t="shared" si="78"/>
        <v>-</v>
      </c>
      <c r="V453" t="str">
        <f t="shared" si="79"/>
        <v>-</v>
      </c>
      <c r="W453" t="str">
        <f t="shared" si="80"/>
        <v>-</v>
      </c>
      <c r="X453" t="str">
        <f t="shared" si="81"/>
        <v>-</v>
      </c>
      <c r="Y453" t="str">
        <f t="shared" si="82"/>
        <v>-</v>
      </c>
      <c r="Z453" t="str">
        <f t="shared" si="83"/>
        <v>-</v>
      </c>
      <c r="AA453" t="str">
        <f t="shared" si="84"/>
        <v>-</v>
      </c>
      <c r="AB453" t="str">
        <f>IF(_xlfn.IFNA(VLOOKUP(P453,Set_Ref!$B$6:$B$1048576,1,FALSE),"")&lt;&gt;"","-",FALSE)</f>
        <v>-</v>
      </c>
      <c r="AC453" t="str">
        <f t="shared" si="85"/>
        <v>-</v>
      </c>
      <c r="AD453" t="str">
        <f t="shared" si="86"/>
        <v>-</v>
      </c>
      <c r="AE453" t="b">
        <f t="shared" si="87"/>
        <v>1</v>
      </c>
    </row>
    <row r="454" spans="1:31" x14ac:dyDescent="0.25">
      <c r="A454">
        <v>2</v>
      </c>
      <c r="B454">
        <v>135</v>
      </c>
      <c r="C454">
        <v>261</v>
      </c>
      <c r="D454" s="11" t="s">
        <v>149</v>
      </c>
      <c r="E454" t="s">
        <v>326</v>
      </c>
      <c r="F454" t="s">
        <v>191</v>
      </c>
      <c r="G454" s="11" t="s">
        <v>469</v>
      </c>
      <c r="H454">
        <v>5</v>
      </c>
      <c r="I454" s="11" t="s">
        <v>175</v>
      </c>
      <c r="J454" t="s">
        <v>345</v>
      </c>
      <c r="K454" t="s">
        <v>229</v>
      </c>
      <c r="L454" s="11" t="s">
        <v>39</v>
      </c>
      <c r="M454" s="11" t="s">
        <v>39</v>
      </c>
      <c r="N454" s="11" t="s">
        <v>39</v>
      </c>
      <c r="O454" s="11" t="s">
        <v>39</v>
      </c>
      <c r="P454" t="s">
        <v>9</v>
      </c>
      <c r="Q454">
        <v>3</v>
      </c>
      <c r="R454">
        <v>0</v>
      </c>
      <c r="S454">
        <v>0</v>
      </c>
      <c r="T454" t="str">
        <f t="shared" si="77"/>
        <v>-</v>
      </c>
      <c r="U454" t="str">
        <f t="shared" si="78"/>
        <v>-</v>
      </c>
      <c r="V454" t="str">
        <f t="shared" si="79"/>
        <v>-</v>
      </c>
      <c r="W454" t="str">
        <f t="shared" si="80"/>
        <v>-</v>
      </c>
      <c r="X454" t="str">
        <f t="shared" si="81"/>
        <v>-</v>
      </c>
      <c r="Y454" t="str">
        <f t="shared" si="82"/>
        <v>-</v>
      </c>
      <c r="Z454" t="str">
        <f t="shared" si="83"/>
        <v>-</v>
      </c>
      <c r="AA454" t="str">
        <f t="shared" si="84"/>
        <v>-</v>
      </c>
      <c r="AB454" t="str">
        <f>IF(_xlfn.IFNA(VLOOKUP(P454,Set_Ref!$B$6:$B$1048576,1,FALSE),"")&lt;&gt;"","-",FALSE)</f>
        <v>-</v>
      </c>
      <c r="AC454" t="str">
        <f t="shared" si="85"/>
        <v>-</v>
      </c>
      <c r="AD454" t="str">
        <f t="shared" si="86"/>
        <v>-</v>
      </c>
      <c r="AE454" t="b">
        <f t="shared" si="87"/>
        <v>1</v>
      </c>
    </row>
    <row r="455" spans="1:31" x14ac:dyDescent="0.25">
      <c r="A455">
        <v>2</v>
      </c>
      <c r="B455">
        <v>136</v>
      </c>
      <c r="C455">
        <v>261</v>
      </c>
      <c r="D455" s="11" t="s">
        <v>149</v>
      </c>
      <c r="E455" t="s">
        <v>326</v>
      </c>
      <c r="F455" t="s">
        <v>191</v>
      </c>
      <c r="G455" s="11" t="s">
        <v>469</v>
      </c>
      <c r="H455">
        <v>5</v>
      </c>
      <c r="I455" s="11" t="s">
        <v>175</v>
      </c>
      <c r="J455" t="s">
        <v>346</v>
      </c>
      <c r="K455" t="s">
        <v>229</v>
      </c>
      <c r="L455" s="11" t="s">
        <v>39</v>
      </c>
      <c r="M455" s="11" t="s">
        <v>39</v>
      </c>
      <c r="N455" s="11" t="s">
        <v>39</v>
      </c>
      <c r="O455" s="11" t="s">
        <v>39</v>
      </c>
      <c r="P455" t="s">
        <v>9</v>
      </c>
      <c r="Q455">
        <v>2</v>
      </c>
      <c r="R455">
        <v>0</v>
      </c>
      <c r="S455">
        <v>0</v>
      </c>
      <c r="T455" t="str">
        <f t="shared" si="77"/>
        <v>-</v>
      </c>
      <c r="U455" t="str">
        <f t="shared" si="78"/>
        <v>-</v>
      </c>
      <c r="V455" t="str">
        <f t="shared" si="79"/>
        <v>-</v>
      </c>
      <c r="W455" t="str">
        <f t="shared" si="80"/>
        <v>-</v>
      </c>
      <c r="X455" t="str">
        <f t="shared" si="81"/>
        <v>-</v>
      </c>
      <c r="Y455" t="str">
        <f t="shared" si="82"/>
        <v>-</v>
      </c>
      <c r="Z455" t="str">
        <f t="shared" si="83"/>
        <v>-</v>
      </c>
      <c r="AA455" t="str">
        <f t="shared" si="84"/>
        <v>-</v>
      </c>
      <c r="AB455" t="str">
        <f>IF(_xlfn.IFNA(VLOOKUP(P455,Set_Ref!$B$6:$B$1048576,1,FALSE),"")&lt;&gt;"","-",FALSE)</f>
        <v>-</v>
      </c>
      <c r="AC455" t="str">
        <f t="shared" si="85"/>
        <v>-</v>
      </c>
      <c r="AD455" t="str">
        <f t="shared" si="86"/>
        <v>-</v>
      </c>
      <c r="AE455" t="b">
        <f t="shared" si="87"/>
        <v>1</v>
      </c>
    </row>
    <row r="456" spans="1:31" x14ac:dyDescent="0.25">
      <c r="A456">
        <v>2</v>
      </c>
      <c r="B456">
        <v>137</v>
      </c>
      <c r="C456">
        <v>261</v>
      </c>
      <c r="D456" s="11" t="s">
        <v>149</v>
      </c>
      <c r="E456" t="s">
        <v>326</v>
      </c>
      <c r="F456" t="s">
        <v>191</v>
      </c>
      <c r="G456" s="11" t="s">
        <v>469</v>
      </c>
      <c r="H456">
        <v>5</v>
      </c>
      <c r="I456" s="11" t="s">
        <v>175</v>
      </c>
      <c r="J456" t="s">
        <v>347</v>
      </c>
      <c r="K456" t="s">
        <v>229</v>
      </c>
      <c r="L456" s="11" t="s">
        <v>39</v>
      </c>
      <c r="M456" s="11" t="s">
        <v>39</v>
      </c>
      <c r="N456" s="11" t="s">
        <v>39</v>
      </c>
      <c r="O456" s="11" t="s">
        <v>39</v>
      </c>
      <c r="P456" t="s">
        <v>9</v>
      </c>
      <c r="Q456">
        <v>50</v>
      </c>
      <c r="R456">
        <v>0</v>
      </c>
      <c r="S456">
        <v>0</v>
      </c>
      <c r="T456" t="str">
        <f t="shared" si="77"/>
        <v>-</v>
      </c>
      <c r="U456" t="str">
        <f t="shared" si="78"/>
        <v>-</v>
      </c>
      <c r="V456" t="str">
        <f t="shared" si="79"/>
        <v>-</v>
      </c>
      <c r="W456" t="str">
        <f t="shared" si="80"/>
        <v>-</v>
      </c>
      <c r="X456" t="str">
        <f t="shared" si="81"/>
        <v>-</v>
      </c>
      <c r="Y456" t="str">
        <f t="shared" si="82"/>
        <v>-</v>
      </c>
      <c r="Z456" t="str">
        <f t="shared" si="83"/>
        <v>-</v>
      </c>
      <c r="AA456" t="str">
        <f t="shared" si="84"/>
        <v>-</v>
      </c>
      <c r="AB456" t="str">
        <f>IF(_xlfn.IFNA(VLOOKUP(P456,Set_Ref!$B$6:$B$1048576,1,FALSE),"")&lt;&gt;"","-",FALSE)</f>
        <v>-</v>
      </c>
      <c r="AC456" t="str">
        <f t="shared" si="85"/>
        <v>-</v>
      </c>
      <c r="AD456" t="str">
        <f t="shared" si="86"/>
        <v>-</v>
      </c>
      <c r="AE456" t="b">
        <f t="shared" si="87"/>
        <v>1</v>
      </c>
    </row>
    <row r="457" spans="1:31" x14ac:dyDescent="0.25">
      <c r="A457">
        <v>2</v>
      </c>
      <c r="B457">
        <v>138</v>
      </c>
      <c r="C457">
        <v>261</v>
      </c>
      <c r="D457" s="11" t="s">
        <v>149</v>
      </c>
      <c r="E457" t="s">
        <v>326</v>
      </c>
      <c r="F457" t="s">
        <v>191</v>
      </c>
      <c r="G457" s="11" t="s">
        <v>469</v>
      </c>
      <c r="H457">
        <v>5</v>
      </c>
      <c r="I457" s="11" t="s">
        <v>175</v>
      </c>
      <c r="J457" t="s">
        <v>348</v>
      </c>
      <c r="K457" t="s">
        <v>229</v>
      </c>
      <c r="L457" s="11" t="s">
        <v>39</v>
      </c>
      <c r="M457" s="11" t="s">
        <v>39</v>
      </c>
      <c r="N457" s="11" t="s">
        <v>39</v>
      </c>
      <c r="O457" s="11" t="s">
        <v>39</v>
      </c>
      <c r="P457" t="s">
        <v>9</v>
      </c>
      <c r="Q457">
        <v>213</v>
      </c>
      <c r="R457">
        <v>0</v>
      </c>
      <c r="S457">
        <v>0</v>
      </c>
      <c r="T457" t="str">
        <f t="shared" si="77"/>
        <v>-</v>
      </c>
      <c r="U457" t="str">
        <f t="shared" si="78"/>
        <v>-</v>
      </c>
      <c r="V457" t="str">
        <f t="shared" si="79"/>
        <v>-</v>
      </c>
      <c r="W457" t="str">
        <f t="shared" si="80"/>
        <v>-</v>
      </c>
      <c r="X457" t="str">
        <f t="shared" si="81"/>
        <v>-</v>
      </c>
      <c r="Y457" t="str">
        <f t="shared" si="82"/>
        <v>-</v>
      </c>
      <c r="Z457" t="str">
        <f t="shared" si="83"/>
        <v>-</v>
      </c>
      <c r="AA457" t="str">
        <f t="shared" si="84"/>
        <v>-</v>
      </c>
      <c r="AB457" t="str">
        <f>IF(_xlfn.IFNA(VLOOKUP(P457,Set_Ref!$B$6:$B$1048576,1,FALSE),"")&lt;&gt;"","-",FALSE)</f>
        <v>-</v>
      </c>
      <c r="AC457" t="str">
        <f t="shared" si="85"/>
        <v>-</v>
      </c>
      <c r="AD457" t="str">
        <f t="shared" si="86"/>
        <v>-</v>
      </c>
      <c r="AE457" t="b">
        <f t="shared" si="87"/>
        <v>1</v>
      </c>
    </row>
    <row r="458" spans="1:31" x14ac:dyDescent="0.25">
      <c r="A458">
        <v>2</v>
      </c>
      <c r="B458">
        <v>139</v>
      </c>
      <c r="C458">
        <v>261</v>
      </c>
      <c r="D458" s="11" t="s">
        <v>149</v>
      </c>
      <c r="E458" t="s">
        <v>326</v>
      </c>
      <c r="F458" t="s">
        <v>191</v>
      </c>
      <c r="G458" s="11" t="s">
        <v>469</v>
      </c>
      <c r="H458">
        <v>5</v>
      </c>
      <c r="I458" s="11" t="s">
        <v>175</v>
      </c>
      <c r="J458" t="s">
        <v>349</v>
      </c>
      <c r="K458" t="s">
        <v>229</v>
      </c>
      <c r="L458" s="11" t="s">
        <v>39</v>
      </c>
      <c r="M458" s="11" t="s">
        <v>39</v>
      </c>
      <c r="N458" s="11" t="s">
        <v>39</v>
      </c>
      <c r="O458" s="11" t="s">
        <v>39</v>
      </c>
      <c r="P458" t="s">
        <v>9</v>
      </c>
      <c r="Q458">
        <v>310</v>
      </c>
      <c r="R458">
        <v>0</v>
      </c>
      <c r="S458">
        <v>0</v>
      </c>
      <c r="T458" t="str">
        <f t="shared" si="77"/>
        <v>-</v>
      </c>
      <c r="U458" t="str">
        <f t="shared" si="78"/>
        <v>-</v>
      </c>
      <c r="V458" t="str">
        <f t="shared" si="79"/>
        <v>-</v>
      </c>
      <c r="W458" t="str">
        <f t="shared" si="80"/>
        <v>-</v>
      </c>
      <c r="X458" t="str">
        <f t="shared" si="81"/>
        <v>-</v>
      </c>
      <c r="Y458" t="str">
        <f t="shared" si="82"/>
        <v>-</v>
      </c>
      <c r="Z458" t="str">
        <f t="shared" si="83"/>
        <v>-</v>
      </c>
      <c r="AA458" t="str">
        <f t="shared" si="84"/>
        <v>-</v>
      </c>
      <c r="AB458" t="str">
        <f>IF(_xlfn.IFNA(VLOOKUP(P458,Set_Ref!$B$6:$B$1048576,1,FALSE),"")&lt;&gt;"","-",FALSE)</f>
        <v>-</v>
      </c>
      <c r="AC458" t="str">
        <f t="shared" si="85"/>
        <v>-</v>
      </c>
      <c r="AD458" t="str">
        <f t="shared" si="86"/>
        <v>-</v>
      </c>
      <c r="AE458" t="b">
        <f t="shared" si="87"/>
        <v>1</v>
      </c>
    </row>
    <row r="459" spans="1:31" x14ac:dyDescent="0.25">
      <c r="A459">
        <v>2</v>
      </c>
      <c r="B459">
        <v>140</v>
      </c>
      <c r="C459">
        <v>261</v>
      </c>
      <c r="D459" s="11" t="s">
        <v>149</v>
      </c>
      <c r="E459" t="s">
        <v>326</v>
      </c>
      <c r="F459" t="s">
        <v>191</v>
      </c>
      <c r="G459" s="11" t="s">
        <v>469</v>
      </c>
      <c r="H459">
        <v>5</v>
      </c>
      <c r="I459" s="11" t="s">
        <v>175</v>
      </c>
      <c r="J459" t="s">
        <v>350</v>
      </c>
      <c r="K459" t="s">
        <v>229</v>
      </c>
      <c r="L459" s="11" t="s">
        <v>39</v>
      </c>
      <c r="M459" s="11" t="s">
        <v>39</v>
      </c>
      <c r="N459" s="11" t="s">
        <v>39</v>
      </c>
      <c r="O459" s="11" t="s">
        <v>39</v>
      </c>
      <c r="P459" t="s">
        <v>9</v>
      </c>
      <c r="Q459">
        <v>394</v>
      </c>
      <c r="R459">
        <v>0</v>
      </c>
      <c r="S459">
        <v>0</v>
      </c>
      <c r="T459" t="str">
        <f t="shared" si="77"/>
        <v>-</v>
      </c>
      <c r="U459" t="str">
        <f t="shared" si="78"/>
        <v>-</v>
      </c>
      <c r="V459" t="str">
        <f t="shared" si="79"/>
        <v>-</v>
      </c>
      <c r="W459" t="str">
        <f t="shared" si="80"/>
        <v>-</v>
      </c>
      <c r="X459" t="str">
        <f t="shared" si="81"/>
        <v>-</v>
      </c>
      <c r="Y459" t="str">
        <f t="shared" si="82"/>
        <v>-</v>
      </c>
      <c r="Z459" t="str">
        <f t="shared" si="83"/>
        <v>-</v>
      </c>
      <c r="AA459" t="str">
        <f t="shared" si="84"/>
        <v>-</v>
      </c>
      <c r="AB459" t="str">
        <f>IF(_xlfn.IFNA(VLOOKUP(P459,Set_Ref!$B$6:$B$1048576,1,FALSE),"")&lt;&gt;"","-",FALSE)</f>
        <v>-</v>
      </c>
      <c r="AC459" t="str">
        <f t="shared" si="85"/>
        <v>-</v>
      </c>
      <c r="AD459" t="str">
        <f t="shared" si="86"/>
        <v>-</v>
      </c>
      <c r="AE459" t="b">
        <f t="shared" si="87"/>
        <v>1</v>
      </c>
    </row>
    <row r="460" spans="1:31" x14ac:dyDescent="0.25">
      <c r="A460">
        <v>2</v>
      </c>
      <c r="B460">
        <v>141</v>
      </c>
      <c r="C460">
        <v>261</v>
      </c>
      <c r="D460" s="11" t="s">
        <v>149</v>
      </c>
      <c r="E460" t="s">
        <v>326</v>
      </c>
      <c r="F460" t="s">
        <v>191</v>
      </c>
      <c r="G460" s="11" t="s">
        <v>469</v>
      </c>
      <c r="H460">
        <v>5</v>
      </c>
      <c r="I460" s="11" t="s">
        <v>175</v>
      </c>
      <c r="J460" t="s">
        <v>351</v>
      </c>
      <c r="K460" t="s">
        <v>229</v>
      </c>
      <c r="L460" s="11" t="s">
        <v>39</v>
      </c>
      <c r="M460" s="11" t="s">
        <v>39</v>
      </c>
      <c r="N460" s="11" t="s">
        <v>39</v>
      </c>
      <c r="O460" s="11" t="s">
        <v>39</v>
      </c>
      <c r="P460" t="s">
        <v>9</v>
      </c>
      <c r="Q460">
        <v>281</v>
      </c>
      <c r="R460">
        <v>0</v>
      </c>
      <c r="S460">
        <v>0</v>
      </c>
      <c r="T460" t="str">
        <f t="shared" si="77"/>
        <v>-</v>
      </c>
      <c r="U460" t="str">
        <f t="shared" si="78"/>
        <v>-</v>
      </c>
      <c r="V460" t="str">
        <f t="shared" si="79"/>
        <v>-</v>
      </c>
      <c r="W460" t="str">
        <f t="shared" si="80"/>
        <v>-</v>
      </c>
      <c r="X460" t="str">
        <f t="shared" si="81"/>
        <v>-</v>
      </c>
      <c r="Y460" t="str">
        <f t="shared" si="82"/>
        <v>-</v>
      </c>
      <c r="Z460" t="str">
        <f t="shared" si="83"/>
        <v>-</v>
      </c>
      <c r="AA460" t="str">
        <f t="shared" si="84"/>
        <v>-</v>
      </c>
      <c r="AB460" t="str">
        <f>IF(_xlfn.IFNA(VLOOKUP(P460,Set_Ref!$B$6:$B$1048576,1,FALSE),"")&lt;&gt;"","-",FALSE)</f>
        <v>-</v>
      </c>
      <c r="AC460" t="str">
        <f t="shared" si="85"/>
        <v>-</v>
      </c>
      <c r="AD460" t="str">
        <f t="shared" si="86"/>
        <v>-</v>
      </c>
      <c r="AE460" t="b">
        <f t="shared" si="87"/>
        <v>1</v>
      </c>
    </row>
    <row r="461" spans="1:31" x14ac:dyDescent="0.25">
      <c r="A461">
        <v>2</v>
      </c>
      <c r="B461">
        <v>142</v>
      </c>
      <c r="C461">
        <v>261</v>
      </c>
      <c r="D461" s="11" t="s">
        <v>149</v>
      </c>
      <c r="E461" t="s">
        <v>326</v>
      </c>
      <c r="F461" t="s">
        <v>191</v>
      </c>
      <c r="G461" s="11" t="s">
        <v>469</v>
      </c>
      <c r="H461">
        <v>5</v>
      </c>
      <c r="I461" s="11" t="s">
        <v>175</v>
      </c>
      <c r="J461" t="s">
        <v>352</v>
      </c>
      <c r="K461" t="s">
        <v>229</v>
      </c>
      <c r="L461" s="11" t="s">
        <v>39</v>
      </c>
      <c r="M461" s="11" t="s">
        <v>39</v>
      </c>
      <c r="N461" s="11" t="s">
        <v>39</v>
      </c>
      <c r="O461" s="11" t="s">
        <v>39</v>
      </c>
      <c r="P461" t="s">
        <v>9</v>
      </c>
      <c r="Q461">
        <v>202</v>
      </c>
      <c r="R461">
        <v>0</v>
      </c>
      <c r="S461">
        <v>0</v>
      </c>
      <c r="T461" t="str">
        <f t="shared" si="77"/>
        <v>-</v>
      </c>
      <c r="U461" t="str">
        <f t="shared" si="78"/>
        <v>-</v>
      </c>
      <c r="V461" t="str">
        <f t="shared" si="79"/>
        <v>-</v>
      </c>
      <c r="W461" t="str">
        <f t="shared" si="80"/>
        <v>-</v>
      </c>
      <c r="X461" t="str">
        <f t="shared" si="81"/>
        <v>-</v>
      </c>
      <c r="Y461" t="str">
        <f t="shared" si="82"/>
        <v>-</v>
      </c>
      <c r="Z461" t="str">
        <f t="shared" si="83"/>
        <v>-</v>
      </c>
      <c r="AA461" t="str">
        <f t="shared" si="84"/>
        <v>-</v>
      </c>
      <c r="AB461" t="str">
        <f>IF(_xlfn.IFNA(VLOOKUP(P461,Set_Ref!$B$6:$B$1048576,1,FALSE),"")&lt;&gt;"","-",FALSE)</f>
        <v>-</v>
      </c>
      <c r="AC461" t="str">
        <f t="shared" si="85"/>
        <v>-</v>
      </c>
      <c r="AD461" t="str">
        <f t="shared" si="86"/>
        <v>-</v>
      </c>
      <c r="AE461" t="b">
        <f t="shared" si="87"/>
        <v>1</v>
      </c>
    </row>
    <row r="462" spans="1:31" x14ac:dyDescent="0.25">
      <c r="A462">
        <v>2</v>
      </c>
      <c r="B462">
        <v>143</v>
      </c>
      <c r="C462">
        <v>261</v>
      </c>
      <c r="D462" s="11" t="s">
        <v>149</v>
      </c>
      <c r="E462" t="s">
        <v>326</v>
      </c>
      <c r="F462" t="s">
        <v>191</v>
      </c>
      <c r="G462" s="11" t="s">
        <v>469</v>
      </c>
      <c r="H462">
        <v>5</v>
      </c>
      <c r="I462" s="11" t="s">
        <v>175</v>
      </c>
      <c r="J462" t="s">
        <v>353</v>
      </c>
      <c r="K462" t="s">
        <v>229</v>
      </c>
      <c r="L462" s="11" t="s">
        <v>39</v>
      </c>
      <c r="M462" s="11" t="s">
        <v>39</v>
      </c>
      <c r="N462" s="11" t="s">
        <v>39</v>
      </c>
      <c r="O462" s="11" t="s">
        <v>39</v>
      </c>
      <c r="P462" t="s">
        <v>9</v>
      </c>
      <c r="Q462">
        <v>67</v>
      </c>
      <c r="R462">
        <v>0</v>
      </c>
      <c r="S462">
        <v>0</v>
      </c>
      <c r="T462" t="str">
        <f t="shared" si="77"/>
        <v>-</v>
      </c>
      <c r="U462" t="str">
        <f t="shared" si="78"/>
        <v>-</v>
      </c>
      <c r="V462" t="str">
        <f t="shared" si="79"/>
        <v>-</v>
      </c>
      <c r="W462" t="str">
        <f t="shared" si="80"/>
        <v>-</v>
      </c>
      <c r="X462" t="str">
        <f t="shared" si="81"/>
        <v>-</v>
      </c>
      <c r="Y462" t="str">
        <f t="shared" si="82"/>
        <v>-</v>
      </c>
      <c r="Z462" t="str">
        <f t="shared" si="83"/>
        <v>-</v>
      </c>
      <c r="AA462" t="str">
        <f t="shared" si="84"/>
        <v>-</v>
      </c>
      <c r="AB462" t="str">
        <f>IF(_xlfn.IFNA(VLOOKUP(P462,Set_Ref!$B$6:$B$1048576,1,FALSE),"")&lt;&gt;"","-",FALSE)</f>
        <v>-</v>
      </c>
      <c r="AC462" t="str">
        <f t="shared" si="85"/>
        <v>-</v>
      </c>
      <c r="AD462" t="str">
        <f t="shared" si="86"/>
        <v>-</v>
      </c>
      <c r="AE462" t="b">
        <f t="shared" si="87"/>
        <v>1</v>
      </c>
    </row>
    <row r="463" spans="1:31" x14ac:dyDescent="0.25">
      <c r="A463">
        <v>2</v>
      </c>
      <c r="B463">
        <v>144</v>
      </c>
      <c r="C463">
        <v>261</v>
      </c>
      <c r="D463" s="11" t="s">
        <v>149</v>
      </c>
      <c r="E463" t="s">
        <v>326</v>
      </c>
      <c r="F463" t="s">
        <v>191</v>
      </c>
      <c r="G463" s="11" t="s">
        <v>469</v>
      </c>
      <c r="H463">
        <v>5</v>
      </c>
      <c r="I463" s="11" t="s">
        <v>175</v>
      </c>
      <c r="J463" t="s">
        <v>354</v>
      </c>
      <c r="K463" t="s">
        <v>229</v>
      </c>
      <c r="L463" s="11" t="s">
        <v>39</v>
      </c>
      <c r="M463" s="11" t="s">
        <v>39</v>
      </c>
      <c r="N463" s="11" t="s">
        <v>39</v>
      </c>
      <c r="O463" s="11" t="s">
        <v>39</v>
      </c>
      <c r="P463" t="s">
        <v>9</v>
      </c>
      <c r="Q463">
        <v>60</v>
      </c>
      <c r="R463">
        <v>0</v>
      </c>
      <c r="S463">
        <v>0</v>
      </c>
      <c r="T463" t="str">
        <f t="shared" si="77"/>
        <v>-</v>
      </c>
      <c r="U463" t="str">
        <f t="shared" si="78"/>
        <v>-</v>
      </c>
      <c r="V463" t="str">
        <f t="shared" si="79"/>
        <v>-</v>
      </c>
      <c r="W463" t="str">
        <f t="shared" si="80"/>
        <v>-</v>
      </c>
      <c r="X463" t="str">
        <f t="shared" si="81"/>
        <v>-</v>
      </c>
      <c r="Y463" t="str">
        <f t="shared" si="82"/>
        <v>-</v>
      </c>
      <c r="Z463" t="str">
        <f t="shared" si="83"/>
        <v>-</v>
      </c>
      <c r="AA463" t="str">
        <f t="shared" si="84"/>
        <v>-</v>
      </c>
      <c r="AB463" t="str">
        <f>IF(_xlfn.IFNA(VLOOKUP(P463,Set_Ref!$B$6:$B$1048576,1,FALSE),"")&lt;&gt;"","-",FALSE)</f>
        <v>-</v>
      </c>
      <c r="AC463" t="str">
        <f t="shared" si="85"/>
        <v>-</v>
      </c>
      <c r="AD463" t="str">
        <f t="shared" si="86"/>
        <v>-</v>
      </c>
      <c r="AE463" t="b">
        <f t="shared" si="87"/>
        <v>1</v>
      </c>
    </row>
    <row r="464" spans="1:31" x14ac:dyDescent="0.25">
      <c r="A464">
        <v>2</v>
      </c>
      <c r="B464">
        <v>145</v>
      </c>
      <c r="C464">
        <v>261</v>
      </c>
      <c r="D464" s="11" t="s">
        <v>149</v>
      </c>
      <c r="E464" t="s">
        <v>326</v>
      </c>
      <c r="F464" t="s">
        <v>191</v>
      </c>
      <c r="G464" s="11" t="s">
        <v>469</v>
      </c>
      <c r="H464">
        <v>5</v>
      </c>
      <c r="I464" s="11" t="s">
        <v>175</v>
      </c>
      <c r="J464" t="s">
        <v>355</v>
      </c>
      <c r="K464" t="s">
        <v>229</v>
      </c>
      <c r="L464" s="11" t="s">
        <v>39</v>
      </c>
      <c r="M464" s="11" t="s">
        <v>39</v>
      </c>
      <c r="N464" s="11" t="s">
        <v>39</v>
      </c>
      <c r="O464" s="11" t="s">
        <v>39</v>
      </c>
      <c r="P464" t="s">
        <v>9</v>
      </c>
      <c r="Q464">
        <v>29</v>
      </c>
      <c r="R464">
        <v>0</v>
      </c>
      <c r="S464">
        <v>0</v>
      </c>
      <c r="T464" t="str">
        <f t="shared" si="77"/>
        <v>-</v>
      </c>
      <c r="U464" t="str">
        <f t="shared" si="78"/>
        <v>-</v>
      </c>
      <c r="V464" t="str">
        <f t="shared" si="79"/>
        <v>-</v>
      </c>
      <c r="W464" t="str">
        <f t="shared" si="80"/>
        <v>-</v>
      </c>
      <c r="X464" t="str">
        <f t="shared" si="81"/>
        <v>-</v>
      </c>
      <c r="Y464" t="str">
        <f t="shared" si="82"/>
        <v>-</v>
      </c>
      <c r="Z464" t="str">
        <f t="shared" si="83"/>
        <v>-</v>
      </c>
      <c r="AA464" t="str">
        <f t="shared" si="84"/>
        <v>-</v>
      </c>
      <c r="AB464" t="str">
        <f>IF(_xlfn.IFNA(VLOOKUP(P464,Set_Ref!$B$6:$B$1048576,1,FALSE),"")&lt;&gt;"","-",FALSE)</f>
        <v>-</v>
      </c>
      <c r="AC464" t="str">
        <f t="shared" si="85"/>
        <v>-</v>
      </c>
      <c r="AD464" t="str">
        <f t="shared" si="86"/>
        <v>-</v>
      </c>
      <c r="AE464" t="b">
        <f t="shared" si="87"/>
        <v>1</v>
      </c>
    </row>
    <row r="465" spans="1:31" x14ac:dyDescent="0.25">
      <c r="A465">
        <v>2</v>
      </c>
      <c r="B465">
        <v>146</v>
      </c>
      <c r="C465">
        <v>261</v>
      </c>
      <c r="D465" s="11" t="s">
        <v>149</v>
      </c>
      <c r="E465" t="s">
        <v>326</v>
      </c>
      <c r="F465" t="s">
        <v>191</v>
      </c>
      <c r="G465" s="11" t="s">
        <v>469</v>
      </c>
      <c r="H465">
        <v>5</v>
      </c>
      <c r="I465" s="11" t="s">
        <v>175</v>
      </c>
      <c r="J465" t="s">
        <v>356</v>
      </c>
      <c r="K465" t="s">
        <v>229</v>
      </c>
      <c r="L465" s="11" t="s">
        <v>39</v>
      </c>
      <c r="M465" s="11" t="s">
        <v>39</v>
      </c>
      <c r="N465" s="11" t="s">
        <v>39</v>
      </c>
      <c r="O465" s="11" t="s">
        <v>39</v>
      </c>
      <c r="P465" t="s">
        <v>9</v>
      </c>
      <c r="Q465">
        <v>30</v>
      </c>
      <c r="R465">
        <v>0</v>
      </c>
      <c r="S465">
        <v>0</v>
      </c>
      <c r="T465" t="str">
        <f t="shared" si="77"/>
        <v>-</v>
      </c>
      <c r="U465" t="str">
        <f t="shared" si="78"/>
        <v>-</v>
      </c>
      <c r="V465" t="str">
        <f t="shared" si="79"/>
        <v>-</v>
      </c>
      <c r="W465" t="str">
        <f t="shared" si="80"/>
        <v>-</v>
      </c>
      <c r="X465" t="str">
        <f t="shared" si="81"/>
        <v>-</v>
      </c>
      <c r="Y465" t="str">
        <f t="shared" si="82"/>
        <v>-</v>
      </c>
      <c r="Z465" t="str">
        <f t="shared" si="83"/>
        <v>-</v>
      </c>
      <c r="AA465" t="str">
        <f t="shared" si="84"/>
        <v>-</v>
      </c>
      <c r="AB465" t="str">
        <f>IF(_xlfn.IFNA(VLOOKUP(P465,Set_Ref!$B$6:$B$1048576,1,FALSE),"")&lt;&gt;"","-",FALSE)</f>
        <v>-</v>
      </c>
      <c r="AC465" t="str">
        <f t="shared" si="85"/>
        <v>-</v>
      </c>
      <c r="AD465" t="str">
        <f t="shared" si="86"/>
        <v>-</v>
      </c>
      <c r="AE465" t="b">
        <f t="shared" si="87"/>
        <v>1</v>
      </c>
    </row>
    <row r="466" spans="1:31" x14ac:dyDescent="0.25">
      <c r="A466">
        <v>2</v>
      </c>
      <c r="B466">
        <v>147</v>
      </c>
      <c r="C466">
        <v>261</v>
      </c>
      <c r="D466" s="11" t="s">
        <v>149</v>
      </c>
      <c r="E466" t="s">
        <v>326</v>
      </c>
      <c r="F466" t="s">
        <v>191</v>
      </c>
      <c r="G466" s="11" t="s">
        <v>469</v>
      </c>
      <c r="H466">
        <v>5</v>
      </c>
      <c r="I466" s="11" t="s">
        <v>175</v>
      </c>
      <c r="J466" t="s">
        <v>357</v>
      </c>
      <c r="K466" t="s">
        <v>229</v>
      </c>
      <c r="L466" s="11" t="s">
        <v>39</v>
      </c>
      <c r="M466" s="11" t="s">
        <v>39</v>
      </c>
      <c r="N466" s="11" t="s">
        <v>39</v>
      </c>
      <c r="O466" s="11" t="s">
        <v>39</v>
      </c>
      <c r="P466" t="s">
        <v>9</v>
      </c>
      <c r="Q466">
        <v>13</v>
      </c>
      <c r="R466">
        <v>0</v>
      </c>
      <c r="S466">
        <v>0</v>
      </c>
      <c r="T466" t="str">
        <f t="shared" si="77"/>
        <v>-</v>
      </c>
      <c r="U466" t="str">
        <f t="shared" si="78"/>
        <v>-</v>
      </c>
      <c r="V466" t="str">
        <f t="shared" si="79"/>
        <v>-</v>
      </c>
      <c r="W466" t="str">
        <f t="shared" si="80"/>
        <v>-</v>
      </c>
      <c r="X466" t="str">
        <f t="shared" si="81"/>
        <v>-</v>
      </c>
      <c r="Y466" t="str">
        <f t="shared" si="82"/>
        <v>-</v>
      </c>
      <c r="Z466" t="str">
        <f t="shared" si="83"/>
        <v>-</v>
      </c>
      <c r="AA466" t="str">
        <f t="shared" si="84"/>
        <v>-</v>
      </c>
      <c r="AB466" t="str">
        <f>IF(_xlfn.IFNA(VLOOKUP(P466,Set_Ref!$B$6:$B$1048576,1,FALSE),"")&lt;&gt;"","-",FALSE)</f>
        <v>-</v>
      </c>
      <c r="AC466" t="str">
        <f t="shared" si="85"/>
        <v>-</v>
      </c>
      <c r="AD466" t="str">
        <f t="shared" si="86"/>
        <v>-</v>
      </c>
      <c r="AE466" t="b">
        <f t="shared" si="87"/>
        <v>1</v>
      </c>
    </row>
    <row r="467" spans="1:31" x14ac:dyDescent="0.25">
      <c r="A467">
        <v>2</v>
      </c>
      <c r="B467">
        <v>148</v>
      </c>
      <c r="C467">
        <v>261</v>
      </c>
      <c r="D467" s="11" t="s">
        <v>149</v>
      </c>
      <c r="E467" t="s">
        <v>326</v>
      </c>
      <c r="F467" t="s">
        <v>191</v>
      </c>
      <c r="G467" s="11" t="s">
        <v>469</v>
      </c>
      <c r="H467">
        <v>5</v>
      </c>
      <c r="I467" s="11" t="s">
        <v>175</v>
      </c>
      <c r="J467" t="s">
        <v>358</v>
      </c>
      <c r="K467" t="s">
        <v>229</v>
      </c>
      <c r="L467" s="11" t="s">
        <v>39</v>
      </c>
      <c r="M467" s="11" t="s">
        <v>39</v>
      </c>
      <c r="N467" s="11" t="s">
        <v>39</v>
      </c>
      <c r="O467" s="11" t="s">
        <v>39</v>
      </c>
      <c r="P467" t="s">
        <v>9</v>
      </c>
      <c r="Q467">
        <v>11</v>
      </c>
      <c r="R467">
        <v>0</v>
      </c>
      <c r="S467">
        <v>0</v>
      </c>
      <c r="T467" t="str">
        <f t="shared" si="77"/>
        <v>-</v>
      </c>
      <c r="U467" t="str">
        <f t="shared" si="78"/>
        <v>-</v>
      </c>
      <c r="V467" t="str">
        <f t="shared" si="79"/>
        <v>-</v>
      </c>
      <c r="W467" t="str">
        <f t="shared" si="80"/>
        <v>-</v>
      </c>
      <c r="X467" t="str">
        <f t="shared" si="81"/>
        <v>-</v>
      </c>
      <c r="Y467" t="str">
        <f t="shared" si="82"/>
        <v>-</v>
      </c>
      <c r="Z467" t="str">
        <f t="shared" si="83"/>
        <v>-</v>
      </c>
      <c r="AA467" t="str">
        <f t="shared" si="84"/>
        <v>-</v>
      </c>
      <c r="AB467" t="str">
        <f>IF(_xlfn.IFNA(VLOOKUP(P467,Set_Ref!$B$6:$B$1048576,1,FALSE),"")&lt;&gt;"","-",FALSE)</f>
        <v>-</v>
      </c>
      <c r="AC467" t="str">
        <f t="shared" si="85"/>
        <v>-</v>
      </c>
      <c r="AD467" t="str">
        <f t="shared" si="86"/>
        <v>-</v>
      </c>
      <c r="AE467" t="b">
        <f t="shared" si="87"/>
        <v>1</v>
      </c>
    </row>
    <row r="468" spans="1:31" x14ac:dyDescent="0.25">
      <c r="A468">
        <v>2</v>
      </c>
      <c r="B468">
        <v>149</v>
      </c>
      <c r="C468">
        <v>261</v>
      </c>
      <c r="D468" s="11" t="s">
        <v>149</v>
      </c>
      <c r="E468" t="s">
        <v>326</v>
      </c>
      <c r="F468" t="s">
        <v>191</v>
      </c>
      <c r="G468" s="11" t="s">
        <v>469</v>
      </c>
      <c r="H468">
        <v>5</v>
      </c>
      <c r="I468" s="11" t="s">
        <v>175</v>
      </c>
      <c r="J468" t="s">
        <v>359</v>
      </c>
      <c r="K468" t="s">
        <v>229</v>
      </c>
      <c r="L468" s="11" t="s">
        <v>39</v>
      </c>
      <c r="M468" s="11" t="s">
        <v>39</v>
      </c>
      <c r="N468" s="11" t="s">
        <v>39</v>
      </c>
      <c r="O468" s="11" t="s">
        <v>39</v>
      </c>
      <c r="P468" t="s">
        <v>9</v>
      </c>
      <c r="Q468">
        <v>6</v>
      </c>
      <c r="R468">
        <v>0</v>
      </c>
      <c r="S468">
        <v>0</v>
      </c>
      <c r="T468" t="str">
        <f t="shared" si="77"/>
        <v>-</v>
      </c>
      <c r="U468" t="str">
        <f t="shared" si="78"/>
        <v>-</v>
      </c>
      <c r="V468" t="str">
        <f t="shared" si="79"/>
        <v>-</v>
      </c>
      <c r="W468" t="str">
        <f t="shared" si="80"/>
        <v>-</v>
      </c>
      <c r="X468" t="str">
        <f t="shared" si="81"/>
        <v>-</v>
      </c>
      <c r="Y468" t="str">
        <f t="shared" si="82"/>
        <v>-</v>
      </c>
      <c r="Z468" t="str">
        <f t="shared" si="83"/>
        <v>-</v>
      </c>
      <c r="AA468" t="str">
        <f t="shared" si="84"/>
        <v>-</v>
      </c>
      <c r="AB468" t="str">
        <f>IF(_xlfn.IFNA(VLOOKUP(P468,Set_Ref!$B$6:$B$1048576,1,FALSE),"")&lt;&gt;"","-",FALSE)</f>
        <v>-</v>
      </c>
      <c r="AC468" t="str">
        <f t="shared" si="85"/>
        <v>-</v>
      </c>
      <c r="AD468" t="str">
        <f t="shared" si="86"/>
        <v>-</v>
      </c>
      <c r="AE468" t="b">
        <f t="shared" si="87"/>
        <v>1</v>
      </c>
    </row>
    <row r="469" spans="1:31" x14ac:dyDescent="0.25">
      <c r="A469">
        <v>2</v>
      </c>
      <c r="B469">
        <v>150</v>
      </c>
      <c r="C469">
        <v>261</v>
      </c>
      <c r="D469" s="11" t="s">
        <v>149</v>
      </c>
      <c r="E469" t="s">
        <v>326</v>
      </c>
      <c r="F469" t="s">
        <v>191</v>
      </c>
      <c r="G469" s="11" t="s">
        <v>469</v>
      </c>
      <c r="H469">
        <v>5</v>
      </c>
      <c r="I469" s="11" t="s">
        <v>175</v>
      </c>
      <c r="J469" t="s">
        <v>360</v>
      </c>
      <c r="K469" t="s">
        <v>229</v>
      </c>
      <c r="L469" s="11" t="s">
        <v>39</v>
      </c>
      <c r="M469" s="11" t="s">
        <v>39</v>
      </c>
      <c r="N469" s="11" t="s">
        <v>39</v>
      </c>
      <c r="O469" s="11" t="s">
        <v>39</v>
      </c>
      <c r="P469" t="s">
        <v>9</v>
      </c>
      <c r="Q469">
        <v>3</v>
      </c>
      <c r="R469">
        <v>0</v>
      </c>
      <c r="S469">
        <v>0</v>
      </c>
      <c r="T469" t="str">
        <f t="shared" si="77"/>
        <v>-</v>
      </c>
      <c r="U469" t="str">
        <f t="shared" si="78"/>
        <v>-</v>
      </c>
      <c r="V469" t="str">
        <f t="shared" si="79"/>
        <v>-</v>
      </c>
      <c r="W469" t="str">
        <f t="shared" si="80"/>
        <v>-</v>
      </c>
      <c r="X469" t="str">
        <f t="shared" si="81"/>
        <v>-</v>
      </c>
      <c r="Y469" t="str">
        <f t="shared" si="82"/>
        <v>-</v>
      </c>
      <c r="Z469" t="str">
        <f t="shared" si="83"/>
        <v>-</v>
      </c>
      <c r="AA469" t="str">
        <f t="shared" si="84"/>
        <v>-</v>
      </c>
      <c r="AB469" t="str">
        <f>IF(_xlfn.IFNA(VLOOKUP(P469,Set_Ref!$B$6:$B$1048576,1,FALSE),"")&lt;&gt;"","-",FALSE)</f>
        <v>-</v>
      </c>
      <c r="AC469" t="str">
        <f t="shared" si="85"/>
        <v>-</v>
      </c>
      <c r="AD469" t="str">
        <f t="shared" si="86"/>
        <v>-</v>
      </c>
      <c r="AE469" t="b">
        <f t="shared" si="87"/>
        <v>1</v>
      </c>
    </row>
    <row r="470" spans="1:31" x14ac:dyDescent="0.25">
      <c r="A470">
        <v>2</v>
      </c>
      <c r="B470">
        <v>151</v>
      </c>
      <c r="C470">
        <v>261</v>
      </c>
      <c r="D470" s="11" t="s">
        <v>149</v>
      </c>
      <c r="E470" t="s">
        <v>326</v>
      </c>
      <c r="F470" t="s">
        <v>191</v>
      </c>
      <c r="G470" s="11" t="s">
        <v>469</v>
      </c>
      <c r="H470">
        <v>5</v>
      </c>
      <c r="I470" s="11" t="s">
        <v>175</v>
      </c>
      <c r="J470" t="s">
        <v>361</v>
      </c>
      <c r="K470" t="s">
        <v>229</v>
      </c>
      <c r="L470" s="11" t="s">
        <v>39</v>
      </c>
      <c r="M470" s="11" t="s">
        <v>39</v>
      </c>
      <c r="N470" s="11" t="s">
        <v>39</v>
      </c>
      <c r="O470" s="11" t="s">
        <v>39</v>
      </c>
      <c r="P470" t="s">
        <v>9</v>
      </c>
      <c r="Q470">
        <v>6</v>
      </c>
      <c r="R470">
        <v>0</v>
      </c>
      <c r="S470">
        <v>0</v>
      </c>
      <c r="T470" t="str">
        <f t="shared" si="77"/>
        <v>-</v>
      </c>
      <c r="U470" t="str">
        <f t="shared" si="78"/>
        <v>-</v>
      </c>
      <c r="V470" t="str">
        <f t="shared" si="79"/>
        <v>-</v>
      </c>
      <c r="W470" t="str">
        <f t="shared" si="80"/>
        <v>-</v>
      </c>
      <c r="X470" t="str">
        <f t="shared" si="81"/>
        <v>-</v>
      </c>
      <c r="Y470" t="str">
        <f t="shared" si="82"/>
        <v>-</v>
      </c>
      <c r="Z470" t="str">
        <f t="shared" si="83"/>
        <v>-</v>
      </c>
      <c r="AA470" t="str">
        <f t="shared" si="84"/>
        <v>-</v>
      </c>
      <c r="AB470" t="str">
        <f>IF(_xlfn.IFNA(VLOOKUP(P470,Set_Ref!$B$6:$B$1048576,1,FALSE),"")&lt;&gt;"","-",FALSE)</f>
        <v>-</v>
      </c>
      <c r="AC470" t="str">
        <f t="shared" si="85"/>
        <v>-</v>
      </c>
      <c r="AD470" t="str">
        <f t="shared" si="86"/>
        <v>-</v>
      </c>
      <c r="AE470" t="b">
        <f t="shared" si="87"/>
        <v>1</v>
      </c>
    </row>
    <row r="471" spans="1:31" x14ac:dyDescent="0.25">
      <c r="A471">
        <v>2</v>
      </c>
      <c r="B471">
        <v>152</v>
      </c>
      <c r="C471">
        <v>261</v>
      </c>
      <c r="D471" s="11" t="s">
        <v>149</v>
      </c>
      <c r="E471" t="s">
        <v>326</v>
      </c>
      <c r="F471" t="s">
        <v>191</v>
      </c>
      <c r="G471" s="11" t="s">
        <v>469</v>
      </c>
      <c r="H471">
        <v>5</v>
      </c>
      <c r="I471" s="11" t="s">
        <v>175</v>
      </c>
      <c r="J471" t="s">
        <v>362</v>
      </c>
      <c r="K471" t="s">
        <v>229</v>
      </c>
      <c r="L471" s="11" t="s">
        <v>39</v>
      </c>
      <c r="M471" s="11" t="s">
        <v>39</v>
      </c>
      <c r="N471" s="11" t="s">
        <v>39</v>
      </c>
      <c r="O471" s="11" t="s">
        <v>39</v>
      </c>
      <c r="P471" t="s">
        <v>9</v>
      </c>
      <c r="Q471">
        <v>34</v>
      </c>
      <c r="R471">
        <v>0</v>
      </c>
      <c r="S471">
        <v>0</v>
      </c>
      <c r="T471" t="str">
        <f t="shared" si="77"/>
        <v>-</v>
      </c>
      <c r="U471" t="str">
        <f t="shared" si="78"/>
        <v>-</v>
      </c>
      <c r="V471" t="str">
        <f t="shared" si="79"/>
        <v>-</v>
      </c>
      <c r="W471" t="str">
        <f t="shared" si="80"/>
        <v>-</v>
      </c>
      <c r="X471" t="str">
        <f t="shared" si="81"/>
        <v>-</v>
      </c>
      <c r="Y471" t="str">
        <f t="shared" si="82"/>
        <v>-</v>
      </c>
      <c r="Z471" t="str">
        <f t="shared" si="83"/>
        <v>-</v>
      </c>
      <c r="AA471" t="str">
        <f t="shared" si="84"/>
        <v>-</v>
      </c>
      <c r="AB471" t="str">
        <f>IF(_xlfn.IFNA(VLOOKUP(P471,Set_Ref!$B$6:$B$1048576,1,FALSE),"")&lt;&gt;"","-",FALSE)</f>
        <v>-</v>
      </c>
      <c r="AC471" t="str">
        <f t="shared" si="85"/>
        <v>-</v>
      </c>
      <c r="AD471" t="str">
        <f t="shared" si="86"/>
        <v>-</v>
      </c>
      <c r="AE471" t="b">
        <f t="shared" si="87"/>
        <v>1</v>
      </c>
    </row>
    <row r="472" spans="1:31" x14ac:dyDescent="0.25">
      <c r="A472">
        <v>2</v>
      </c>
      <c r="B472">
        <v>153</v>
      </c>
      <c r="C472">
        <v>261</v>
      </c>
      <c r="D472" s="11" t="s">
        <v>149</v>
      </c>
      <c r="E472" t="s">
        <v>326</v>
      </c>
      <c r="F472" t="s">
        <v>191</v>
      </c>
      <c r="G472" s="11" t="s">
        <v>469</v>
      </c>
      <c r="H472">
        <v>5</v>
      </c>
      <c r="I472" s="11" t="s">
        <v>175</v>
      </c>
      <c r="J472" t="s">
        <v>363</v>
      </c>
      <c r="K472" t="s">
        <v>229</v>
      </c>
      <c r="L472" s="11" t="s">
        <v>39</v>
      </c>
      <c r="M472" s="11" t="s">
        <v>39</v>
      </c>
      <c r="N472" s="11" t="s">
        <v>39</v>
      </c>
      <c r="O472" s="11" t="s">
        <v>39</v>
      </c>
      <c r="P472" t="s">
        <v>9</v>
      </c>
      <c r="Q472">
        <v>34</v>
      </c>
      <c r="R472">
        <v>0</v>
      </c>
      <c r="S472">
        <v>0</v>
      </c>
      <c r="T472" t="str">
        <f t="shared" si="77"/>
        <v>-</v>
      </c>
      <c r="U472" t="str">
        <f t="shared" si="78"/>
        <v>-</v>
      </c>
      <c r="V472" t="str">
        <f t="shared" si="79"/>
        <v>-</v>
      </c>
      <c r="W472" t="str">
        <f t="shared" si="80"/>
        <v>-</v>
      </c>
      <c r="X472" t="str">
        <f t="shared" si="81"/>
        <v>-</v>
      </c>
      <c r="Y472" t="str">
        <f t="shared" si="82"/>
        <v>-</v>
      </c>
      <c r="Z472" t="str">
        <f t="shared" si="83"/>
        <v>-</v>
      </c>
      <c r="AA472" t="str">
        <f t="shared" si="84"/>
        <v>-</v>
      </c>
      <c r="AB472" t="str">
        <f>IF(_xlfn.IFNA(VLOOKUP(P472,Set_Ref!$B$6:$B$1048576,1,FALSE),"")&lt;&gt;"","-",FALSE)</f>
        <v>-</v>
      </c>
      <c r="AC472" t="str">
        <f t="shared" si="85"/>
        <v>-</v>
      </c>
      <c r="AD472" t="str">
        <f t="shared" si="86"/>
        <v>-</v>
      </c>
      <c r="AE472" t="b">
        <f t="shared" si="87"/>
        <v>1</v>
      </c>
    </row>
    <row r="473" spans="1:31" x14ac:dyDescent="0.25">
      <c r="A473">
        <v>2</v>
      </c>
      <c r="B473">
        <v>154</v>
      </c>
      <c r="C473">
        <v>261</v>
      </c>
      <c r="D473" s="11" t="s">
        <v>149</v>
      </c>
      <c r="E473" t="s">
        <v>326</v>
      </c>
      <c r="F473" t="s">
        <v>191</v>
      </c>
      <c r="G473" s="11" t="s">
        <v>469</v>
      </c>
      <c r="H473">
        <v>5</v>
      </c>
      <c r="I473" s="11" t="s">
        <v>175</v>
      </c>
      <c r="J473" t="s">
        <v>364</v>
      </c>
      <c r="K473" t="s">
        <v>229</v>
      </c>
      <c r="L473" s="11" t="s">
        <v>39</v>
      </c>
      <c r="M473" s="11" t="s">
        <v>39</v>
      </c>
      <c r="N473" s="11" t="s">
        <v>39</v>
      </c>
      <c r="O473" s="11" t="s">
        <v>39</v>
      </c>
      <c r="P473" t="s">
        <v>9</v>
      </c>
      <c r="Q473">
        <v>50</v>
      </c>
      <c r="R473">
        <v>0</v>
      </c>
      <c r="S473">
        <v>0</v>
      </c>
      <c r="T473" t="str">
        <f t="shared" si="77"/>
        <v>-</v>
      </c>
      <c r="U473" t="str">
        <f t="shared" si="78"/>
        <v>-</v>
      </c>
      <c r="V473" t="str">
        <f t="shared" si="79"/>
        <v>-</v>
      </c>
      <c r="W473" t="str">
        <f t="shared" si="80"/>
        <v>-</v>
      </c>
      <c r="X473" t="str">
        <f t="shared" si="81"/>
        <v>-</v>
      </c>
      <c r="Y473" t="str">
        <f t="shared" si="82"/>
        <v>-</v>
      </c>
      <c r="Z473" t="str">
        <f t="shared" si="83"/>
        <v>-</v>
      </c>
      <c r="AA473" t="str">
        <f t="shared" si="84"/>
        <v>-</v>
      </c>
      <c r="AB473" t="str">
        <f>IF(_xlfn.IFNA(VLOOKUP(P473,Set_Ref!$B$6:$B$1048576,1,FALSE),"")&lt;&gt;"","-",FALSE)</f>
        <v>-</v>
      </c>
      <c r="AC473" t="str">
        <f t="shared" si="85"/>
        <v>-</v>
      </c>
      <c r="AD473" t="str">
        <f t="shared" si="86"/>
        <v>-</v>
      </c>
      <c r="AE473" t="b">
        <f t="shared" si="87"/>
        <v>1</v>
      </c>
    </row>
    <row r="474" spans="1:31" x14ac:dyDescent="0.25">
      <c r="A474">
        <v>2</v>
      </c>
      <c r="B474">
        <v>155</v>
      </c>
      <c r="C474">
        <v>261</v>
      </c>
      <c r="D474" s="11" t="s">
        <v>149</v>
      </c>
      <c r="E474" t="s">
        <v>326</v>
      </c>
      <c r="F474" t="s">
        <v>191</v>
      </c>
      <c r="G474" s="11" t="s">
        <v>469</v>
      </c>
      <c r="H474">
        <v>5</v>
      </c>
      <c r="I474" s="11" t="s">
        <v>175</v>
      </c>
      <c r="J474" t="s">
        <v>365</v>
      </c>
      <c r="K474" t="s">
        <v>229</v>
      </c>
      <c r="L474" s="11" t="s">
        <v>39</v>
      </c>
      <c r="M474" s="11" t="s">
        <v>39</v>
      </c>
      <c r="N474" s="11" t="s">
        <v>39</v>
      </c>
      <c r="O474" s="11" t="s">
        <v>39</v>
      </c>
      <c r="P474" t="s">
        <v>9</v>
      </c>
      <c r="Q474">
        <v>25</v>
      </c>
      <c r="R474">
        <v>0</v>
      </c>
      <c r="S474">
        <v>0</v>
      </c>
      <c r="T474" t="str">
        <f t="shared" si="77"/>
        <v>-</v>
      </c>
      <c r="U474" t="str">
        <f t="shared" si="78"/>
        <v>-</v>
      </c>
      <c r="V474" t="str">
        <f t="shared" si="79"/>
        <v>-</v>
      </c>
      <c r="W474" t="str">
        <f t="shared" si="80"/>
        <v>-</v>
      </c>
      <c r="X474" t="str">
        <f t="shared" si="81"/>
        <v>-</v>
      </c>
      <c r="Y474" t="str">
        <f t="shared" si="82"/>
        <v>-</v>
      </c>
      <c r="Z474" t="str">
        <f t="shared" si="83"/>
        <v>-</v>
      </c>
      <c r="AA474" t="str">
        <f t="shared" si="84"/>
        <v>-</v>
      </c>
      <c r="AB474" t="str">
        <f>IF(_xlfn.IFNA(VLOOKUP(P474,Set_Ref!$B$6:$B$1048576,1,FALSE),"")&lt;&gt;"","-",FALSE)</f>
        <v>-</v>
      </c>
      <c r="AC474" t="str">
        <f t="shared" si="85"/>
        <v>-</v>
      </c>
      <c r="AD474" t="str">
        <f t="shared" si="86"/>
        <v>-</v>
      </c>
      <c r="AE474" t="b">
        <f t="shared" si="87"/>
        <v>1</v>
      </c>
    </row>
    <row r="475" spans="1:31" x14ac:dyDescent="0.25">
      <c r="A475">
        <v>2</v>
      </c>
      <c r="B475">
        <v>156</v>
      </c>
      <c r="C475">
        <v>261</v>
      </c>
      <c r="D475" s="11" t="s">
        <v>149</v>
      </c>
      <c r="E475" t="s">
        <v>326</v>
      </c>
      <c r="F475" t="s">
        <v>191</v>
      </c>
      <c r="G475" s="11" t="s">
        <v>469</v>
      </c>
      <c r="H475">
        <v>5</v>
      </c>
      <c r="I475" s="11" t="s">
        <v>175</v>
      </c>
      <c r="J475" t="s">
        <v>366</v>
      </c>
      <c r="K475" t="s">
        <v>229</v>
      </c>
      <c r="L475" s="11" t="s">
        <v>39</v>
      </c>
      <c r="M475" s="11" t="s">
        <v>39</v>
      </c>
      <c r="N475" s="11" t="s">
        <v>39</v>
      </c>
      <c r="O475" s="11" t="s">
        <v>39</v>
      </c>
      <c r="P475" t="s">
        <v>9</v>
      </c>
      <c r="Q475">
        <v>26</v>
      </c>
      <c r="R475">
        <v>0</v>
      </c>
      <c r="S475">
        <v>0</v>
      </c>
      <c r="T475" t="str">
        <f t="shared" si="77"/>
        <v>-</v>
      </c>
      <c r="U475" t="str">
        <f t="shared" si="78"/>
        <v>-</v>
      </c>
      <c r="V475" t="str">
        <f t="shared" si="79"/>
        <v>-</v>
      </c>
      <c r="W475" t="str">
        <f t="shared" si="80"/>
        <v>-</v>
      </c>
      <c r="X475" t="str">
        <f t="shared" si="81"/>
        <v>-</v>
      </c>
      <c r="Y475" t="str">
        <f t="shared" si="82"/>
        <v>-</v>
      </c>
      <c r="Z475" t="str">
        <f t="shared" si="83"/>
        <v>-</v>
      </c>
      <c r="AA475" t="str">
        <f t="shared" si="84"/>
        <v>-</v>
      </c>
      <c r="AB475" t="str">
        <f>IF(_xlfn.IFNA(VLOOKUP(P475,Set_Ref!$B$6:$B$1048576,1,FALSE),"")&lt;&gt;"","-",FALSE)</f>
        <v>-</v>
      </c>
      <c r="AC475" t="str">
        <f t="shared" si="85"/>
        <v>-</v>
      </c>
      <c r="AD475" t="str">
        <f t="shared" si="86"/>
        <v>-</v>
      </c>
      <c r="AE475" t="b">
        <f t="shared" si="87"/>
        <v>1</v>
      </c>
    </row>
    <row r="476" spans="1:31" x14ac:dyDescent="0.25">
      <c r="A476">
        <v>2</v>
      </c>
      <c r="B476">
        <v>157</v>
      </c>
      <c r="C476">
        <v>261</v>
      </c>
      <c r="D476" s="11" t="s">
        <v>149</v>
      </c>
      <c r="E476" t="s">
        <v>326</v>
      </c>
      <c r="F476" t="s">
        <v>191</v>
      </c>
      <c r="G476" s="11" t="s">
        <v>469</v>
      </c>
      <c r="H476">
        <v>5</v>
      </c>
      <c r="I476" s="11" t="s">
        <v>175</v>
      </c>
      <c r="J476" t="s">
        <v>367</v>
      </c>
      <c r="K476" t="s">
        <v>229</v>
      </c>
      <c r="L476" s="11" t="s">
        <v>39</v>
      </c>
      <c r="M476" s="11" t="s">
        <v>39</v>
      </c>
      <c r="N476" s="11" t="s">
        <v>39</v>
      </c>
      <c r="O476" s="11" t="s">
        <v>39</v>
      </c>
      <c r="P476" t="s">
        <v>9</v>
      </c>
      <c r="Q476">
        <v>10</v>
      </c>
      <c r="R476">
        <v>0</v>
      </c>
      <c r="S476">
        <v>0</v>
      </c>
      <c r="T476" t="str">
        <f t="shared" si="77"/>
        <v>-</v>
      </c>
      <c r="U476" t="str">
        <f t="shared" si="78"/>
        <v>-</v>
      </c>
      <c r="V476" t="str">
        <f t="shared" si="79"/>
        <v>-</v>
      </c>
      <c r="W476" t="str">
        <f t="shared" si="80"/>
        <v>-</v>
      </c>
      <c r="X476" t="str">
        <f t="shared" si="81"/>
        <v>-</v>
      </c>
      <c r="Y476" t="str">
        <f t="shared" si="82"/>
        <v>-</v>
      </c>
      <c r="Z476" t="str">
        <f t="shared" si="83"/>
        <v>-</v>
      </c>
      <c r="AA476" t="str">
        <f t="shared" si="84"/>
        <v>-</v>
      </c>
      <c r="AB476" t="str">
        <f>IF(_xlfn.IFNA(VLOOKUP(P476,Set_Ref!$B$6:$B$1048576,1,FALSE),"")&lt;&gt;"","-",FALSE)</f>
        <v>-</v>
      </c>
      <c r="AC476" t="str">
        <f t="shared" si="85"/>
        <v>-</v>
      </c>
      <c r="AD476" t="str">
        <f t="shared" si="86"/>
        <v>-</v>
      </c>
      <c r="AE476" t="b">
        <f t="shared" si="87"/>
        <v>1</v>
      </c>
    </row>
    <row r="477" spans="1:31" x14ac:dyDescent="0.25">
      <c r="A477">
        <v>2</v>
      </c>
      <c r="B477">
        <v>158</v>
      </c>
      <c r="C477">
        <v>261</v>
      </c>
      <c r="D477" s="11" t="s">
        <v>149</v>
      </c>
      <c r="E477" t="s">
        <v>326</v>
      </c>
      <c r="F477" t="s">
        <v>191</v>
      </c>
      <c r="G477" s="11" t="s">
        <v>469</v>
      </c>
      <c r="H477">
        <v>5</v>
      </c>
      <c r="I477" s="11" t="s">
        <v>175</v>
      </c>
      <c r="J477" t="s">
        <v>368</v>
      </c>
      <c r="K477" t="s">
        <v>229</v>
      </c>
      <c r="L477" s="11" t="s">
        <v>39</v>
      </c>
      <c r="M477" s="11" t="s">
        <v>39</v>
      </c>
      <c r="N477" s="11" t="s">
        <v>39</v>
      </c>
      <c r="O477" s="11" t="s">
        <v>39</v>
      </c>
      <c r="P477" t="s">
        <v>9</v>
      </c>
      <c r="Q477">
        <v>4</v>
      </c>
      <c r="R477">
        <v>0</v>
      </c>
      <c r="S477">
        <v>0</v>
      </c>
      <c r="T477" t="str">
        <f t="shared" si="77"/>
        <v>-</v>
      </c>
      <c r="U477" t="str">
        <f t="shared" si="78"/>
        <v>-</v>
      </c>
      <c r="V477" t="str">
        <f t="shared" si="79"/>
        <v>-</v>
      </c>
      <c r="W477" t="str">
        <f t="shared" si="80"/>
        <v>-</v>
      </c>
      <c r="X477" t="str">
        <f t="shared" si="81"/>
        <v>-</v>
      </c>
      <c r="Y477" t="str">
        <f t="shared" si="82"/>
        <v>-</v>
      </c>
      <c r="Z477" t="str">
        <f t="shared" si="83"/>
        <v>-</v>
      </c>
      <c r="AA477" t="str">
        <f t="shared" si="84"/>
        <v>-</v>
      </c>
      <c r="AB477" t="str">
        <f>IF(_xlfn.IFNA(VLOOKUP(P477,Set_Ref!$B$6:$B$1048576,1,FALSE),"")&lt;&gt;"","-",FALSE)</f>
        <v>-</v>
      </c>
      <c r="AC477" t="str">
        <f t="shared" si="85"/>
        <v>-</v>
      </c>
      <c r="AD477" t="str">
        <f t="shared" si="86"/>
        <v>-</v>
      </c>
      <c r="AE477" t="b">
        <f t="shared" si="87"/>
        <v>1</v>
      </c>
    </row>
    <row r="478" spans="1:31" x14ac:dyDescent="0.25">
      <c r="A478">
        <v>2</v>
      </c>
      <c r="B478">
        <v>159</v>
      </c>
      <c r="C478">
        <v>261</v>
      </c>
      <c r="D478" s="11" t="s">
        <v>149</v>
      </c>
      <c r="E478" t="s">
        <v>326</v>
      </c>
      <c r="F478" t="s">
        <v>191</v>
      </c>
      <c r="G478" s="11" t="s">
        <v>469</v>
      </c>
      <c r="H478">
        <v>5</v>
      </c>
      <c r="I478" s="11" t="s">
        <v>175</v>
      </c>
      <c r="J478" t="s">
        <v>369</v>
      </c>
      <c r="K478" t="s">
        <v>229</v>
      </c>
      <c r="L478" s="11" t="s">
        <v>39</v>
      </c>
      <c r="M478" s="11" t="s">
        <v>39</v>
      </c>
      <c r="N478" s="11" t="s">
        <v>39</v>
      </c>
      <c r="O478" s="11" t="s">
        <v>39</v>
      </c>
      <c r="P478" t="s">
        <v>9</v>
      </c>
      <c r="Q478">
        <v>6</v>
      </c>
      <c r="R478">
        <v>0</v>
      </c>
      <c r="S478">
        <v>0</v>
      </c>
      <c r="T478" t="str">
        <f t="shared" si="77"/>
        <v>-</v>
      </c>
      <c r="U478" t="str">
        <f t="shared" si="78"/>
        <v>-</v>
      </c>
      <c r="V478" t="str">
        <f t="shared" si="79"/>
        <v>-</v>
      </c>
      <c r="W478" t="str">
        <f t="shared" si="80"/>
        <v>-</v>
      </c>
      <c r="X478" t="str">
        <f t="shared" si="81"/>
        <v>-</v>
      </c>
      <c r="Y478" t="str">
        <f t="shared" si="82"/>
        <v>-</v>
      </c>
      <c r="Z478" t="str">
        <f t="shared" si="83"/>
        <v>-</v>
      </c>
      <c r="AA478" t="str">
        <f t="shared" si="84"/>
        <v>-</v>
      </c>
      <c r="AB478" t="str">
        <f>IF(_xlfn.IFNA(VLOOKUP(P478,Set_Ref!$B$6:$B$1048576,1,FALSE),"")&lt;&gt;"","-",FALSE)</f>
        <v>-</v>
      </c>
      <c r="AC478" t="str">
        <f t="shared" si="85"/>
        <v>-</v>
      </c>
      <c r="AD478" t="str">
        <f t="shared" si="86"/>
        <v>-</v>
      </c>
      <c r="AE478" t="b">
        <f t="shared" si="87"/>
        <v>1</v>
      </c>
    </row>
    <row r="479" spans="1:31" x14ac:dyDescent="0.25">
      <c r="A479">
        <v>2</v>
      </c>
      <c r="B479">
        <v>160</v>
      </c>
      <c r="C479">
        <v>261</v>
      </c>
      <c r="D479" s="11" t="s">
        <v>149</v>
      </c>
      <c r="E479" t="s">
        <v>326</v>
      </c>
      <c r="F479" t="s">
        <v>191</v>
      </c>
      <c r="G479" s="11" t="s">
        <v>469</v>
      </c>
      <c r="H479">
        <v>5</v>
      </c>
      <c r="I479" s="11" t="s">
        <v>175</v>
      </c>
      <c r="J479" t="s">
        <v>370</v>
      </c>
      <c r="K479" t="s">
        <v>229</v>
      </c>
      <c r="L479" s="11" t="s">
        <v>39</v>
      </c>
      <c r="M479" s="11" t="s">
        <v>39</v>
      </c>
      <c r="N479" s="11" t="s">
        <v>39</v>
      </c>
      <c r="O479" s="11" t="s">
        <v>39</v>
      </c>
      <c r="P479" t="s">
        <v>9</v>
      </c>
      <c r="Q479">
        <v>3</v>
      </c>
      <c r="R479">
        <v>0</v>
      </c>
      <c r="S479">
        <v>0</v>
      </c>
      <c r="T479" t="str">
        <f t="shared" si="77"/>
        <v>-</v>
      </c>
      <c r="U479" t="str">
        <f t="shared" si="78"/>
        <v>-</v>
      </c>
      <c r="V479" t="str">
        <f t="shared" si="79"/>
        <v>-</v>
      </c>
      <c r="W479" t="str">
        <f t="shared" si="80"/>
        <v>-</v>
      </c>
      <c r="X479" t="str">
        <f t="shared" si="81"/>
        <v>-</v>
      </c>
      <c r="Y479" t="str">
        <f t="shared" si="82"/>
        <v>-</v>
      </c>
      <c r="Z479" t="str">
        <f t="shared" si="83"/>
        <v>-</v>
      </c>
      <c r="AA479" t="str">
        <f t="shared" si="84"/>
        <v>-</v>
      </c>
      <c r="AB479" t="str">
        <f>IF(_xlfn.IFNA(VLOOKUP(P479,Set_Ref!$B$6:$B$1048576,1,FALSE),"")&lt;&gt;"","-",FALSE)</f>
        <v>-</v>
      </c>
      <c r="AC479" t="str">
        <f t="shared" si="85"/>
        <v>-</v>
      </c>
      <c r="AD479" t="str">
        <f t="shared" si="86"/>
        <v>-</v>
      </c>
      <c r="AE479" t="b">
        <f t="shared" si="87"/>
        <v>1</v>
      </c>
    </row>
    <row r="480" spans="1:31" x14ac:dyDescent="0.25">
      <c r="A480">
        <v>2</v>
      </c>
      <c r="B480">
        <v>161</v>
      </c>
      <c r="C480">
        <v>261</v>
      </c>
      <c r="D480" s="11" t="s">
        <v>149</v>
      </c>
      <c r="E480" t="s">
        <v>326</v>
      </c>
      <c r="F480" t="s">
        <v>191</v>
      </c>
      <c r="G480" s="11" t="s">
        <v>469</v>
      </c>
      <c r="H480">
        <v>5</v>
      </c>
      <c r="I480" s="11" t="s">
        <v>175</v>
      </c>
      <c r="J480" t="s">
        <v>371</v>
      </c>
      <c r="K480" t="s">
        <v>229</v>
      </c>
      <c r="L480" s="11" t="s">
        <v>39</v>
      </c>
      <c r="M480" s="11" t="s">
        <v>39</v>
      </c>
      <c r="N480" s="11" t="s">
        <v>39</v>
      </c>
      <c r="O480" s="11" t="s">
        <v>39</v>
      </c>
      <c r="P480" t="s">
        <v>9</v>
      </c>
      <c r="Q480">
        <v>3</v>
      </c>
      <c r="R480">
        <v>0</v>
      </c>
      <c r="S480">
        <v>0</v>
      </c>
      <c r="T480" t="str">
        <f t="shared" si="77"/>
        <v>-</v>
      </c>
      <c r="U480" t="str">
        <f t="shared" si="78"/>
        <v>-</v>
      </c>
      <c r="V480" t="str">
        <f t="shared" si="79"/>
        <v>-</v>
      </c>
      <c r="W480" t="str">
        <f t="shared" si="80"/>
        <v>-</v>
      </c>
      <c r="X480" t="str">
        <f t="shared" si="81"/>
        <v>-</v>
      </c>
      <c r="Y480" t="str">
        <f t="shared" si="82"/>
        <v>-</v>
      </c>
      <c r="Z480" t="str">
        <f t="shared" si="83"/>
        <v>-</v>
      </c>
      <c r="AA480" t="str">
        <f t="shared" si="84"/>
        <v>-</v>
      </c>
      <c r="AB480" t="str">
        <f>IF(_xlfn.IFNA(VLOOKUP(P480,Set_Ref!$B$6:$B$1048576,1,FALSE),"")&lt;&gt;"","-",FALSE)</f>
        <v>-</v>
      </c>
      <c r="AC480" t="str">
        <f t="shared" si="85"/>
        <v>-</v>
      </c>
      <c r="AD480" t="str">
        <f t="shared" si="86"/>
        <v>-</v>
      </c>
      <c r="AE480" t="b">
        <f t="shared" si="87"/>
        <v>1</v>
      </c>
    </row>
    <row r="481" spans="1:31" x14ac:dyDescent="0.25">
      <c r="A481">
        <v>2</v>
      </c>
      <c r="B481">
        <v>162</v>
      </c>
      <c r="C481">
        <v>261</v>
      </c>
      <c r="D481" s="11" t="s">
        <v>149</v>
      </c>
      <c r="E481" t="s">
        <v>326</v>
      </c>
      <c r="F481" t="s">
        <v>191</v>
      </c>
      <c r="G481" s="11" t="s">
        <v>469</v>
      </c>
      <c r="H481">
        <v>1</v>
      </c>
      <c r="I481" s="11" t="s">
        <v>172</v>
      </c>
      <c r="J481" t="s">
        <v>315</v>
      </c>
      <c r="K481" t="s">
        <v>243</v>
      </c>
      <c r="L481" s="11" t="s">
        <v>39</v>
      </c>
      <c r="M481" s="11" t="s">
        <v>39</v>
      </c>
      <c r="N481" s="11" t="s">
        <v>39</v>
      </c>
      <c r="O481" s="11" t="s">
        <v>39</v>
      </c>
      <c r="P481" t="s">
        <v>11</v>
      </c>
      <c r="Q481">
        <v>3</v>
      </c>
      <c r="R481">
        <v>0</v>
      </c>
      <c r="S481">
        <v>0</v>
      </c>
      <c r="T481" t="str">
        <f t="shared" si="77"/>
        <v>-</v>
      </c>
      <c r="U481" t="str">
        <f t="shared" si="78"/>
        <v>-</v>
      </c>
      <c r="V481" t="str">
        <f t="shared" si="79"/>
        <v>-</v>
      </c>
      <c r="W481" t="str">
        <f t="shared" si="80"/>
        <v>-</v>
      </c>
      <c r="X481" t="str">
        <f t="shared" si="81"/>
        <v>-</v>
      </c>
      <c r="Y481" t="str">
        <f t="shared" si="82"/>
        <v>-</v>
      </c>
      <c r="Z481" t="str">
        <f t="shared" si="83"/>
        <v>-</v>
      </c>
      <c r="AA481" t="str">
        <f t="shared" si="84"/>
        <v>-</v>
      </c>
      <c r="AB481" t="str">
        <f>IF(_xlfn.IFNA(VLOOKUP(P481,Set_Ref!$B$6:$B$1048576,1,FALSE),"")&lt;&gt;"","-",FALSE)</f>
        <v>-</v>
      </c>
      <c r="AC481" t="str">
        <f t="shared" si="85"/>
        <v>-</v>
      </c>
      <c r="AD481" t="str">
        <f t="shared" si="86"/>
        <v>-</v>
      </c>
      <c r="AE481" t="b">
        <f t="shared" si="87"/>
        <v>1</v>
      </c>
    </row>
    <row r="482" spans="1:31" x14ac:dyDescent="0.25">
      <c r="A482">
        <v>2</v>
      </c>
      <c r="B482">
        <v>163</v>
      </c>
      <c r="C482">
        <v>261</v>
      </c>
      <c r="D482" s="11" t="s">
        <v>149</v>
      </c>
      <c r="E482" t="s">
        <v>326</v>
      </c>
      <c r="F482" t="s">
        <v>191</v>
      </c>
      <c r="G482" s="11" t="s">
        <v>469</v>
      </c>
      <c r="H482">
        <v>2</v>
      </c>
      <c r="I482" s="11" t="s">
        <v>427</v>
      </c>
      <c r="J482" t="s">
        <v>372</v>
      </c>
      <c r="K482" t="s">
        <v>253</v>
      </c>
      <c r="L482" s="11" t="s">
        <v>39</v>
      </c>
      <c r="M482" s="11" t="s">
        <v>39</v>
      </c>
      <c r="N482" s="11" t="s">
        <v>39</v>
      </c>
      <c r="O482" s="11" t="s">
        <v>39</v>
      </c>
      <c r="P482" t="s">
        <v>9</v>
      </c>
      <c r="Q482">
        <v>200</v>
      </c>
      <c r="R482">
        <v>0</v>
      </c>
      <c r="S482">
        <v>0</v>
      </c>
      <c r="T482" t="str">
        <f t="shared" si="77"/>
        <v>-</v>
      </c>
      <c r="U482" t="str">
        <f t="shared" si="78"/>
        <v>-</v>
      </c>
      <c r="V482" t="str">
        <f t="shared" si="79"/>
        <v>-</v>
      </c>
      <c r="W482" t="str">
        <f t="shared" si="80"/>
        <v>-</v>
      </c>
      <c r="X482" t="str">
        <f t="shared" si="81"/>
        <v>-</v>
      </c>
      <c r="Y482" t="str">
        <f t="shared" si="82"/>
        <v>-</v>
      </c>
      <c r="Z482" t="str">
        <f t="shared" si="83"/>
        <v>-</v>
      </c>
      <c r="AA482" t="str">
        <f t="shared" si="84"/>
        <v>-</v>
      </c>
      <c r="AB482" t="str">
        <f>IF(_xlfn.IFNA(VLOOKUP(P482,Set_Ref!$B$6:$B$1048576,1,FALSE),"")&lt;&gt;"","-",FALSE)</f>
        <v>-</v>
      </c>
      <c r="AC482" t="str">
        <f t="shared" si="85"/>
        <v>-</v>
      </c>
      <c r="AD482" t="str">
        <f t="shared" si="86"/>
        <v>-</v>
      </c>
      <c r="AE482" t="b">
        <f t="shared" si="87"/>
        <v>1</v>
      </c>
    </row>
    <row r="483" spans="1:31" x14ac:dyDescent="0.25">
      <c r="A483">
        <v>2</v>
      </c>
      <c r="B483">
        <v>164</v>
      </c>
      <c r="C483">
        <v>261</v>
      </c>
      <c r="D483" s="11" t="s">
        <v>149</v>
      </c>
      <c r="E483" t="s">
        <v>326</v>
      </c>
      <c r="F483" t="s">
        <v>191</v>
      </c>
      <c r="G483" s="11" t="s">
        <v>469</v>
      </c>
      <c r="H483">
        <v>3</v>
      </c>
      <c r="I483" s="11" t="s">
        <v>175</v>
      </c>
      <c r="J483" t="s">
        <v>286</v>
      </c>
      <c r="K483" t="s">
        <v>227</v>
      </c>
      <c r="L483" s="11" t="s">
        <v>39</v>
      </c>
      <c r="M483" s="11" t="s">
        <v>39</v>
      </c>
      <c r="N483" s="11" t="s">
        <v>39</v>
      </c>
      <c r="O483" s="11" t="s">
        <v>39</v>
      </c>
      <c r="P483" t="s">
        <v>9</v>
      </c>
      <c r="Q483">
        <v>4200</v>
      </c>
      <c r="R483">
        <v>0</v>
      </c>
      <c r="S483">
        <v>0</v>
      </c>
      <c r="T483" t="str">
        <f t="shared" si="77"/>
        <v>-</v>
      </c>
      <c r="U483" t="str">
        <f t="shared" si="78"/>
        <v>-</v>
      </c>
      <c r="V483" t="str">
        <f t="shared" si="79"/>
        <v>-</v>
      </c>
      <c r="W483" t="str">
        <f t="shared" si="80"/>
        <v>-</v>
      </c>
      <c r="X483" t="str">
        <f t="shared" si="81"/>
        <v>-</v>
      </c>
      <c r="Y483" t="str">
        <f t="shared" si="82"/>
        <v>-</v>
      </c>
      <c r="Z483" t="str">
        <f t="shared" si="83"/>
        <v>-</v>
      </c>
      <c r="AA483" t="str">
        <f t="shared" si="84"/>
        <v>-</v>
      </c>
      <c r="AB483" t="str">
        <f>IF(_xlfn.IFNA(VLOOKUP(P483,Set_Ref!$B$6:$B$1048576,1,FALSE),"")&lt;&gt;"","-",FALSE)</f>
        <v>-</v>
      </c>
      <c r="AC483" t="str">
        <f t="shared" si="85"/>
        <v>-</v>
      </c>
      <c r="AD483" t="str">
        <f t="shared" si="86"/>
        <v>-</v>
      </c>
      <c r="AE483" t="b">
        <f t="shared" si="87"/>
        <v>1</v>
      </c>
    </row>
    <row r="484" spans="1:31" x14ac:dyDescent="0.25">
      <c r="A484">
        <v>2</v>
      </c>
      <c r="B484">
        <v>165</v>
      </c>
      <c r="C484">
        <v>261</v>
      </c>
      <c r="D484" s="11" t="s">
        <v>149</v>
      </c>
      <c r="E484" t="s">
        <v>326</v>
      </c>
      <c r="F484" t="s">
        <v>191</v>
      </c>
      <c r="G484" s="11" t="s">
        <v>469</v>
      </c>
      <c r="H484">
        <v>4</v>
      </c>
      <c r="I484" s="11" t="s">
        <v>175</v>
      </c>
      <c r="J484" t="s">
        <v>436</v>
      </c>
      <c r="K484" t="s">
        <v>228</v>
      </c>
      <c r="L484" s="11" t="s">
        <v>39</v>
      </c>
      <c r="M484" s="11" t="s">
        <v>39</v>
      </c>
      <c r="N484" s="11" t="s">
        <v>39</v>
      </c>
      <c r="O484" s="11" t="s">
        <v>39</v>
      </c>
      <c r="P484" t="s">
        <v>9</v>
      </c>
      <c r="Q484">
        <v>4200</v>
      </c>
      <c r="R484">
        <v>0</v>
      </c>
      <c r="S484">
        <v>0</v>
      </c>
      <c r="T484" t="str">
        <f t="shared" si="77"/>
        <v>-</v>
      </c>
      <c r="U484" t="str">
        <f t="shared" si="78"/>
        <v>-</v>
      </c>
      <c r="V484" t="str">
        <f t="shared" si="79"/>
        <v>-</v>
      </c>
      <c r="W484" t="str">
        <f t="shared" si="80"/>
        <v>-</v>
      </c>
      <c r="X484" t="str">
        <f t="shared" si="81"/>
        <v>-</v>
      </c>
      <c r="Y484" t="str">
        <f t="shared" si="82"/>
        <v>-</v>
      </c>
      <c r="Z484" t="str">
        <f t="shared" si="83"/>
        <v>-</v>
      </c>
      <c r="AA484" t="str">
        <f t="shared" si="84"/>
        <v>-</v>
      </c>
      <c r="AB484" t="str">
        <f>IF(_xlfn.IFNA(VLOOKUP(P484,Set_Ref!$B$6:$B$1048576,1,FALSE),"")&lt;&gt;"","-",FALSE)</f>
        <v>-</v>
      </c>
      <c r="AC484" t="str">
        <f t="shared" si="85"/>
        <v>-</v>
      </c>
      <c r="AD484" t="str">
        <f t="shared" si="86"/>
        <v>-</v>
      </c>
      <c r="AE484" t="b">
        <f t="shared" si="87"/>
        <v>1</v>
      </c>
    </row>
    <row r="485" spans="1:31" x14ac:dyDescent="0.25">
      <c r="A485">
        <v>2</v>
      </c>
      <c r="B485">
        <v>166</v>
      </c>
      <c r="C485">
        <v>261</v>
      </c>
      <c r="D485" s="11" t="s">
        <v>149</v>
      </c>
      <c r="E485" t="s">
        <v>326</v>
      </c>
      <c r="F485" t="s">
        <v>191</v>
      </c>
      <c r="G485" s="11" t="s">
        <v>469</v>
      </c>
      <c r="H485">
        <v>5</v>
      </c>
      <c r="I485" s="11" t="s">
        <v>175</v>
      </c>
      <c r="J485" t="s">
        <v>470</v>
      </c>
      <c r="K485" t="s">
        <v>229</v>
      </c>
      <c r="L485" s="11" t="s">
        <v>39</v>
      </c>
      <c r="M485" s="11" t="s">
        <v>39</v>
      </c>
      <c r="N485" s="11" t="s">
        <v>39</v>
      </c>
      <c r="O485" s="11" t="s">
        <v>39</v>
      </c>
      <c r="P485" t="s">
        <v>9</v>
      </c>
      <c r="Q485">
        <v>10</v>
      </c>
      <c r="R485">
        <v>0</v>
      </c>
      <c r="S485">
        <v>0</v>
      </c>
      <c r="T485" t="str">
        <f t="shared" si="77"/>
        <v>-</v>
      </c>
      <c r="U485" t="str">
        <f t="shared" si="78"/>
        <v>-</v>
      </c>
      <c r="V485" t="str">
        <f t="shared" si="79"/>
        <v>-</v>
      </c>
      <c r="W485" t="str">
        <f t="shared" si="80"/>
        <v>-</v>
      </c>
      <c r="X485" t="str">
        <f t="shared" si="81"/>
        <v>-</v>
      </c>
      <c r="Y485" t="str">
        <f t="shared" si="82"/>
        <v>-</v>
      </c>
      <c r="Z485" t="str">
        <f t="shared" si="83"/>
        <v>-</v>
      </c>
      <c r="AA485" t="str">
        <f t="shared" si="84"/>
        <v>-</v>
      </c>
      <c r="AB485" t="str">
        <f>IF(_xlfn.IFNA(VLOOKUP(P485,Set_Ref!$B$6:$B$1048576,1,FALSE),"")&lt;&gt;"","-",FALSE)</f>
        <v>-</v>
      </c>
      <c r="AC485" t="str">
        <f t="shared" si="85"/>
        <v>-</v>
      </c>
      <c r="AD485" t="str">
        <f t="shared" si="86"/>
        <v>-</v>
      </c>
      <c r="AE485" t="b">
        <f t="shared" si="87"/>
        <v>1</v>
      </c>
    </row>
    <row r="486" spans="1:31" x14ac:dyDescent="0.25">
      <c r="A486">
        <v>2</v>
      </c>
      <c r="B486">
        <v>167</v>
      </c>
      <c r="C486">
        <v>261</v>
      </c>
      <c r="D486" s="11" t="s">
        <v>149</v>
      </c>
      <c r="E486" t="s">
        <v>326</v>
      </c>
      <c r="F486" t="s">
        <v>191</v>
      </c>
      <c r="G486" s="11" t="s">
        <v>469</v>
      </c>
      <c r="H486">
        <v>5</v>
      </c>
      <c r="I486" s="11" t="s">
        <v>175</v>
      </c>
      <c r="J486" t="s">
        <v>470</v>
      </c>
      <c r="K486" t="s">
        <v>229</v>
      </c>
      <c r="L486" s="11" t="s">
        <v>39</v>
      </c>
      <c r="M486" s="11" t="s">
        <v>39</v>
      </c>
      <c r="N486" s="11" t="s">
        <v>39</v>
      </c>
      <c r="O486" s="11" t="s">
        <v>39</v>
      </c>
      <c r="P486" t="s">
        <v>9</v>
      </c>
      <c r="Q486">
        <v>14</v>
      </c>
      <c r="R486">
        <v>0</v>
      </c>
      <c r="S486">
        <v>0</v>
      </c>
      <c r="T486" t="str">
        <f t="shared" si="77"/>
        <v>-</v>
      </c>
      <c r="U486" t="str">
        <f t="shared" si="78"/>
        <v>-</v>
      </c>
      <c r="V486" t="str">
        <f t="shared" si="79"/>
        <v>-</v>
      </c>
      <c r="W486" t="str">
        <f t="shared" si="80"/>
        <v>-</v>
      </c>
      <c r="X486" t="str">
        <f t="shared" si="81"/>
        <v>-</v>
      </c>
      <c r="Y486" t="str">
        <f t="shared" si="82"/>
        <v>-</v>
      </c>
      <c r="Z486" t="str">
        <f t="shared" si="83"/>
        <v>-</v>
      </c>
      <c r="AA486" t="str">
        <f t="shared" si="84"/>
        <v>-</v>
      </c>
      <c r="AB486" t="str">
        <f>IF(_xlfn.IFNA(VLOOKUP(P486,Set_Ref!$B$6:$B$1048576,1,FALSE),"")&lt;&gt;"","-",FALSE)</f>
        <v>-</v>
      </c>
      <c r="AC486" t="str">
        <f t="shared" si="85"/>
        <v>-</v>
      </c>
      <c r="AD486" t="str">
        <f t="shared" si="86"/>
        <v>-</v>
      </c>
      <c r="AE486" t="b">
        <f t="shared" si="87"/>
        <v>1</v>
      </c>
    </row>
    <row r="487" spans="1:31" x14ac:dyDescent="0.25">
      <c r="A487">
        <v>2</v>
      </c>
      <c r="B487">
        <v>168</v>
      </c>
      <c r="C487">
        <v>261</v>
      </c>
      <c r="D487" s="11" t="s">
        <v>149</v>
      </c>
      <c r="E487" t="s">
        <v>326</v>
      </c>
      <c r="F487" t="s">
        <v>191</v>
      </c>
      <c r="G487" s="11" t="s">
        <v>469</v>
      </c>
      <c r="H487">
        <v>5</v>
      </c>
      <c r="I487" s="11" t="s">
        <v>175</v>
      </c>
      <c r="J487" t="s">
        <v>470</v>
      </c>
      <c r="K487" t="s">
        <v>229</v>
      </c>
      <c r="L487" s="11" t="s">
        <v>39</v>
      </c>
      <c r="M487" s="11" t="s">
        <v>39</v>
      </c>
      <c r="N487" s="11" t="s">
        <v>39</v>
      </c>
      <c r="O487" s="11" t="s">
        <v>39</v>
      </c>
      <c r="P487" t="s">
        <v>9</v>
      </c>
      <c r="Q487">
        <v>47</v>
      </c>
      <c r="R487">
        <v>0</v>
      </c>
      <c r="S487">
        <v>0</v>
      </c>
      <c r="T487" t="str">
        <f t="shared" si="77"/>
        <v>-</v>
      </c>
      <c r="U487" t="str">
        <f t="shared" si="78"/>
        <v>-</v>
      </c>
      <c r="V487" t="str">
        <f t="shared" si="79"/>
        <v>-</v>
      </c>
      <c r="W487" t="str">
        <f t="shared" si="80"/>
        <v>-</v>
      </c>
      <c r="X487" t="str">
        <f t="shared" si="81"/>
        <v>-</v>
      </c>
      <c r="Y487" t="str">
        <f t="shared" si="82"/>
        <v>-</v>
      </c>
      <c r="Z487" t="str">
        <f t="shared" si="83"/>
        <v>-</v>
      </c>
      <c r="AA487" t="str">
        <f t="shared" si="84"/>
        <v>-</v>
      </c>
      <c r="AB487" t="str">
        <f>IF(_xlfn.IFNA(VLOOKUP(P487,Set_Ref!$B$6:$B$1048576,1,FALSE),"")&lt;&gt;"","-",FALSE)</f>
        <v>-</v>
      </c>
      <c r="AC487" t="str">
        <f t="shared" si="85"/>
        <v>-</v>
      </c>
      <c r="AD487" t="str">
        <f t="shared" si="86"/>
        <v>-</v>
      </c>
      <c r="AE487" t="b">
        <f t="shared" si="87"/>
        <v>1</v>
      </c>
    </row>
    <row r="488" spans="1:31" x14ac:dyDescent="0.25">
      <c r="A488">
        <v>2</v>
      </c>
      <c r="B488">
        <v>169</v>
      </c>
      <c r="C488">
        <v>261</v>
      </c>
      <c r="D488" s="11" t="s">
        <v>149</v>
      </c>
      <c r="E488" t="s">
        <v>326</v>
      </c>
      <c r="F488" t="s">
        <v>191</v>
      </c>
      <c r="G488" s="11" t="s">
        <v>469</v>
      </c>
      <c r="H488">
        <v>5</v>
      </c>
      <c r="I488" s="11" t="s">
        <v>175</v>
      </c>
      <c r="J488" t="s">
        <v>470</v>
      </c>
      <c r="K488" t="s">
        <v>229</v>
      </c>
      <c r="L488" s="11" t="s">
        <v>39</v>
      </c>
      <c r="M488" s="11" t="s">
        <v>39</v>
      </c>
      <c r="N488" s="11" t="s">
        <v>39</v>
      </c>
      <c r="O488" s="11" t="s">
        <v>39</v>
      </c>
      <c r="P488" t="s">
        <v>9</v>
      </c>
      <c r="Q488">
        <v>41</v>
      </c>
      <c r="R488">
        <v>0</v>
      </c>
      <c r="S488">
        <v>0</v>
      </c>
      <c r="T488" t="str">
        <f t="shared" si="77"/>
        <v>-</v>
      </c>
      <c r="U488" t="str">
        <f t="shared" si="78"/>
        <v>-</v>
      </c>
      <c r="V488" t="str">
        <f t="shared" si="79"/>
        <v>-</v>
      </c>
      <c r="W488" t="str">
        <f t="shared" si="80"/>
        <v>-</v>
      </c>
      <c r="X488" t="str">
        <f t="shared" si="81"/>
        <v>-</v>
      </c>
      <c r="Y488" t="str">
        <f t="shared" si="82"/>
        <v>-</v>
      </c>
      <c r="Z488" t="str">
        <f t="shared" si="83"/>
        <v>-</v>
      </c>
      <c r="AA488" t="str">
        <f t="shared" si="84"/>
        <v>-</v>
      </c>
      <c r="AB488" t="str">
        <f>IF(_xlfn.IFNA(VLOOKUP(P488,Set_Ref!$B$6:$B$1048576,1,FALSE),"")&lt;&gt;"","-",FALSE)</f>
        <v>-</v>
      </c>
      <c r="AC488" t="str">
        <f t="shared" si="85"/>
        <v>-</v>
      </c>
      <c r="AD488" t="str">
        <f t="shared" si="86"/>
        <v>-</v>
      </c>
      <c r="AE488" t="b">
        <f t="shared" si="87"/>
        <v>1</v>
      </c>
    </row>
    <row r="489" spans="1:31" x14ac:dyDescent="0.25">
      <c r="A489">
        <v>2</v>
      </c>
      <c r="B489">
        <v>170</v>
      </c>
      <c r="C489">
        <v>261</v>
      </c>
      <c r="D489" s="11" t="s">
        <v>149</v>
      </c>
      <c r="E489" t="s">
        <v>326</v>
      </c>
      <c r="F489" t="s">
        <v>191</v>
      </c>
      <c r="G489" s="11" t="s">
        <v>469</v>
      </c>
      <c r="H489">
        <v>5</v>
      </c>
      <c r="I489" s="11" t="s">
        <v>175</v>
      </c>
      <c r="J489" t="s">
        <v>470</v>
      </c>
      <c r="K489" t="s">
        <v>229</v>
      </c>
      <c r="L489" s="11" t="s">
        <v>39</v>
      </c>
      <c r="M489" s="11" t="s">
        <v>39</v>
      </c>
      <c r="N489" s="11" t="s">
        <v>39</v>
      </c>
      <c r="O489" s="11" t="s">
        <v>39</v>
      </c>
      <c r="P489" t="s">
        <v>9</v>
      </c>
      <c r="Q489">
        <v>58</v>
      </c>
      <c r="R489">
        <v>0</v>
      </c>
      <c r="S489">
        <v>0</v>
      </c>
      <c r="T489" t="str">
        <f t="shared" si="77"/>
        <v>-</v>
      </c>
      <c r="U489" t="str">
        <f t="shared" si="78"/>
        <v>-</v>
      </c>
      <c r="V489" t="str">
        <f t="shared" si="79"/>
        <v>-</v>
      </c>
      <c r="W489" t="str">
        <f t="shared" si="80"/>
        <v>-</v>
      </c>
      <c r="X489" t="str">
        <f t="shared" si="81"/>
        <v>-</v>
      </c>
      <c r="Y489" t="str">
        <f t="shared" si="82"/>
        <v>-</v>
      </c>
      <c r="Z489" t="str">
        <f t="shared" si="83"/>
        <v>-</v>
      </c>
      <c r="AA489" t="str">
        <f t="shared" si="84"/>
        <v>-</v>
      </c>
      <c r="AB489" t="str">
        <f>IF(_xlfn.IFNA(VLOOKUP(P489,Set_Ref!$B$6:$B$1048576,1,FALSE),"")&lt;&gt;"","-",FALSE)</f>
        <v>-</v>
      </c>
      <c r="AC489" t="str">
        <f t="shared" si="85"/>
        <v>-</v>
      </c>
      <c r="AD489" t="str">
        <f t="shared" si="86"/>
        <v>-</v>
      </c>
      <c r="AE489" t="b">
        <f t="shared" si="87"/>
        <v>1</v>
      </c>
    </row>
    <row r="490" spans="1:31" x14ac:dyDescent="0.25">
      <c r="A490">
        <v>2</v>
      </c>
      <c r="B490">
        <v>171</v>
      </c>
      <c r="C490">
        <v>261</v>
      </c>
      <c r="D490" s="11" t="s">
        <v>149</v>
      </c>
      <c r="E490" t="s">
        <v>326</v>
      </c>
      <c r="F490" t="s">
        <v>191</v>
      </c>
      <c r="G490" s="11" t="s">
        <v>469</v>
      </c>
      <c r="H490">
        <v>5</v>
      </c>
      <c r="I490" s="11" t="s">
        <v>175</v>
      </c>
      <c r="J490" t="s">
        <v>470</v>
      </c>
      <c r="K490" t="s">
        <v>229</v>
      </c>
      <c r="L490" s="11" t="s">
        <v>39</v>
      </c>
      <c r="M490" s="11" t="s">
        <v>39</v>
      </c>
      <c r="N490" s="11" t="s">
        <v>39</v>
      </c>
      <c r="O490" s="11" t="s">
        <v>39</v>
      </c>
      <c r="P490" t="s">
        <v>9</v>
      </c>
      <c r="Q490">
        <v>45</v>
      </c>
      <c r="R490">
        <v>0</v>
      </c>
      <c r="S490">
        <v>0</v>
      </c>
      <c r="T490" t="str">
        <f t="shared" si="77"/>
        <v>-</v>
      </c>
      <c r="U490" t="str">
        <f t="shared" si="78"/>
        <v>-</v>
      </c>
      <c r="V490" t="str">
        <f t="shared" si="79"/>
        <v>-</v>
      </c>
      <c r="W490" t="str">
        <f t="shared" si="80"/>
        <v>-</v>
      </c>
      <c r="X490" t="str">
        <f t="shared" si="81"/>
        <v>-</v>
      </c>
      <c r="Y490" t="str">
        <f t="shared" si="82"/>
        <v>-</v>
      </c>
      <c r="Z490" t="str">
        <f t="shared" si="83"/>
        <v>-</v>
      </c>
      <c r="AA490" t="str">
        <f t="shared" si="84"/>
        <v>-</v>
      </c>
      <c r="AB490" t="str">
        <f>IF(_xlfn.IFNA(VLOOKUP(P490,Set_Ref!$B$6:$B$1048576,1,FALSE),"")&lt;&gt;"","-",FALSE)</f>
        <v>-</v>
      </c>
      <c r="AC490" t="str">
        <f t="shared" si="85"/>
        <v>-</v>
      </c>
      <c r="AD490" t="str">
        <f t="shared" si="86"/>
        <v>-</v>
      </c>
      <c r="AE490" t="b">
        <f t="shared" si="87"/>
        <v>1</v>
      </c>
    </row>
    <row r="491" spans="1:31" x14ac:dyDescent="0.25">
      <c r="A491">
        <v>2</v>
      </c>
      <c r="B491">
        <v>172</v>
      </c>
      <c r="C491">
        <v>261</v>
      </c>
      <c r="D491" s="11" t="s">
        <v>149</v>
      </c>
      <c r="E491" t="s">
        <v>326</v>
      </c>
      <c r="F491" t="s">
        <v>191</v>
      </c>
      <c r="G491" s="11" t="s">
        <v>469</v>
      </c>
      <c r="H491">
        <v>5</v>
      </c>
      <c r="I491" s="11" t="s">
        <v>175</v>
      </c>
      <c r="J491" t="s">
        <v>470</v>
      </c>
      <c r="K491" t="s">
        <v>229</v>
      </c>
      <c r="L491" s="11" t="s">
        <v>39</v>
      </c>
      <c r="M491" s="11" t="s">
        <v>39</v>
      </c>
      <c r="N491" s="11" t="s">
        <v>39</v>
      </c>
      <c r="O491" s="11" t="s">
        <v>39</v>
      </c>
      <c r="P491" t="s">
        <v>9</v>
      </c>
      <c r="Q491">
        <v>30</v>
      </c>
      <c r="R491">
        <v>0</v>
      </c>
      <c r="S491">
        <v>0</v>
      </c>
      <c r="T491" t="str">
        <f t="shared" si="77"/>
        <v>-</v>
      </c>
      <c r="U491" t="str">
        <f t="shared" si="78"/>
        <v>-</v>
      </c>
      <c r="V491" t="str">
        <f t="shared" si="79"/>
        <v>-</v>
      </c>
      <c r="W491" t="str">
        <f t="shared" si="80"/>
        <v>-</v>
      </c>
      <c r="X491" t="str">
        <f t="shared" si="81"/>
        <v>-</v>
      </c>
      <c r="Y491" t="str">
        <f t="shared" si="82"/>
        <v>-</v>
      </c>
      <c r="Z491" t="str">
        <f t="shared" si="83"/>
        <v>-</v>
      </c>
      <c r="AA491" t="str">
        <f t="shared" si="84"/>
        <v>-</v>
      </c>
      <c r="AB491" t="str">
        <f>IF(_xlfn.IFNA(VLOOKUP(P491,Set_Ref!$B$6:$B$1048576,1,FALSE),"")&lt;&gt;"","-",FALSE)</f>
        <v>-</v>
      </c>
      <c r="AC491" t="str">
        <f t="shared" si="85"/>
        <v>-</v>
      </c>
      <c r="AD491" t="str">
        <f t="shared" si="86"/>
        <v>-</v>
      </c>
      <c r="AE491" t="b">
        <f t="shared" si="87"/>
        <v>1</v>
      </c>
    </row>
    <row r="492" spans="1:31" x14ac:dyDescent="0.25">
      <c r="A492">
        <v>2</v>
      </c>
      <c r="B492">
        <v>173</v>
      </c>
      <c r="C492">
        <v>261</v>
      </c>
      <c r="D492" s="11" t="s">
        <v>149</v>
      </c>
      <c r="E492" t="s">
        <v>326</v>
      </c>
      <c r="F492" t="s">
        <v>191</v>
      </c>
      <c r="G492" s="11" t="s">
        <v>469</v>
      </c>
      <c r="H492">
        <v>5</v>
      </c>
      <c r="I492" s="11" t="s">
        <v>175</v>
      </c>
      <c r="J492" t="s">
        <v>470</v>
      </c>
      <c r="K492" t="s">
        <v>229</v>
      </c>
      <c r="L492" s="11" t="s">
        <v>39</v>
      </c>
      <c r="M492" s="11" t="s">
        <v>39</v>
      </c>
      <c r="N492" s="11" t="s">
        <v>39</v>
      </c>
      <c r="O492" s="11" t="s">
        <v>39</v>
      </c>
      <c r="P492" t="s">
        <v>9</v>
      </c>
      <c r="Q492">
        <v>17</v>
      </c>
      <c r="R492">
        <v>0</v>
      </c>
      <c r="S492">
        <v>0</v>
      </c>
      <c r="T492" t="str">
        <f t="shared" si="77"/>
        <v>-</v>
      </c>
      <c r="U492" t="str">
        <f t="shared" si="78"/>
        <v>-</v>
      </c>
      <c r="V492" t="str">
        <f t="shared" si="79"/>
        <v>-</v>
      </c>
      <c r="W492" t="str">
        <f t="shared" si="80"/>
        <v>-</v>
      </c>
      <c r="X492" t="str">
        <f t="shared" si="81"/>
        <v>-</v>
      </c>
      <c r="Y492" t="str">
        <f t="shared" si="82"/>
        <v>-</v>
      </c>
      <c r="Z492" t="str">
        <f t="shared" si="83"/>
        <v>-</v>
      </c>
      <c r="AA492" t="str">
        <f t="shared" si="84"/>
        <v>-</v>
      </c>
      <c r="AB492" t="str">
        <f>IF(_xlfn.IFNA(VLOOKUP(P492,Set_Ref!$B$6:$B$1048576,1,FALSE),"")&lt;&gt;"","-",FALSE)</f>
        <v>-</v>
      </c>
      <c r="AC492" t="str">
        <f t="shared" si="85"/>
        <v>-</v>
      </c>
      <c r="AD492" t="str">
        <f t="shared" si="86"/>
        <v>-</v>
      </c>
      <c r="AE492" t="b">
        <f t="shared" si="87"/>
        <v>1</v>
      </c>
    </row>
    <row r="493" spans="1:31" x14ac:dyDescent="0.25">
      <c r="A493">
        <v>2</v>
      </c>
      <c r="B493">
        <v>174</v>
      </c>
      <c r="C493">
        <v>261</v>
      </c>
      <c r="D493" s="11" t="s">
        <v>149</v>
      </c>
      <c r="E493" t="s">
        <v>326</v>
      </c>
      <c r="F493" t="s">
        <v>191</v>
      </c>
      <c r="G493" s="11" t="s">
        <v>469</v>
      </c>
      <c r="H493">
        <v>5</v>
      </c>
      <c r="I493" s="11" t="s">
        <v>175</v>
      </c>
      <c r="J493" t="s">
        <v>470</v>
      </c>
      <c r="K493" t="s">
        <v>229</v>
      </c>
      <c r="L493" s="11" t="s">
        <v>39</v>
      </c>
      <c r="M493" s="11" t="s">
        <v>39</v>
      </c>
      <c r="N493" s="11" t="s">
        <v>39</v>
      </c>
      <c r="O493" s="11" t="s">
        <v>39</v>
      </c>
      <c r="P493" t="s">
        <v>9</v>
      </c>
      <c r="Q493">
        <v>10</v>
      </c>
      <c r="R493">
        <v>0</v>
      </c>
      <c r="S493">
        <v>0</v>
      </c>
      <c r="T493" t="str">
        <f t="shared" si="77"/>
        <v>-</v>
      </c>
      <c r="U493" t="str">
        <f t="shared" si="78"/>
        <v>-</v>
      </c>
      <c r="V493" t="str">
        <f t="shared" si="79"/>
        <v>-</v>
      </c>
      <c r="W493" t="str">
        <f t="shared" si="80"/>
        <v>-</v>
      </c>
      <c r="X493" t="str">
        <f t="shared" si="81"/>
        <v>-</v>
      </c>
      <c r="Y493" t="str">
        <f t="shared" si="82"/>
        <v>-</v>
      </c>
      <c r="Z493" t="str">
        <f t="shared" si="83"/>
        <v>-</v>
      </c>
      <c r="AA493" t="str">
        <f t="shared" si="84"/>
        <v>-</v>
      </c>
      <c r="AB493" t="str">
        <f>IF(_xlfn.IFNA(VLOOKUP(P493,Set_Ref!$B$6:$B$1048576,1,FALSE),"")&lt;&gt;"","-",FALSE)</f>
        <v>-</v>
      </c>
      <c r="AC493" t="str">
        <f t="shared" si="85"/>
        <v>-</v>
      </c>
      <c r="AD493" t="str">
        <f t="shared" si="86"/>
        <v>-</v>
      </c>
      <c r="AE493" t="b">
        <f t="shared" si="87"/>
        <v>1</v>
      </c>
    </row>
    <row r="494" spans="1:31" x14ac:dyDescent="0.25">
      <c r="A494">
        <v>2</v>
      </c>
      <c r="B494">
        <v>175</v>
      </c>
      <c r="C494">
        <v>261</v>
      </c>
      <c r="D494" s="11" t="s">
        <v>149</v>
      </c>
      <c r="E494" t="s">
        <v>373</v>
      </c>
      <c r="F494" t="s">
        <v>191</v>
      </c>
      <c r="G494" s="11" t="s">
        <v>471</v>
      </c>
      <c r="H494">
        <v>1</v>
      </c>
      <c r="I494" s="11" t="s">
        <v>427</v>
      </c>
      <c r="J494" t="s">
        <v>296</v>
      </c>
      <c r="K494" t="s">
        <v>238</v>
      </c>
      <c r="L494" s="11" t="s">
        <v>39</v>
      </c>
      <c r="M494" s="11" t="s">
        <v>39</v>
      </c>
      <c r="N494" s="11" t="s">
        <v>39</v>
      </c>
      <c r="O494" s="11" t="s">
        <v>39</v>
      </c>
      <c r="P494" t="s">
        <v>9</v>
      </c>
      <c r="Q494">
        <v>2000</v>
      </c>
      <c r="R494">
        <v>0</v>
      </c>
      <c r="S494">
        <v>0</v>
      </c>
      <c r="T494" t="str">
        <f t="shared" si="77"/>
        <v>-</v>
      </c>
      <c r="U494" t="str">
        <f t="shared" si="78"/>
        <v>-</v>
      </c>
      <c r="V494" t="str">
        <f t="shared" si="79"/>
        <v>-</v>
      </c>
      <c r="W494" t="str">
        <f t="shared" si="80"/>
        <v>-</v>
      </c>
      <c r="X494" t="str">
        <f t="shared" si="81"/>
        <v>-</v>
      </c>
      <c r="Y494" t="str">
        <f t="shared" si="82"/>
        <v>-</v>
      </c>
      <c r="Z494" t="str">
        <f t="shared" si="83"/>
        <v>-</v>
      </c>
      <c r="AA494" t="str">
        <f t="shared" si="84"/>
        <v>-</v>
      </c>
      <c r="AB494" t="str">
        <f>IF(_xlfn.IFNA(VLOOKUP(P494,Set_Ref!$B$6:$B$1048576,1,FALSE),"")&lt;&gt;"","-",FALSE)</f>
        <v>-</v>
      </c>
      <c r="AC494" t="str">
        <f t="shared" si="85"/>
        <v>-</v>
      </c>
      <c r="AD494" t="str">
        <f t="shared" si="86"/>
        <v>-</v>
      </c>
      <c r="AE494" t="b">
        <f t="shared" si="87"/>
        <v>1</v>
      </c>
    </row>
    <row r="495" spans="1:31" x14ac:dyDescent="0.25">
      <c r="A495">
        <v>2</v>
      </c>
      <c r="B495">
        <v>176</v>
      </c>
      <c r="C495">
        <v>261</v>
      </c>
      <c r="D495" s="11" t="s">
        <v>149</v>
      </c>
      <c r="E495" t="s">
        <v>374</v>
      </c>
      <c r="F495" t="s">
        <v>191</v>
      </c>
      <c r="G495" s="11" t="s">
        <v>472</v>
      </c>
      <c r="H495">
        <v>3</v>
      </c>
      <c r="I495" s="11" t="s">
        <v>433</v>
      </c>
      <c r="J495" t="s">
        <v>375</v>
      </c>
      <c r="K495" t="s">
        <v>254</v>
      </c>
      <c r="L495" s="11" t="s">
        <v>39</v>
      </c>
      <c r="M495" s="11" t="s">
        <v>39</v>
      </c>
      <c r="N495" s="11" t="s">
        <v>39</v>
      </c>
      <c r="O495" s="11" t="s">
        <v>39</v>
      </c>
      <c r="P495" t="s">
        <v>10</v>
      </c>
      <c r="Q495">
        <v>526</v>
      </c>
      <c r="R495">
        <v>0</v>
      </c>
      <c r="S495">
        <v>0</v>
      </c>
      <c r="T495" t="str">
        <f t="shared" si="77"/>
        <v>-</v>
      </c>
      <c r="U495" t="str">
        <f t="shared" si="78"/>
        <v>-</v>
      </c>
      <c r="V495" t="str">
        <f t="shared" si="79"/>
        <v>-</v>
      </c>
      <c r="W495" t="str">
        <f t="shared" si="80"/>
        <v>-</v>
      </c>
      <c r="X495" t="str">
        <f t="shared" si="81"/>
        <v>-</v>
      </c>
      <c r="Y495" t="str">
        <f t="shared" si="82"/>
        <v>-</v>
      </c>
      <c r="Z495" t="str">
        <f t="shared" si="83"/>
        <v>-</v>
      </c>
      <c r="AA495" t="str">
        <f t="shared" si="84"/>
        <v>-</v>
      </c>
      <c r="AB495" t="str">
        <f>IF(_xlfn.IFNA(VLOOKUP(P495,Set_Ref!$B$6:$B$1048576,1,FALSE),"")&lt;&gt;"","-",FALSE)</f>
        <v>-</v>
      </c>
      <c r="AC495" t="str">
        <f t="shared" si="85"/>
        <v>-</v>
      </c>
      <c r="AD495" t="str">
        <f t="shared" si="86"/>
        <v>-</v>
      </c>
      <c r="AE495" t="b">
        <f t="shared" si="87"/>
        <v>1</v>
      </c>
    </row>
    <row r="496" spans="1:31" x14ac:dyDescent="0.25">
      <c r="A496">
        <v>2</v>
      </c>
      <c r="B496">
        <v>177</v>
      </c>
      <c r="C496">
        <v>261</v>
      </c>
      <c r="D496" s="11" t="s">
        <v>149</v>
      </c>
      <c r="E496" t="s">
        <v>374</v>
      </c>
      <c r="F496" t="s">
        <v>191</v>
      </c>
      <c r="G496" s="11" t="s">
        <v>472</v>
      </c>
      <c r="H496">
        <v>1</v>
      </c>
      <c r="I496" s="11" t="s">
        <v>177</v>
      </c>
      <c r="J496" t="s">
        <v>473</v>
      </c>
      <c r="K496" t="s">
        <v>250</v>
      </c>
      <c r="L496" s="11" t="s">
        <v>39</v>
      </c>
      <c r="M496" s="11" t="s">
        <v>39</v>
      </c>
      <c r="N496" s="11" t="s">
        <v>39</v>
      </c>
      <c r="O496" s="11" t="s">
        <v>39</v>
      </c>
      <c r="P496" t="s">
        <v>9</v>
      </c>
      <c r="Q496">
        <v>1720</v>
      </c>
      <c r="R496">
        <v>0</v>
      </c>
      <c r="S496">
        <v>0</v>
      </c>
      <c r="T496" t="str">
        <f t="shared" si="77"/>
        <v>-</v>
      </c>
      <c r="U496" t="str">
        <f t="shared" si="78"/>
        <v>-</v>
      </c>
      <c r="V496" t="str">
        <f t="shared" si="79"/>
        <v>-</v>
      </c>
      <c r="W496" t="str">
        <f t="shared" si="80"/>
        <v>-</v>
      </c>
      <c r="X496" t="str">
        <f t="shared" si="81"/>
        <v>-</v>
      </c>
      <c r="Y496" t="str">
        <f t="shared" si="82"/>
        <v>-</v>
      </c>
      <c r="Z496" t="str">
        <f t="shared" si="83"/>
        <v>-</v>
      </c>
      <c r="AA496" t="str">
        <f t="shared" si="84"/>
        <v>-</v>
      </c>
      <c r="AB496" t="str">
        <f>IF(_xlfn.IFNA(VLOOKUP(P496,Set_Ref!$B$6:$B$1048576,1,FALSE),"")&lt;&gt;"","-",FALSE)</f>
        <v>-</v>
      </c>
      <c r="AC496" t="str">
        <f t="shared" si="85"/>
        <v>-</v>
      </c>
      <c r="AD496" t="str">
        <f t="shared" si="86"/>
        <v>-</v>
      </c>
      <c r="AE496" t="b">
        <f t="shared" si="87"/>
        <v>1</v>
      </c>
    </row>
    <row r="497" spans="1:31" x14ac:dyDescent="0.25">
      <c r="A497">
        <v>2</v>
      </c>
      <c r="B497">
        <v>178</v>
      </c>
      <c r="C497">
        <v>261</v>
      </c>
      <c r="D497" s="11" t="s">
        <v>149</v>
      </c>
      <c r="E497" t="s">
        <v>374</v>
      </c>
      <c r="F497" t="s">
        <v>191</v>
      </c>
      <c r="G497" s="11" t="s">
        <v>472</v>
      </c>
      <c r="H497">
        <v>2</v>
      </c>
      <c r="I497" s="11" t="s">
        <v>177</v>
      </c>
      <c r="J497" t="s">
        <v>468</v>
      </c>
      <c r="K497" t="s">
        <v>251</v>
      </c>
      <c r="L497" s="11" t="s">
        <v>39</v>
      </c>
      <c r="M497" s="11" t="s">
        <v>39</v>
      </c>
      <c r="N497" s="11" t="s">
        <v>39</v>
      </c>
      <c r="O497" s="11" t="s">
        <v>39</v>
      </c>
      <c r="P497" t="s">
        <v>9</v>
      </c>
      <c r="Q497">
        <v>3280</v>
      </c>
      <c r="R497">
        <v>0</v>
      </c>
      <c r="S497">
        <v>0</v>
      </c>
      <c r="T497" t="str">
        <f t="shared" si="77"/>
        <v>-</v>
      </c>
      <c r="U497" t="str">
        <f t="shared" si="78"/>
        <v>-</v>
      </c>
      <c r="V497" t="str">
        <f t="shared" si="79"/>
        <v>-</v>
      </c>
      <c r="W497" t="str">
        <f t="shared" si="80"/>
        <v>-</v>
      </c>
      <c r="X497" t="str">
        <f t="shared" si="81"/>
        <v>-</v>
      </c>
      <c r="Y497" t="str">
        <f t="shared" si="82"/>
        <v>-</v>
      </c>
      <c r="Z497" t="str">
        <f t="shared" si="83"/>
        <v>-</v>
      </c>
      <c r="AA497" t="str">
        <f t="shared" si="84"/>
        <v>-</v>
      </c>
      <c r="AB497" t="str">
        <f>IF(_xlfn.IFNA(VLOOKUP(P497,Set_Ref!$B$6:$B$1048576,1,FALSE),"")&lt;&gt;"","-",FALSE)</f>
        <v>-</v>
      </c>
      <c r="AC497" t="str">
        <f t="shared" si="85"/>
        <v>-</v>
      </c>
      <c r="AD497" t="str">
        <f t="shared" si="86"/>
        <v>-</v>
      </c>
      <c r="AE497" t="b">
        <f t="shared" si="87"/>
        <v>1</v>
      </c>
    </row>
    <row r="498" spans="1:31" x14ac:dyDescent="0.25">
      <c r="A498">
        <v>2</v>
      </c>
      <c r="B498">
        <v>179</v>
      </c>
      <c r="C498">
        <v>261</v>
      </c>
      <c r="D498" s="11" t="s">
        <v>149</v>
      </c>
      <c r="E498" t="s">
        <v>374</v>
      </c>
      <c r="F498" t="s">
        <v>191</v>
      </c>
      <c r="G498" s="11" t="s">
        <v>472</v>
      </c>
      <c r="H498">
        <v>1</v>
      </c>
      <c r="I498" s="11" t="s">
        <v>177</v>
      </c>
      <c r="J498" t="s">
        <v>473</v>
      </c>
      <c r="K498" t="s">
        <v>250</v>
      </c>
      <c r="L498" s="11" t="s">
        <v>39</v>
      </c>
      <c r="M498" s="11" t="s">
        <v>39</v>
      </c>
      <c r="N498" s="11" t="s">
        <v>39</v>
      </c>
      <c r="O498" s="11" t="s">
        <v>39</v>
      </c>
      <c r="P498" t="s">
        <v>9</v>
      </c>
      <c r="Q498">
        <v>670</v>
      </c>
      <c r="R498">
        <v>0</v>
      </c>
      <c r="S498">
        <v>0</v>
      </c>
      <c r="T498" t="str">
        <f t="shared" si="77"/>
        <v>-</v>
      </c>
      <c r="U498" t="str">
        <f t="shared" si="78"/>
        <v>-</v>
      </c>
      <c r="V498" t="str">
        <f t="shared" si="79"/>
        <v>-</v>
      </c>
      <c r="W498" t="str">
        <f t="shared" si="80"/>
        <v>-</v>
      </c>
      <c r="X498" t="str">
        <f t="shared" si="81"/>
        <v>-</v>
      </c>
      <c r="Y498" t="str">
        <f t="shared" si="82"/>
        <v>-</v>
      </c>
      <c r="Z498" t="str">
        <f t="shared" si="83"/>
        <v>-</v>
      </c>
      <c r="AA498" t="str">
        <f t="shared" si="84"/>
        <v>-</v>
      </c>
      <c r="AB498" t="str">
        <f>IF(_xlfn.IFNA(VLOOKUP(P498,Set_Ref!$B$6:$B$1048576,1,FALSE),"")&lt;&gt;"","-",FALSE)</f>
        <v>-</v>
      </c>
      <c r="AC498" t="str">
        <f t="shared" si="85"/>
        <v>-</v>
      </c>
      <c r="AD498" t="str">
        <f t="shared" si="86"/>
        <v>-</v>
      </c>
      <c r="AE498" t="b">
        <f t="shared" si="87"/>
        <v>1</v>
      </c>
    </row>
    <row r="499" spans="1:31" x14ac:dyDescent="0.25">
      <c r="A499">
        <v>2</v>
      </c>
      <c r="B499">
        <v>180</v>
      </c>
      <c r="C499">
        <v>261</v>
      </c>
      <c r="D499" s="11" t="s">
        <v>149</v>
      </c>
      <c r="E499" t="s">
        <v>374</v>
      </c>
      <c r="F499" t="s">
        <v>191</v>
      </c>
      <c r="G499" s="11" t="s">
        <v>472</v>
      </c>
      <c r="H499">
        <v>2</v>
      </c>
      <c r="I499" s="11" t="s">
        <v>177</v>
      </c>
      <c r="J499" t="s">
        <v>468</v>
      </c>
      <c r="K499" t="s">
        <v>251</v>
      </c>
      <c r="L499" s="11" t="s">
        <v>39</v>
      </c>
      <c r="M499" s="11" t="s">
        <v>39</v>
      </c>
      <c r="N499" s="11" t="s">
        <v>39</v>
      </c>
      <c r="O499" s="11" t="s">
        <v>39</v>
      </c>
      <c r="P499" t="s">
        <v>9</v>
      </c>
      <c r="Q499">
        <v>460</v>
      </c>
      <c r="R499">
        <v>0</v>
      </c>
      <c r="S499">
        <v>0</v>
      </c>
      <c r="T499" t="str">
        <f t="shared" si="77"/>
        <v>-</v>
      </c>
      <c r="U499" t="str">
        <f t="shared" si="78"/>
        <v>-</v>
      </c>
      <c r="V499" t="str">
        <f t="shared" si="79"/>
        <v>-</v>
      </c>
      <c r="W499" t="str">
        <f t="shared" si="80"/>
        <v>-</v>
      </c>
      <c r="X499" t="str">
        <f t="shared" si="81"/>
        <v>-</v>
      </c>
      <c r="Y499" t="str">
        <f t="shared" si="82"/>
        <v>-</v>
      </c>
      <c r="Z499" t="str">
        <f t="shared" si="83"/>
        <v>-</v>
      </c>
      <c r="AA499" t="str">
        <f t="shared" si="84"/>
        <v>-</v>
      </c>
      <c r="AB499" t="str">
        <f>IF(_xlfn.IFNA(VLOOKUP(P499,Set_Ref!$B$6:$B$1048576,1,FALSE),"")&lt;&gt;"","-",FALSE)</f>
        <v>-</v>
      </c>
      <c r="AC499" t="str">
        <f t="shared" si="85"/>
        <v>-</v>
      </c>
      <c r="AD499" t="str">
        <f t="shared" si="86"/>
        <v>-</v>
      </c>
      <c r="AE499" t="b">
        <f t="shared" si="87"/>
        <v>1</v>
      </c>
    </row>
    <row r="500" spans="1:31" x14ac:dyDescent="0.25">
      <c r="A500">
        <v>2</v>
      </c>
      <c r="B500">
        <v>181</v>
      </c>
      <c r="C500">
        <v>261</v>
      </c>
      <c r="D500" s="11" t="s">
        <v>149</v>
      </c>
      <c r="E500" t="s">
        <v>376</v>
      </c>
      <c r="F500" t="s">
        <v>192</v>
      </c>
      <c r="G500" s="11" t="s">
        <v>474</v>
      </c>
      <c r="H500">
        <v>1</v>
      </c>
      <c r="I500" s="11" t="s">
        <v>430</v>
      </c>
      <c r="J500" t="s">
        <v>278</v>
      </c>
      <c r="K500" t="s">
        <v>218</v>
      </c>
      <c r="L500" s="11" t="s">
        <v>39</v>
      </c>
      <c r="M500" s="11" t="s">
        <v>39</v>
      </c>
      <c r="N500" s="11" t="s">
        <v>39</v>
      </c>
      <c r="O500" s="11" t="s">
        <v>39</v>
      </c>
      <c r="P500" t="s">
        <v>58</v>
      </c>
      <c r="Q500">
        <v>4.38</v>
      </c>
      <c r="R500">
        <v>0</v>
      </c>
      <c r="S500">
        <v>0</v>
      </c>
      <c r="T500" t="str">
        <f t="shared" si="77"/>
        <v>-</v>
      </c>
      <c r="U500" t="str">
        <f t="shared" si="78"/>
        <v>-</v>
      </c>
      <c r="V500" t="str">
        <f t="shared" si="79"/>
        <v>-</v>
      </c>
      <c r="W500" t="str">
        <f t="shared" si="80"/>
        <v>-</v>
      </c>
      <c r="X500" t="str">
        <f t="shared" si="81"/>
        <v>-</v>
      </c>
      <c r="Y500" t="str">
        <f t="shared" si="82"/>
        <v>-</v>
      </c>
      <c r="Z500" t="str">
        <f t="shared" si="83"/>
        <v>-</v>
      </c>
      <c r="AA500" t="str">
        <f t="shared" si="84"/>
        <v>-</v>
      </c>
      <c r="AB500" t="str">
        <f>IF(_xlfn.IFNA(VLOOKUP(P500,Set_Ref!$B$6:$B$1048576,1,FALSE),"")&lt;&gt;"","-",FALSE)</f>
        <v>-</v>
      </c>
      <c r="AC500" t="str">
        <f t="shared" si="85"/>
        <v>-</v>
      </c>
      <c r="AD500" t="str">
        <f t="shared" si="86"/>
        <v>-</v>
      </c>
      <c r="AE500" t="b">
        <f t="shared" si="87"/>
        <v>1</v>
      </c>
    </row>
    <row r="501" spans="1:31" x14ac:dyDescent="0.25">
      <c r="A501">
        <v>2</v>
      </c>
      <c r="B501">
        <v>182</v>
      </c>
      <c r="C501">
        <v>261</v>
      </c>
      <c r="D501" s="11" t="s">
        <v>149</v>
      </c>
      <c r="E501" t="s">
        <v>377</v>
      </c>
      <c r="F501" t="s">
        <v>193</v>
      </c>
      <c r="G501" s="11" t="s">
        <v>475</v>
      </c>
      <c r="H501">
        <v>1</v>
      </c>
      <c r="I501" s="11" t="s">
        <v>433</v>
      </c>
      <c r="J501" t="s">
        <v>281</v>
      </c>
      <c r="K501" t="s">
        <v>222</v>
      </c>
      <c r="L501" s="11" t="s">
        <v>39</v>
      </c>
      <c r="M501" s="11" t="s">
        <v>39</v>
      </c>
      <c r="N501" s="11" t="s">
        <v>39</v>
      </c>
      <c r="O501" s="11" t="s">
        <v>39</v>
      </c>
      <c r="P501" t="s">
        <v>10</v>
      </c>
      <c r="Q501">
        <v>1946</v>
      </c>
      <c r="R501">
        <v>0</v>
      </c>
      <c r="S501">
        <v>0</v>
      </c>
      <c r="T501" t="str">
        <f t="shared" si="77"/>
        <v>-</v>
      </c>
      <c r="U501" t="str">
        <f t="shared" si="78"/>
        <v>-</v>
      </c>
      <c r="V501" t="str">
        <f t="shared" si="79"/>
        <v>-</v>
      </c>
      <c r="W501" t="str">
        <f t="shared" si="80"/>
        <v>-</v>
      </c>
      <c r="X501" t="str">
        <f t="shared" si="81"/>
        <v>-</v>
      </c>
      <c r="Y501" t="str">
        <f t="shared" si="82"/>
        <v>-</v>
      </c>
      <c r="Z501" t="str">
        <f t="shared" si="83"/>
        <v>-</v>
      </c>
      <c r="AA501" t="str">
        <f t="shared" si="84"/>
        <v>-</v>
      </c>
      <c r="AB501" t="str">
        <f>IF(_xlfn.IFNA(VLOOKUP(P501,Set_Ref!$B$6:$B$1048576,1,FALSE),"")&lt;&gt;"","-",FALSE)</f>
        <v>-</v>
      </c>
      <c r="AC501" t="str">
        <f t="shared" si="85"/>
        <v>-</v>
      </c>
      <c r="AD501" t="str">
        <f t="shared" si="86"/>
        <v>-</v>
      </c>
      <c r="AE501" t="b">
        <f t="shared" si="87"/>
        <v>1</v>
      </c>
    </row>
    <row r="502" spans="1:31" x14ac:dyDescent="0.25">
      <c r="A502">
        <v>2</v>
      </c>
      <c r="B502">
        <v>183</v>
      </c>
      <c r="C502">
        <v>261</v>
      </c>
      <c r="D502" s="11" t="s">
        <v>149</v>
      </c>
      <c r="E502" t="s">
        <v>377</v>
      </c>
      <c r="F502" t="s">
        <v>193</v>
      </c>
      <c r="G502" s="11" t="s">
        <v>475</v>
      </c>
      <c r="H502">
        <v>2</v>
      </c>
      <c r="I502" s="11" t="s">
        <v>431</v>
      </c>
      <c r="J502" t="s">
        <v>284</v>
      </c>
      <c r="K502" t="s">
        <v>221</v>
      </c>
      <c r="L502" s="11" t="s">
        <v>39</v>
      </c>
      <c r="M502" s="11" t="s">
        <v>39</v>
      </c>
      <c r="N502" s="11" t="s">
        <v>39</v>
      </c>
      <c r="O502" s="11" t="s">
        <v>39</v>
      </c>
      <c r="P502" t="s">
        <v>9</v>
      </c>
      <c r="Q502">
        <v>5995</v>
      </c>
      <c r="R502">
        <v>0</v>
      </c>
      <c r="S502">
        <v>0</v>
      </c>
      <c r="T502" t="str">
        <f t="shared" si="77"/>
        <v>-</v>
      </c>
      <c r="U502" t="str">
        <f t="shared" si="78"/>
        <v>-</v>
      </c>
      <c r="V502" t="str">
        <f t="shared" si="79"/>
        <v>-</v>
      </c>
      <c r="W502" t="str">
        <f t="shared" si="80"/>
        <v>-</v>
      </c>
      <c r="X502" t="str">
        <f t="shared" si="81"/>
        <v>-</v>
      </c>
      <c r="Y502" t="str">
        <f t="shared" si="82"/>
        <v>-</v>
      </c>
      <c r="Z502" t="str">
        <f t="shared" si="83"/>
        <v>-</v>
      </c>
      <c r="AA502" t="str">
        <f t="shared" si="84"/>
        <v>-</v>
      </c>
      <c r="AB502" t="str">
        <f>IF(_xlfn.IFNA(VLOOKUP(P502,Set_Ref!$B$6:$B$1048576,1,FALSE),"")&lt;&gt;"","-",FALSE)</f>
        <v>-</v>
      </c>
      <c r="AC502" t="str">
        <f t="shared" si="85"/>
        <v>-</v>
      </c>
      <c r="AD502" t="str">
        <f t="shared" si="86"/>
        <v>-</v>
      </c>
      <c r="AE502" t="b">
        <f t="shared" si="87"/>
        <v>1</v>
      </c>
    </row>
    <row r="503" spans="1:31" x14ac:dyDescent="0.25">
      <c r="A503">
        <v>2</v>
      </c>
      <c r="B503">
        <v>184</v>
      </c>
      <c r="C503">
        <v>261</v>
      </c>
      <c r="D503" s="11" t="s">
        <v>149</v>
      </c>
      <c r="E503" t="s">
        <v>378</v>
      </c>
      <c r="F503" t="s">
        <v>193</v>
      </c>
      <c r="G503" s="11" t="s">
        <v>476</v>
      </c>
      <c r="H503">
        <v>1</v>
      </c>
      <c r="I503" s="11" t="s">
        <v>177</v>
      </c>
      <c r="J503" t="s">
        <v>477</v>
      </c>
      <c r="K503" t="s">
        <v>251</v>
      </c>
      <c r="L503" s="11" t="s">
        <v>39</v>
      </c>
      <c r="M503" s="11" t="s">
        <v>39</v>
      </c>
      <c r="N503" s="11" t="s">
        <v>39</v>
      </c>
      <c r="O503" s="11" t="s">
        <v>39</v>
      </c>
      <c r="P503" t="s">
        <v>9</v>
      </c>
      <c r="Q503">
        <v>1080</v>
      </c>
      <c r="R503">
        <v>0</v>
      </c>
      <c r="S503">
        <v>0</v>
      </c>
      <c r="T503" t="str">
        <f t="shared" si="77"/>
        <v>-</v>
      </c>
      <c r="U503" t="str">
        <f t="shared" si="78"/>
        <v>-</v>
      </c>
      <c r="V503" t="str">
        <f t="shared" si="79"/>
        <v>-</v>
      </c>
      <c r="W503" t="str">
        <f t="shared" si="80"/>
        <v>-</v>
      </c>
      <c r="X503" t="str">
        <f t="shared" si="81"/>
        <v>-</v>
      </c>
      <c r="Y503" t="str">
        <f t="shared" si="82"/>
        <v>-</v>
      </c>
      <c r="Z503" t="str">
        <f t="shared" si="83"/>
        <v>-</v>
      </c>
      <c r="AA503" t="str">
        <f t="shared" si="84"/>
        <v>-</v>
      </c>
      <c r="AB503" t="str">
        <f>IF(_xlfn.IFNA(VLOOKUP(P503,Set_Ref!$B$6:$B$1048576,1,FALSE),"")&lt;&gt;"","-",FALSE)</f>
        <v>-</v>
      </c>
      <c r="AC503" t="str">
        <f t="shared" si="85"/>
        <v>-</v>
      </c>
      <c r="AD503" t="str">
        <f t="shared" si="86"/>
        <v>-</v>
      </c>
      <c r="AE503" t="b">
        <f t="shared" si="87"/>
        <v>1</v>
      </c>
    </row>
    <row r="504" spans="1:31" x14ac:dyDescent="0.25">
      <c r="A504">
        <v>2</v>
      </c>
      <c r="B504">
        <v>185</v>
      </c>
      <c r="C504">
        <v>261</v>
      </c>
      <c r="D504" s="11" t="s">
        <v>149</v>
      </c>
      <c r="E504" t="s">
        <v>378</v>
      </c>
      <c r="F504" t="s">
        <v>193</v>
      </c>
      <c r="G504" s="11" t="s">
        <v>476</v>
      </c>
      <c r="H504">
        <v>2</v>
      </c>
      <c r="I504" s="11" t="s">
        <v>177</v>
      </c>
      <c r="J504" t="s">
        <v>379</v>
      </c>
      <c r="K504" t="s">
        <v>255</v>
      </c>
      <c r="L504" s="11" t="s">
        <v>39</v>
      </c>
      <c r="M504" s="11" t="s">
        <v>39</v>
      </c>
      <c r="N504" s="11" t="s">
        <v>39</v>
      </c>
      <c r="O504" s="11" t="s">
        <v>39</v>
      </c>
      <c r="P504" t="s">
        <v>9</v>
      </c>
      <c r="Q504">
        <v>40</v>
      </c>
      <c r="R504">
        <v>0</v>
      </c>
      <c r="S504">
        <v>0</v>
      </c>
      <c r="T504" t="str">
        <f t="shared" si="77"/>
        <v>-</v>
      </c>
      <c r="U504" t="str">
        <f t="shared" si="78"/>
        <v>-</v>
      </c>
      <c r="V504" t="str">
        <f t="shared" si="79"/>
        <v>-</v>
      </c>
      <c r="W504" t="str">
        <f t="shared" si="80"/>
        <v>-</v>
      </c>
      <c r="X504" t="str">
        <f t="shared" si="81"/>
        <v>-</v>
      </c>
      <c r="Y504" t="str">
        <f t="shared" si="82"/>
        <v>-</v>
      </c>
      <c r="Z504" t="str">
        <f t="shared" si="83"/>
        <v>-</v>
      </c>
      <c r="AA504" t="str">
        <f t="shared" si="84"/>
        <v>-</v>
      </c>
      <c r="AB504" t="str">
        <f>IF(_xlfn.IFNA(VLOOKUP(P504,Set_Ref!$B$6:$B$1048576,1,FALSE),"")&lt;&gt;"","-",FALSE)</f>
        <v>-</v>
      </c>
      <c r="AC504" t="str">
        <f t="shared" si="85"/>
        <v>-</v>
      </c>
      <c r="AD504" t="str">
        <f t="shared" si="86"/>
        <v>-</v>
      </c>
      <c r="AE504" t="b">
        <f t="shared" si="87"/>
        <v>1</v>
      </c>
    </row>
    <row r="505" spans="1:31" x14ac:dyDescent="0.25">
      <c r="A505">
        <v>2</v>
      </c>
      <c r="B505">
        <v>186</v>
      </c>
      <c r="C505">
        <v>261</v>
      </c>
      <c r="D505" s="11" t="s">
        <v>149</v>
      </c>
      <c r="E505" t="s">
        <v>378</v>
      </c>
      <c r="F505" t="s">
        <v>193</v>
      </c>
      <c r="G505" s="11" t="s">
        <v>476</v>
      </c>
      <c r="H505">
        <v>3</v>
      </c>
      <c r="I505" s="11" t="s">
        <v>177</v>
      </c>
      <c r="J505" t="s">
        <v>380</v>
      </c>
      <c r="K505" t="s">
        <v>256</v>
      </c>
      <c r="L505" s="11" t="s">
        <v>39</v>
      </c>
      <c r="M505" s="11" t="s">
        <v>39</v>
      </c>
      <c r="N505" s="11" t="s">
        <v>39</v>
      </c>
      <c r="O505" s="11" t="s">
        <v>39</v>
      </c>
      <c r="P505" t="s">
        <v>9</v>
      </c>
      <c r="Q505">
        <v>60</v>
      </c>
      <c r="R505">
        <v>0</v>
      </c>
      <c r="S505">
        <v>0</v>
      </c>
      <c r="T505" t="str">
        <f t="shared" si="77"/>
        <v>-</v>
      </c>
      <c r="U505" t="str">
        <f t="shared" si="78"/>
        <v>-</v>
      </c>
      <c r="V505" t="str">
        <f t="shared" si="79"/>
        <v>-</v>
      </c>
      <c r="W505" t="str">
        <f t="shared" si="80"/>
        <v>-</v>
      </c>
      <c r="X505" t="str">
        <f t="shared" si="81"/>
        <v>-</v>
      </c>
      <c r="Y505" t="str">
        <f t="shared" si="82"/>
        <v>-</v>
      </c>
      <c r="Z505" t="str">
        <f t="shared" si="83"/>
        <v>-</v>
      </c>
      <c r="AA505" t="str">
        <f t="shared" si="84"/>
        <v>-</v>
      </c>
      <c r="AB505" t="str">
        <f>IF(_xlfn.IFNA(VLOOKUP(P505,Set_Ref!$B$6:$B$1048576,1,FALSE),"")&lt;&gt;"","-",FALSE)</f>
        <v>-</v>
      </c>
      <c r="AC505" t="str">
        <f t="shared" si="85"/>
        <v>-</v>
      </c>
      <c r="AD505" t="str">
        <f t="shared" si="86"/>
        <v>-</v>
      </c>
      <c r="AE505" t="b">
        <f t="shared" si="87"/>
        <v>1</v>
      </c>
    </row>
    <row r="506" spans="1:31" x14ac:dyDescent="0.25">
      <c r="A506">
        <v>2</v>
      </c>
      <c r="B506">
        <v>187</v>
      </c>
      <c r="C506">
        <v>261</v>
      </c>
      <c r="D506" s="11" t="s">
        <v>149</v>
      </c>
      <c r="E506" t="s">
        <v>378</v>
      </c>
      <c r="F506" t="s">
        <v>193</v>
      </c>
      <c r="G506" s="11" t="s">
        <v>476</v>
      </c>
      <c r="H506">
        <v>4</v>
      </c>
      <c r="I506" s="11" t="s">
        <v>177</v>
      </c>
      <c r="J506" t="s">
        <v>381</v>
      </c>
      <c r="K506" t="s">
        <v>257</v>
      </c>
      <c r="L506" s="11" t="s">
        <v>39</v>
      </c>
      <c r="M506" s="11" t="s">
        <v>39</v>
      </c>
      <c r="N506" s="11" t="s">
        <v>39</v>
      </c>
      <c r="O506" s="11" t="s">
        <v>39</v>
      </c>
      <c r="P506" t="s">
        <v>9</v>
      </c>
      <c r="Q506">
        <v>160</v>
      </c>
      <c r="R506">
        <v>0</v>
      </c>
      <c r="S506">
        <v>0</v>
      </c>
      <c r="T506" t="str">
        <f t="shared" si="77"/>
        <v>-</v>
      </c>
      <c r="U506" t="str">
        <f t="shared" si="78"/>
        <v>-</v>
      </c>
      <c r="V506" t="str">
        <f t="shared" si="79"/>
        <v>-</v>
      </c>
      <c r="W506" t="str">
        <f t="shared" si="80"/>
        <v>-</v>
      </c>
      <c r="X506" t="str">
        <f t="shared" si="81"/>
        <v>-</v>
      </c>
      <c r="Y506" t="str">
        <f t="shared" si="82"/>
        <v>-</v>
      </c>
      <c r="Z506" t="str">
        <f t="shared" si="83"/>
        <v>-</v>
      </c>
      <c r="AA506" t="str">
        <f t="shared" si="84"/>
        <v>-</v>
      </c>
      <c r="AB506" t="str">
        <f>IF(_xlfn.IFNA(VLOOKUP(P506,Set_Ref!$B$6:$B$1048576,1,FALSE),"")&lt;&gt;"","-",FALSE)</f>
        <v>-</v>
      </c>
      <c r="AC506" t="str">
        <f t="shared" si="85"/>
        <v>-</v>
      </c>
      <c r="AD506" t="str">
        <f t="shared" si="86"/>
        <v>-</v>
      </c>
      <c r="AE506" t="b">
        <f t="shared" si="87"/>
        <v>1</v>
      </c>
    </row>
    <row r="507" spans="1:31" x14ac:dyDescent="0.25">
      <c r="A507">
        <v>2</v>
      </c>
      <c r="B507">
        <v>188</v>
      </c>
      <c r="C507">
        <v>261</v>
      </c>
      <c r="D507" s="11" t="s">
        <v>149</v>
      </c>
      <c r="E507" t="s">
        <v>378</v>
      </c>
      <c r="F507" t="s">
        <v>193</v>
      </c>
      <c r="G507" s="11" t="s">
        <v>476</v>
      </c>
      <c r="H507">
        <v>5</v>
      </c>
      <c r="I507" s="11" t="s">
        <v>177</v>
      </c>
      <c r="J507" t="s">
        <v>324</v>
      </c>
      <c r="K507" t="s">
        <v>250</v>
      </c>
      <c r="L507" s="11" t="s">
        <v>39</v>
      </c>
      <c r="M507" s="11" t="s">
        <v>39</v>
      </c>
      <c r="N507" s="11" t="s">
        <v>39</v>
      </c>
      <c r="O507" s="11" t="s">
        <v>39</v>
      </c>
      <c r="P507" t="s">
        <v>9</v>
      </c>
      <c r="Q507">
        <v>410</v>
      </c>
      <c r="R507">
        <v>0</v>
      </c>
      <c r="S507">
        <v>0</v>
      </c>
      <c r="T507" t="str">
        <f t="shared" si="77"/>
        <v>-</v>
      </c>
      <c r="U507" t="str">
        <f t="shared" si="78"/>
        <v>-</v>
      </c>
      <c r="V507" t="str">
        <f t="shared" si="79"/>
        <v>-</v>
      </c>
      <c r="W507" t="str">
        <f t="shared" si="80"/>
        <v>-</v>
      </c>
      <c r="X507" t="str">
        <f t="shared" si="81"/>
        <v>-</v>
      </c>
      <c r="Y507" t="str">
        <f t="shared" si="82"/>
        <v>-</v>
      </c>
      <c r="Z507" t="str">
        <f t="shared" si="83"/>
        <v>-</v>
      </c>
      <c r="AA507" t="str">
        <f t="shared" si="84"/>
        <v>-</v>
      </c>
      <c r="AB507" t="str">
        <f>IF(_xlfn.IFNA(VLOOKUP(P507,Set_Ref!$B$6:$B$1048576,1,FALSE),"")&lt;&gt;"","-",FALSE)</f>
        <v>-</v>
      </c>
      <c r="AC507" t="str">
        <f t="shared" si="85"/>
        <v>-</v>
      </c>
      <c r="AD507" t="str">
        <f t="shared" si="86"/>
        <v>-</v>
      </c>
      <c r="AE507" t="b">
        <f t="shared" si="87"/>
        <v>1</v>
      </c>
    </row>
    <row r="508" spans="1:31" x14ac:dyDescent="0.25">
      <c r="A508">
        <v>2</v>
      </c>
      <c r="B508">
        <v>189</v>
      </c>
      <c r="C508">
        <v>261</v>
      </c>
      <c r="D508" s="11" t="s">
        <v>149</v>
      </c>
      <c r="E508" t="s">
        <v>378</v>
      </c>
      <c r="F508" t="s">
        <v>193</v>
      </c>
      <c r="G508" s="11" t="s">
        <v>476</v>
      </c>
      <c r="H508">
        <v>1</v>
      </c>
      <c r="I508" s="11" t="s">
        <v>177</v>
      </c>
      <c r="J508" t="s">
        <v>477</v>
      </c>
      <c r="K508" t="s">
        <v>251</v>
      </c>
      <c r="L508" s="11" t="s">
        <v>39</v>
      </c>
      <c r="M508" s="11" t="s">
        <v>39</v>
      </c>
      <c r="N508" s="11" t="s">
        <v>39</v>
      </c>
      <c r="O508" s="11" t="s">
        <v>39</v>
      </c>
      <c r="P508" t="s">
        <v>9</v>
      </c>
      <c r="Q508">
        <v>670</v>
      </c>
      <c r="R508">
        <v>0</v>
      </c>
      <c r="S508">
        <v>0</v>
      </c>
      <c r="T508" t="str">
        <f t="shared" si="77"/>
        <v>-</v>
      </c>
      <c r="U508" t="str">
        <f t="shared" si="78"/>
        <v>-</v>
      </c>
      <c r="V508" t="str">
        <f t="shared" si="79"/>
        <v>-</v>
      </c>
      <c r="W508" t="str">
        <f t="shared" si="80"/>
        <v>-</v>
      </c>
      <c r="X508" t="str">
        <f t="shared" si="81"/>
        <v>-</v>
      </c>
      <c r="Y508" t="str">
        <f t="shared" si="82"/>
        <v>-</v>
      </c>
      <c r="Z508" t="str">
        <f t="shared" si="83"/>
        <v>-</v>
      </c>
      <c r="AA508" t="str">
        <f t="shared" si="84"/>
        <v>-</v>
      </c>
      <c r="AB508" t="str">
        <f>IF(_xlfn.IFNA(VLOOKUP(P508,Set_Ref!$B$6:$B$1048576,1,FALSE),"")&lt;&gt;"","-",FALSE)</f>
        <v>-</v>
      </c>
      <c r="AC508" t="str">
        <f t="shared" si="85"/>
        <v>-</v>
      </c>
      <c r="AD508" t="str">
        <f t="shared" si="86"/>
        <v>-</v>
      </c>
      <c r="AE508" t="b">
        <f t="shared" si="87"/>
        <v>1</v>
      </c>
    </row>
    <row r="509" spans="1:31" x14ac:dyDescent="0.25">
      <c r="A509">
        <v>2</v>
      </c>
      <c r="B509">
        <v>190</v>
      </c>
      <c r="C509">
        <v>261</v>
      </c>
      <c r="D509" s="11" t="s">
        <v>149</v>
      </c>
      <c r="E509" t="s">
        <v>378</v>
      </c>
      <c r="F509" t="s">
        <v>193</v>
      </c>
      <c r="G509" s="11" t="s">
        <v>476</v>
      </c>
      <c r="H509">
        <v>6</v>
      </c>
      <c r="I509" s="11" t="s">
        <v>177</v>
      </c>
      <c r="J509" t="s">
        <v>478</v>
      </c>
      <c r="K509" t="s">
        <v>258</v>
      </c>
      <c r="L509" s="11" t="s">
        <v>39</v>
      </c>
      <c r="M509" s="11" t="s">
        <v>39</v>
      </c>
      <c r="N509" s="11" t="s">
        <v>39</v>
      </c>
      <c r="O509" s="11" t="s">
        <v>39</v>
      </c>
      <c r="P509" t="s">
        <v>9</v>
      </c>
      <c r="Q509">
        <v>20</v>
      </c>
      <c r="R509">
        <v>0</v>
      </c>
      <c r="S509">
        <v>0</v>
      </c>
      <c r="T509" t="str">
        <f t="shared" si="77"/>
        <v>-</v>
      </c>
      <c r="U509" t="str">
        <f t="shared" si="78"/>
        <v>-</v>
      </c>
      <c r="V509" t="str">
        <f t="shared" si="79"/>
        <v>-</v>
      </c>
      <c r="W509" t="str">
        <f t="shared" si="80"/>
        <v>-</v>
      </c>
      <c r="X509" t="str">
        <f t="shared" si="81"/>
        <v>-</v>
      </c>
      <c r="Y509" t="str">
        <f t="shared" si="82"/>
        <v>-</v>
      </c>
      <c r="Z509" t="str">
        <f t="shared" si="83"/>
        <v>-</v>
      </c>
      <c r="AA509" t="str">
        <f t="shared" si="84"/>
        <v>-</v>
      </c>
      <c r="AB509" t="str">
        <f>IF(_xlfn.IFNA(VLOOKUP(P509,Set_Ref!$B$6:$B$1048576,1,FALSE),"")&lt;&gt;"","-",FALSE)</f>
        <v>-</v>
      </c>
      <c r="AC509" t="str">
        <f t="shared" si="85"/>
        <v>-</v>
      </c>
      <c r="AD509" t="str">
        <f t="shared" si="86"/>
        <v>-</v>
      </c>
      <c r="AE509" t="b">
        <f t="shared" si="87"/>
        <v>1</v>
      </c>
    </row>
    <row r="510" spans="1:31" x14ac:dyDescent="0.25">
      <c r="A510">
        <v>2</v>
      </c>
      <c r="B510">
        <v>191</v>
      </c>
      <c r="C510">
        <v>261</v>
      </c>
      <c r="D510" s="11" t="s">
        <v>149</v>
      </c>
      <c r="E510" t="s">
        <v>378</v>
      </c>
      <c r="F510" t="s">
        <v>193</v>
      </c>
      <c r="G510" s="11" t="s">
        <v>476</v>
      </c>
      <c r="H510">
        <v>6</v>
      </c>
      <c r="I510" s="11" t="s">
        <v>177</v>
      </c>
      <c r="J510" t="s">
        <v>478</v>
      </c>
      <c r="K510" t="s">
        <v>258</v>
      </c>
      <c r="L510" s="11" t="s">
        <v>39</v>
      </c>
      <c r="M510" s="11" t="s">
        <v>39</v>
      </c>
      <c r="N510" s="11" t="s">
        <v>39</v>
      </c>
      <c r="O510" s="11" t="s">
        <v>39</v>
      </c>
      <c r="P510" t="s">
        <v>9</v>
      </c>
      <c r="Q510">
        <v>30</v>
      </c>
      <c r="R510">
        <v>0</v>
      </c>
      <c r="S510">
        <v>0</v>
      </c>
      <c r="T510" t="str">
        <f t="shared" si="77"/>
        <v>-</v>
      </c>
      <c r="U510" t="str">
        <f t="shared" si="78"/>
        <v>-</v>
      </c>
      <c r="V510" t="str">
        <f t="shared" si="79"/>
        <v>-</v>
      </c>
      <c r="W510" t="str">
        <f t="shared" si="80"/>
        <v>-</v>
      </c>
      <c r="X510" t="str">
        <f t="shared" si="81"/>
        <v>-</v>
      </c>
      <c r="Y510" t="str">
        <f t="shared" si="82"/>
        <v>-</v>
      </c>
      <c r="Z510" t="str">
        <f t="shared" si="83"/>
        <v>-</v>
      </c>
      <c r="AA510" t="str">
        <f t="shared" si="84"/>
        <v>-</v>
      </c>
      <c r="AB510" t="str">
        <f>IF(_xlfn.IFNA(VLOOKUP(P510,Set_Ref!$B$6:$B$1048576,1,FALSE),"")&lt;&gt;"","-",FALSE)</f>
        <v>-</v>
      </c>
      <c r="AC510" t="str">
        <f t="shared" si="85"/>
        <v>-</v>
      </c>
      <c r="AD510" t="str">
        <f t="shared" si="86"/>
        <v>-</v>
      </c>
      <c r="AE510" t="b">
        <f t="shared" si="87"/>
        <v>1</v>
      </c>
    </row>
    <row r="511" spans="1:31" x14ac:dyDescent="0.25">
      <c r="A511">
        <v>2</v>
      </c>
      <c r="B511">
        <v>192</v>
      </c>
      <c r="C511">
        <v>261</v>
      </c>
      <c r="D511" s="11" t="s">
        <v>149</v>
      </c>
      <c r="E511" t="s">
        <v>378</v>
      </c>
      <c r="F511" t="s">
        <v>193</v>
      </c>
      <c r="G511" s="11" t="s">
        <v>476</v>
      </c>
      <c r="H511">
        <v>6</v>
      </c>
      <c r="I511" s="11" t="s">
        <v>177</v>
      </c>
      <c r="J511" t="s">
        <v>478</v>
      </c>
      <c r="K511" t="s">
        <v>258</v>
      </c>
      <c r="L511" s="11" t="s">
        <v>39</v>
      </c>
      <c r="M511" s="11" t="s">
        <v>39</v>
      </c>
      <c r="N511" s="11" t="s">
        <v>39</v>
      </c>
      <c r="O511" s="11" t="s">
        <v>39</v>
      </c>
      <c r="P511" t="s">
        <v>9</v>
      </c>
      <c r="Q511">
        <v>40</v>
      </c>
      <c r="R511">
        <v>0</v>
      </c>
      <c r="S511">
        <v>0</v>
      </c>
      <c r="T511" t="str">
        <f t="shared" si="77"/>
        <v>-</v>
      </c>
      <c r="U511" t="str">
        <f t="shared" si="78"/>
        <v>-</v>
      </c>
      <c r="V511" t="str">
        <f t="shared" si="79"/>
        <v>-</v>
      </c>
      <c r="W511" t="str">
        <f t="shared" si="80"/>
        <v>-</v>
      </c>
      <c r="X511" t="str">
        <f t="shared" si="81"/>
        <v>-</v>
      </c>
      <c r="Y511" t="str">
        <f t="shared" si="82"/>
        <v>-</v>
      </c>
      <c r="Z511" t="str">
        <f t="shared" si="83"/>
        <v>-</v>
      </c>
      <c r="AA511" t="str">
        <f t="shared" si="84"/>
        <v>-</v>
      </c>
      <c r="AB511" t="str">
        <f>IF(_xlfn.IFNA(VLOOKUP(P511,Set_Ref!$B$6:$B$1048576,1,FALSE),"")&lt;&gt;"","-",FALSE)</f>
        <v>-</v>
      </c>
      <c r="AC511" t="str">
        <f t="shared" si="85"/>
        <v>-</v>
      </c>
      <c r="AD511" t="str">
        <f t="shared" si="86"/>
        <v>-</v>
      </c>
      <c r="AE511" t="b">
        <f t="shared" si="87"/>
        <v>1</v>
      </c>
    </row>
    <row r="512" spans="1:31" x14ac:dyDescent="0.25">
      <c r="A512">
        <v>2</v>
      </c>
      <c r="B512">
        <v>193</v>
      </c>
      <c r="C512">
        <v>261</v>
      </c>
      <c r="D512" s="11" t="s">
        <v>149</v>
      </c>
      <c r="E512" t="s">
        <v>378</v>
      </c>
      <c r="F512" t="s">
        <v>193</v>
      </c>
      <c r="G512" s="11" t="s">
        <v>476</v>
      </c>
      <c r="H512">
        <v>6</v>
      </c>
      <c r="I512" s="11" t="s">
        <v>177</v>
      </c>
      <c r="J512" t="s">
        <v>478</v>
      </c>
      <c r="K512" t="s">
        <v>258</v>
      </c>
      <c r="L512" s="11" t="s">
        <v>39</v>
      </c>
      <c r="M512" s="11" t="s">
        <v>39</v>
      </c>
      <c r="N512" s="11" t="s">
        <v>39</v>
      </c>
      <c r="O512" s="11" t="s">
        <v>39</v>
      </c>
      <c r="P512" t="s">
        <v>9</v>
      </c>
      <c r="Q512">
        <v>40</v>
      </c>
      <c r="R512">
        <v>0</v>
      </c>
      <c r="S512">
        <v>0</v>
      </c>
      <c r="T512" t="str">
        <f t="shared" si="77"/>
        <v>-</v>
      </c>
      <c r="U512" t="str">
        <f t="shared" si="78"/>
        <v>-</v>
      </c>
      <c r="V512" t="str">
        <f t="shared" si="79"/>
        <v>-</v>
      </c>
      <c r="W512" t="str">
        <f t="shared" si="80"/>
        <v>-</v>
      </c>
      <c r="X512" t="str">
        <f t="shared" si="81"/>
        <v>-</v>
      </c>
      <c r="Y512" t="str">
        <f t="shared" si="82"/>
        <v>-</v>
      </c>
      <c r="Z512" t="str">
        <f t="shared" si="83"/>
        <v>-</v>
      </c>
      <c r="AA512" t="str">
        <f t="shared" si="84"/>
        <v>-</v>
      </c>
      <c r="AB512" t="str">
        <f>IF(_xlfn.IFNA(VLOOKUP(P512,Set_Ref!$B$6:$B$1048576,1,FALSE),"")&lt;&gt;"","-",FALSE)</f>
        <v>-</v>
      </c>
      <c r="AC512" t="str">
        <f t="shared" si="85"/>
        <v>-</v>
      </c>
      <c r="AD512" t="str">
        <f t="shared" si="86"/>
        <v>-</v>
      </c>
      <c r="AE512" t="b">
        <f t="shared" si="87"/>
        <v>1</v>
      </c>
    </row>
    <row r="513" spans="1:31" x14ac:dyDescent="0.25">
      <c r="A513">
        <v>2</v>
      </c>
      <c r="B513">
        <v>194</v>
      </c>
      <c r="C513">
        <v>261</v>
      </c>
      <c r="D513" s="11" t="s">
        <v>149</v>
      </c>
      <c r="E513" t="s">
        <v>378</v>
      </c>
      <c r="F513" t="s">
        <v>193</v>
      </c>
      <c r="G513" s="11" t="s">
        <v>476</v>
      </c>
      <c r="H513">
        <v>6</v>
      </c>
      <c r="I513" s="11" t="s">
        <v>177</v>
      </c>
      <c r="J513" t="s">
        <v>478</v>
      </c>
      <c r="K513" t="s">
        <v>258</v>
      </c>
      <c r="L513" s="11" t="s">
        <v>39</v>
      </c>
      <c r="M513" s="11" t="s">
        <v>39</v>
      </c>
      <c r="N513" s="11" t="s">
        <v>39</v>
      </c>
      <c r="O513" s="11" t="s">
        <v>39</v>
      </c>
      <c r="P513" t="s">
        <v>9</v>
      </c>
      <c r="Q513">
        <v>30</v>
      </c>
      <c r="R513">
        <v>0</v>
      </c>
      <c r="S513">
        <v>0</v>
      </c>
      <c r="T513" t="str">
        <f t="shared" si="77"/>
        <v>-</v>
      </c>
      <c r="U513" t="str">
        <f t="shared" si="78"/>
        <v>-</v>
      </c>
      <c r="V513" t="str">
        <f t="shared" si="79"/>
        <v>-</v>
      </c>
      <c r="W513" t="str">
        <f t="shared" si="80"/>
        <v>-</v>
      </c>
      <c r="X513" t="str">
        <f t="shared" si="81"/>
        <v>-</v>
      </c>
      <c r="Y513" t="str">
        <f t="shared" si="82"/>
        <v>-</v>
      </c>
      <c r="Z513" t="str">
        <f t="shared" si="83"/>
        <v>-</v>
      </c>
      <c r="AA513" t="str">
        <f t="shared" si="84"/>
        <v>-</v>
      </c>
      <c r="AB513" t="str">
        <f>IF(_xlfn.IFNA(VLOOKUP(P513,Set_Ref!$B$6:$B$1048576,1,FALSE),"")&lt;&gt;"","-",FALSE)</f>
        <v>-</v>
      </c>
      <c r="AC513" t="str">
        <f t="shared" si="85"/>
        <v>-</v>
      </c>
      <c r="AD513" t="str">
        <f t="shared" si="86"/>
        <v>-</v>
      </c>
      <c r="AE513" t="b">
        <f t="shared" si="87"/>
        <v>1</v>
      </c>
    </row>
    <row r="514" spans="1:31" x14ac:dyDescent="0.25">
      <c r="A514">
        <v>2</v>
      </c>
      <c r="B514">
        <v>195</v>
      </c>
      <c r="C514">
        <v>261</v>
      </c>
      <c r="D514" s="11" t="s">
        <v>149</v>
      </c>
      <c r="E514" t="s">
        <v>378</v>
      </c>
      <c r="F514" t="s">
        <v>193</v>
      </c>
      <c r="G514" s="11" t="s">
        <v>476</v>
      </c>
      <c r="H514">
        <v>6</v>
      </c>
      <c r="I514" s="11" t="s">
        <v>177</v>
      </c>
      <c r="J514" t="s">
        <v>478</v>
      </c>
      <c r="K514" t="s">
        <v>258</v>
      </c>
      <c r="L514" s="11" t="s">
        <v>39</v>
      </c>
      <c r="M514" s="11" t="s">
        <v>39</v>
      </c>
      <c r="N514" s="11" t="s">
        <v>39</v>
      </c>
      <c r="O514" s="11" t="s">
        <v>39</v>
      </c>
      <c r="P514" t="s">
        <v>9</v>
      </c>
      <c r="Q514">
        <v>11</v>
      </c>
      <c r="R514">
        <v>0</v>
      </c>
      <c r="S514">
        <v>0</v>
      </c>
      <c r="T514" t="str">
        <f t="shared" si="77"/>
        <v>-</v>
      </c>
      <c r="U514" t="str">
        <f t="shared" si="78"/>
        <v>-</v>
      </c>
      <c r="V514" t="str">
        <f t="shared" si="79"/>
        <v>-</v>
      </c>
      <c r="W514" t="str">
        <f t="shared" si="80"/>
        <v>-</v>
      </c>
      <c r="X514" t="str">
        <f t="shared" si="81"/>
        <v>-</v>
      </c>
      <c r="Y514" t="str">
        <f t="shared" si="82"/>
        <v>-</v>
      </c>
      <c r="Z514" t="str">
        <f t="shared" si="83"/>
        <v>-</v>
      </c>
      <c r="AA514" t="str">
        <f t="shared" si="84"/>
        <v>-</v>
      </c>
      <c r="AB514" t="str">
        <f>IF(_xlfn.IFNA(VLOOKUP(P514,Set_Ref!$B$6:$B$1048576,1,FALSE),"")&lt;&gt;"","-",FALSE)</f>
        <v>-</v>
      </c>
      <c r="AC514" t="str">
        <f t="shared" si="85"/>
        <v>-</v>
      </c>
      <c r="AD514" t="str">
        <f t="shared" si="86"/>
        <v>-</v>
      </c>
      <c r="AE514" t="b">
        <f t="shared" si="87"/>
        <v>1</v>
      </c>
    </row>
    <row r="515" spans="1:31" x14ac:dyDescent="0.25">
      <c r="A515">
        <v>2</v>
      </c>
      <c r="B515">
        <v>196</v>
      </c>
      <c r="C515">
        <v>261</v>
      </c>
      <c r="D515" s="11" t="s">
        <v>149</v>
      </c>
      <c r="E515" t="s">
        <v>378</v>
      </c>
      <c r="F515" t="s">
        <v>193</v>
      </c>
      <c r="G515" s="11" t="s">
        <v>476</v>
      </c>
      <c r="H515">
        <v>6</v>
      </c>
      <c r="I515" s="11" t="s">
        <v>177</v>
      </c>
      <c r="J515" t="s">
        <v>478</v>
      </c>
      <c r="K515" t="s">
        <v>258</v>
      </c>
      <c r="L515" s="11" t="s">
        <v>39</v>
      </c>
      <c r="M515" s="11" t="s">
        <v>39</v>
      </c>
      <c r="N515" s="11" t="s">
        <v>39</v>
      </c>
      <c r="O515" s="11" t="s">
        <v>39</v>
      </c>
      <c r="P515" t="s">
        <v>9</v>
      </c>
      <c r="Q515">
        <v>20</v>
      </c>
      <c r="R515">
        <v>0</v>
      </c>
      <c r="S515">
        <v>0</v>
      </c>
      <c r="T515" t="str">
        <f t="shared" ref="T515:T578" si="88">IF(OR(A515="",A515&lt;1),FALSE,IF(ISNUMBER(A515), IF(INT(A515) = A515, "-", FALSE), FALSE))</f>
        <v>-</v>
      </c>
      <c r="U515" t="str">
        <f t="shared" ref="U515:U578" si="89">IF(OR(B515="",A515&lt;1),FALSE,IF(ISNUMBER(A515), IF(INT(A515) = A515, "-", FALSE), FALSE))</f>
        <v>-</v>
      </c>
      <c r="V515" t="str">
        <f t="shared" ref="V515:V578" si="90">IF(OR(C515="",C515="PilihSalasatu"),FALSE,"-")</f>
        <v>-</v>
      </c>
      <c r="W515" t="str">
        <f t="shared" ref="W515:W578" si="91">IF(D515="",FALSE,"-")</f>
        <v>-</v>
      </c>
      <c r="X515" t="str">
        <f t="shared" ref="X515:X578" si="92">IF(E515="",FALSE,"-")</f>
        <v>-</v>
      </c>
      <c r="Y515" t="str">
        <f t="shared" ref="Y515:Y578" si="93">IF(F515="",FALSE,"-")</f>
        <v>-</v>
      </c>
      <c r="Z515" t="str">
        <f t="shared" ref="Z515:Z578" si="94">IF(I515="",FALSE,"-")</f>
        <v>-</v>
      </c>
      <c r="AA515" t="str">
        <f t="shared" ref="AA515:AA578" si="95">IF(J515="",FALSE,"-")</f>
        <v>-</v>
      </c>
      <c r="AB515" t="str">
        <f>IF(_xlfn.IFNA(VLOOKUP(P515,Set_Ref!$B$6:$B$1048576,1,FALSE),"")&lt;&gt;"","-",FALSE)</f>
        <v>-</v>
      </c>
      <c r="AC515" t="str">
        <f t="shared" ref="AC515:AC578" si="96">IF(OR(Q515="",Q515&lt;0),FALSE,IF(ISNUMBER(Q515),"-",FALSE))</f>
        <v>-</v>
      </c>
      <c r="AD515" t="str">
        <f t="shared" ref="AD515:AD578" si="97">IF(OR(G515="",H515="",I515="",K515=""),FALSE,"-")</f>
        <v>-</v>
      </c>
      <c r="AE515" t="b">
        <f t="shared" ref="AE515:AE578" si="98">IF(COUNTIF(T515:AD515, "FALSE") &gt; 0, FALSE, TRUE)</f>
        <v>1</v>
      </c>
    </row>
    <row r="516" spans="1:31" x14ac:dyDescent="0.25">
      <c r="A516">
        <v>2</v>
      </c>
      <c r="B516">
        <v>197</v>
      </c>
      <c r="C516">
        <v>261</v>
      </c>
      <c r="D516" s="11" t="s">
        <v>149</v>
      </c>
      <c r="E516" t="s">
        <v>378</v>
      </c>
      <c r="F516" t="s">
        <v>193</v>
      </c>
      <c r="G516" s="11" t="s">
        <v>476</v>
      </c>
      <c r="H516">
        <v>6</v>
      </c>
      <c r="I516" s="11" t="s">
        <v>177</v>
      </c>
      <c r="J516" t="s">
        <v>478</v>
      </c>
      <c r="K516" t="s">
        <v>258</v>
      </c>
      <c r="L516" s="11" t="s">
        <v>39</v>
      </c>
      <c r="M516" s="11" t="s">
        <v>39</v>
      </c>
      <c r="N516" s="11" t="s">
        <v>39</v>
      </c>
      <c r="O516" s="11" t="s">
        <v>39</v>
      </c>
      <c r="P516" t="s">
        <v>9</v>
      </c>
      <c r="Q516">
        <v>10</v>
      </c>
      <c r="R516">
        <v>0</v>
      </c>
      <c r="S516">
        <v>0</v>
      </c>
      <c r="T516" t="str">
        <f t="shared" si="88"/>
        <v>-</v>
      </c>
      <c r="U516" t="str">
        <f t="shared" si="89"/>
        <v>-</v>
      </c>
      <c r="V516" t="str">
        <f t="shared" si="90"/>
        <v>-</v>
      </c>
      <c r="W516" t="str">
        <f t="shared" si="91"/>
        <v>-</v>
      </c>
      <c r="X516" t="str">
        <f t="shared" si="92"/>
        <v>-</v>
      </c>
      <c r="Y516" t="str">
        <f t="shared" si="93"/>
        <v>-</v>
      </c>
      <c r="Z516" t="str">
        <f t="shared" si="94"/>
        <v>-</v>
      </c>
      <c r="AA516" t="str">
        <f t="shared" si="95"/>
        <v>-</v>
      </c>
      <c r="AB516" t="str">
        <f>IF(_xlfn.IFNA(VLOOKUP(P516,Set_Ref!$B$6:$B$1048576,1,FALSE),"")&lt;&gt;"","-",FALSE)</f>
        <v>-</v>
      </c>
      <c r="AC516" t="str">
        <f t="shared" si="96"/>
        <v>-</v>
      </c>
      <c r="AD516" t="str">
        <f t="shared" si="97"/>
        <v>-</v>
      </c>
      <c r="AE516" t="b">
        <f t="shared" si="98"/>
        <v>1</v>
      </c>
    </row>
    <row r="517" spans="1:31" x14ac:dyDescent="0.25">
      <c r="A517">
        <v>2</v>
      </c>
      <c r="B517">
        <v>198</v>
      </c>
      <c r="C517">
        <v>261</v>
      </c>
      <c r="D517" s="11" t="s">
        <v>149</v>
      </c>
      <c r="E517" t="s">
        <v>382</v>
      </c>
      <c r="F517" t="s">
        <v>194</v>
      </c>
      <c r="G517" s="11" t="s">
        <v>479</v>
      </c>
      <c r="H517">
        <v>1</v>
      </c>
      <c r="I517" s="11" t="s">
        <v>177</v>
      </c>
      <c r="J517" t="s">
        <v>325</v>
      </c>
      <c r="K517" t="s">
        <v>251</v>
      </c>
      <c r="L517" s="11" t="s">
        <v>39</v>
      </c>
      <c r="M517" s="11" t="s">
        <v>39</v>
      </c>
      <c r="N517" s="11" t="s">
        <v>39</v>
      </c>
      <c r="O517" s="11" t="s">
        <v>39</v>
      </c>
      <c r="P517" t="s">
        <v>9</v>
      </c>
      <c r="Q517">
        <v>560</v>
      </c>
      <c r="R517">
        <v>0</v>
      </c>
      <c r="S517">
        <v>0</v>
      </c>
      <c r="T517" t="str">
        <f t="shared" si="88"/>
        <v>-</v>
      </c>
      <c r="U517" t="str">
        <f t="shared" si="89"/>
        <v>-</v>
      </c>
      <c r="V517" t="str">
        <f t="shared" si="90"/>
        <v>-</v>
      </c>
      <c r="W517" t="str">
        <f t="shared" si="91"/>
        <v>-</v>
      </c>
      <c r="X517" t="str">
        <f t="shared" si="92"/>
        <v>-</v>
      </c>
      <c r="Y517" t="str">
        <f t="shared" si="93"/>
        <v>-</v>
      </c>
      <c r="Z517" t="str">
        <f t="shared" si="94"/>
        <v>-</v>
      </c>
      <c r="AA517" t="str">
        <f t="shared" si="95"/>
        <v>-</v>
      </c>
      <c r="AB517" t="str">
        <f>IF(_xlfn.IFNA(VLOOKUP(P517,Set_Ref!$B$6:$B$1048576,1,FALSE),"")&lt;&gt;"","-",FALSE)</f>
        <v>-</v>
      </c>
      <c r="AC517" t="str">
        <f t="shared" si="96"/>
        <v>-</v>
      </c>
      <c r="AD517" t="str">
        <f t="shared" si="97"/>
        <v>-</v>
      </c>
      <c r="AE517" t="b">
        <f t="shared" si="98"/>
        <v>1</v>
      </c>
    </row>
    <row r="518" spans="1:31" x14ac:dyDescent="0.25">
      <c r="A518">
        <v>2</v>
      </c>
      <c r="B518">
        <v>199</v>
      </c>
      <c r="C518">
        <v>261</v>
      </c>
      <c r="D518" s="11" t="s">
        <v>149</v>
      </c>
      <c r="E518" t="s">
        <v>382</v>
      </c>
      <c r="F518" t="s">
        <v>194</v>
      </c>
      <c r="G518" s="11" t="s">
        <v>479</v>
      </c>
      <c r="H518">
        <v>2</v>
      </c>
      <c r="I518" s="11" t="s">
        <v>427</v>
      </c>
      <c r="J518" t="s">
        <v>283</v>
      </c>
      <c r="K518" t="s">
        <v>225</v>
      </c>
      <c r="L518" s="11" t="s">
        <v>39</v>
      </c>
      <c r="M518" s="11" t="s">
        <v>39</v>
      </c>
      <c r="N518" s="11" t="s">
        <v>39</v>
      </c>
      <c r="O518" s="11" t="s">
        <v>39</v>
      </c>
      <c r="P518" t="s">
        <v>9</v>
      </c>
      <c r="Q518">
        <v>200</v>
      </c>
      <c r="R518">
        <v>0</v>
      </c>
      <c r="S518">
        <v>0</v>
      </c>
      <c r="T518" t="str">
        <f t="shared" si="88"/>
        <v>-</v>
      </c>
      <c r="U518" t="str">
        <f t="shared" si="89"/>
        <v>-</v>
      </c>
      <c r="V518" t="str">
        <f t="shared" si="90"/>
        <v>-</v>
      </c>
      <c r="W518" t="str">
        <f t="shared" si="91"/>
        <v>-</v>
      </c>
      <c r="X518" t="str">
        <f t="shared" si="92"/>
        <v>-</v>
      </c>
      <c r="Y518" t="str">
        <f t="shared" si="93"/>
        <v>-</v>
      </c>
      <c r="Z518" t="str">
        <f t="shared" si="94"/>
        <v>-</v>
      </c>
      <c r="AA518" t="str">
        <f t="shared" si="95"/>
        <v>-</v>
      </c>
      <c r="AB518" t="str">
        <f>IF(_xlfn.IFNA(VLOOKUP(P518,Set_Ref!$B$6:$B$1048576,1,FALSE),"")&lt;&gt;"","-",FALSE)</f>
        <v>-</v>
      </c>
      <c r="AC518" t="str">
        <f t="shared" si="96"/>
        <v>-</v>
      </c>
      <c r="AD518" t="str">
        <f t="shared" si="97"/>
        <v>-</v>
      </c>
      <c r="AE518" t="b">
        <f t="shared" si="98"/>
        <v>1</v>
      </c>
    </row>
    <row r="519" spans="1:31" x14ac:dyDescent="0.25">
      <c r="A519">
        <v>2</v>
      </c>
      <c r="B519">
        <v>200</v>
      </c>
      <c r="C519">
        <v>261</v>
      </c>
      <c r="D519" s="11" t="s">
        <v>149</v>
      </c>
      <c r="E519" t="s">
        <v>382</v>
      </c>
      <c r="F519" t="s">
        <v>194</v>
      </c>
      <c r="G519" s="11" t="s">
        <v>479</v>
      </c>
      <c r="H519">
        <v>3</v>
      </c>
      <c r="I519" s="11" t="s">
        <v>480</v>
      </c>
      <c r="J519" t="s">
        <v>383</v>
      </c>
      <c r="K519" t="s">
        <v>259</v>
      </c>
      <c r="L519" s="11" t="s">
        <v>39</v>
      </c>
      <c r="M519" s="11" t="s">
        <v>39</v>
      </c>
      <c r="N519" s="11" t="s">
        <v>39</v>
      </c>
      <c r="O519" s="11" t="s">
        <v>39</v>
      </c>
      <c r="P519" t="s">
        <v>9</v>
      </c>
      <c r="Q519">
        <v>1250</v>
      </c>
      <c r="R519">
        <v>0</v>
      </c>
      <c r="S519">
        <v>0</v>
      </c>
      <c r="T519" t="str">
        <f t="shared" si="88"/>
        <v>-</v>
      </c>
      <c r="U519" t="str">
        <f t="shared" si="89"/>
        <v>-</v>
      </c>
      <c r="V519" t="str">
        <f t="shared" si="90"/>
        <v>-</v>
      </c>
      <c r="W519" t="str">
        <f t="shared" si="91"/>
        <v>-</v>
      </c>
      <c r="X519" t="str">
        <f t="shared" si="92"/>
        <v>-</v>
      </c>
      <c r="Y519" t="str">
        <f t="shared" si="93"/>
        <v>-</v>
      </c>
      <c r="Z519" t="str">
        <f t="shared" si="94"/>
        <v>-</v>
      </c>
      <c r="AA519" t="str">
        <f t="shared" si="95"/>
        <v>-</v>
      </c>
      <c r="AB519" t="str">
        <f>IF(_xlfn.IFNA(VLOOKUP(P519,Set_Ref!$B$6:$B$1048576,1,FALSE),"")&lt;&gt;"","-",FALSE)</f>
        <v>-</v>
      </c>
      <c r="AC519" t="str">
        <f t="shared" si="96"/>
        <v>-</v>
      </c>
      <c r="AD519" t="str">
        <f t="shared" si="97"/>
        <v>-</v>
      </c>
      <c r="AE519" t="b">
        <f t="shared" si="98"/>
        <v>1</v>
      </c>
    </row>
    <row r="520" spans="1:31" x14ac:dyDescent="0.25">
      <c r="A520">
        <v>2</v>
      </c>
      <c r="B520">
        <v>201</v>
      </c>
      <c r="C520">
        <v>261</v>
      </c>
      <c r="D520" s="11" t="s">
        <v>149</v>
      </c>
      <c r="E520" t="s">
        <v>382</v>
      </c>
      <c r="F520" t="s">
        <v>194</v>
      </c>
      <c r="G520" s="11" t="s">
        <v>479</v>
      </c>
      <c r="H520">
        <v>4</v>
      </c>
      <c r="I520" s="11" t="s">
        <v>172</v>
      </c>
      <c r="J520" t="s">
        <v>384</v>
      </c>
      <c r="K520" t="s">
        <v>219</v>
      </c>
      <c r="L520" s="11" t="s">
        <v>39</v>
      </c>
      <c r="M520" s="11" t="s">
        <v>39</v>
      </c>
      <c r="N520" s="11" t="s">
        <v>39</v>
      </c>
      <c r="O520" s="11" t="s">
        <v>39</v>
      </c>
      <c r="P520" t="s">
        <v>11</v>
      </c>
      <c r="Q520">
        <v>78</v>
      </c>
      <c r="R520">
        <v>0</v>
      </c>
      <c r="S520">
        <v>0</v>
      </c>
      <c r="T520" t="str">
        <f t="shared" si="88"/>
        <v>-</v>
      </c>
      <c r="U520" t="str">
        <f t="shared" si="89"/>
        <v>-</v>
      </c>
      <c r="V520" t="str">
        <f t="shared" si="90"/>
        <v>-</v>
      </c>
      <c r="W520" t="str">
        <f t="shared" si="91"/>
        <v>-</v>
      </c>
      <c r="X520" t="str">
        <f t="shared" si="92"/>
        <v>-</v>
      </c>
      <c r="Y520" t="str">
        <f t="shared" si="93"/>
        <v>-</v>
      </c>
      <c r="Z520" t="str">
        <f t="shared" si="94"/>
        <v>-</v>
      </c>
      <c r="AA520" t="str">
        <f t="shared" si="95"/>
        <v>-</v>
      </c>
      <c r="AB520" t="str">
        <f>IF(_xlfn.IFNA(VLOOKUP(P520,Set_Ref!$B$6:$B$1048576,1,FALSE),"")&lt;&gt;"","-",FALSE)</f>
        <v>-</v>
      </c>
      <c r="AC520" t="str">
        <f t="shared" si="96"/>
        <v>-</v>
      </c>
      <c r="AD520" t="str">
        <f t="shared" si="97"/>
        <v>-</v>
      </c>
      <c r="AE520" t="b">
        <f t="shared" si="98"/>
        <v>1</v>
      </c>
    </row>
    <row r="521" spans="1:31" x14ac:dyDescent="0.25">
      <c r="A521">
        <v>2</v>
      </c>
      <c r="B521">
        <v>202</v>
      </c>
      <c r="C521">
        <v>261</v>
      </c>
      <c r="D521" s="11" t="s">
        <v>149</v>
      </c>
      <c r="E521" t="s">
        <v>382</v>
      </c>
      <c r="F521" t="s">
        <v>194</v>
      </c>
      <c r="G521" s="11" t="s">
        <v>479</v>
      </c>
      <c r="H521">
        <v>5</v>
      </c>
      <c r="I521" s="11" t="s">
        <v>178</v>
      </c>
      <c r="J521" t="s">
        <v>322</v>
      </c>
      <c r="K521" t="s">
        <v>248</v>
      </c>
      <c r="L521" s="11" t="s">
        <v>39</v>
      </c>
      <c r="M521" s="11" t="s">
        <v>39</v>
      </c>
      <c r="N521" s="11" t="s">
        <v>39</v>
      </c>
      <c r="O521" s="11" t="s">
        <v>39</v>
      </c>
      <c r="P521" t="s">
        <v>38</v>
      </c>
      <c r="Q521">
        <v>3</v>
      </c>
      <c r="R521">
        <v>0</v>
      </c>
      <c r="S521">
        <v>0</v>
      </c>
      <c r="T521" t="str">
        <f t="shared" si="88"/>
        <v>-</v>
      </c>
      <c r="U521" t="str">
        <f t="shared" si="89"/>
        <v>-</v>
      </c>
      <c r="V521" t="str">
        <f t="shared" si="90"/>
        <v>-</v>
      </c>
      <c r="W521" t="str">
        <f t="shared" si="91"/>
        <v>-</v>
      </c>
      <c r="X521" t="str">
        <f t="shared" si="92"/>
        <v>-</v>
      </c>
      <c r="Y521" t="str">
        <f t="shared" si="93"/>
        <v>-</v>
      </c>
      <c r="Z521" t="str">
        <f t="shared" si="94"/>
        <v>-</v>
      </c>
      <c r="AA521" t="str">
        <f t="shared" si="95"/>
        <v>-</v>
      </c>
      <c r="AB521" t="str">
        <f>IF(_xlfn.IFNA(VLOOKUP(P521,Set_Ref!$B$6:$B$1048576,1,FALSE),"")&lt;&gt;"","-",FALSE)</f>
        <v>-</v>
      </c>
      <c r="AC521" t="str">
        <f t="shared" si="96"/>
        <v>-</v>
      </c>
      <c r="AD521" t="str">
        <f t="shared" si="97"/>
        <v>-</v>
      </c>
      <c r="AE521" t="b">
        <f t="shared" si="98"/>
        <v>1</v>
      </c>
    </row>
    <row r="522" spans="1:31" x14ac:dyDescent="0.25">
      <c r="A522">
        <v>2</v>
      </c>
      <c r="B522">
        <v>203</v>
      </c>
      <c r="C522">
        <v>261</v>
      </c>
      <c r="D522" s="11" t="s">
        <v>149</v>
      </c>
      <c r="E522" t="s">
        <v>382</v>
      </c>
      <c r="F522" t="s">
        <v>194</v>
      </c>
      <c r="G522" s="11" t="s">
        <v>479</v>
      </c>
      <c r="H522">
        <v>6</v>
      </c>
      <c r="I522" s="11" t="s">
        <v>466</v>
      </c>
      <c r="J522" t="s">
        <v>323</v>
      </c>
      <c r="K522" t="s">
        <v>249</v>
      </c>
      <c r="L522" s="11" t="s">
        <v>39</v>
      </c>
      <c r="M522" s="11" t="s">
        <v>39</v>
      </c>
      <c r="N522" s="11" t="s">
        <v>39</v>
      </c>
      <c r="O522" s="11" t="s">
        <v>39</v>
      </c>
      <c r="P522" t="s">
        <v>10</v>
      </c>
      <c r="Q522">
        <v>2</v>
      </c>
      <c r="R522">
        <v>0</v>
      </c>
      <c r="S522">
        <v>0</v>
      </c>
      <c r="T522" t="str">
        <f t="shared" si="88"/>
        <v>-</v>
      </c>
      <c r="U522" t="str">
        <f t="shared" si="89"/>
        <v>-</v>
      </c>
      <c r="V522" t="str">
        <f t="shared" si="90"/>
        <v>-</v>
      </c>
      <c r="W522" t="str">
        <f t="shared" si="91"/>
        <v>-</v>
      </c>
      <c r="X522" t="str">
        <f t="shared" si="92"/>
        <v>-</v>
      </c>
      <c r="Y522" t="str">
        <f t="shared" si="93"/>
        <v>-</v>
      </c>
      <c r="Z522" t="str">
        <f t="shared" si="94"/>
        <v>-</v>
      </c>
      <c r="AA522" t="str">
        <f t="shared" si="95"/>
        <v>-</v>
      </c>
      <c r="AB522" t="str">
        <f>IF(_xlfn.IFNA(VLOOKUP(P522,Set_Ref!$B$6:$B$1048576,1,FALSE),"")&lt;&gt;"","-",FALSE)</f>
        <v>-</v>
      </c>
      <c r="AC522" t="str">
        <f t="shared" si="96"/>
        <v>-</v>
      </c>
      <c r="AD522" t="str">
        <f t="shared" si="97"/>
        <v>-</v>
      </c>
      <c r="AE522" t="b">
        <f t="shared" si="98"/>
        <v>1</v>
      </c>
    </row>
    <row r="523" spans="1:31" x14ac:dyDescent="0.25">
      <c r="A523">
        <v>2</v>
      </c>
      <c r="B523">
        <v>204</v>
      </c>
      <c r="C523">
        <v>261</v>
      </c>
      <c r="D523" s="11" t="s">
        <v>149</v>
      </c>
      <c r="E523" t="s">
        <v>382</v>
      </c>
      <c r="F523" t="s">
        <v>194</v>
      </c>
      <c r="G523" s="11" t="s">
        <v>479</v>
      </c>
      <c r="H523">
        <v>7</v>
      </c>
      <c r="I523" s="11" t="s">
        <v>178</v>
      </c>
      <c r="J523" t="s">
        <v>385</v>
      </c>
      <c r="K523" t="s">
        <v>260</v>
      </c>
      <c r="L523" s="11" t="s">
        <v>39</v>
      </c>
      <c r="M523" s="11" t="s">
        <v>39</v>
      </c>
      <c r="N523" s="11" t="s">
        <v>39</v>
      </c>
      <c r="O523" s="11" t="s">
        <v>39</v>
      </c>
      <c r="P523" t="s">
        <v>10</v>
      </c>
      <c r="Q523">
        <v>370</v>
      </c>
      <c r="R523">
        <v>0</v>
      </c>
      <c r="S523">
        <v>0</v>
      </c>
      <c r="T523" t="str">
        <f t="shared" si="88"/>
        <v>-</v>
      </c>
      <c r="U523" t="str">
        <f t="shared" si="89"/>
        <v>-</v>
      </c>
      <c r="V523" t="str">
        <f t="shared" si="90"/>
        <v>-</v>
      </c>
      <c r="W523" t="str">
        <f t="shared" si="91"/>
        <v>-</v>
      </c>
      <c r="X523" t="str">
        <f t="shared" si="92"/>
        <v>-</v>
      </c>
      <c r="Y523" t="str">
        <f t="shared" si="93"/>
        <v>-</v>
      </c>
      <c r="Z523" t="str">
        <f t="shared" si="94"/>
        <v>-</v>
      </c>
      <c r="AA523" t="str">
        <f t="shared" si="95"/>
        <v>-</v>
      </c>
      <c r="AB523" t="str">
        <f>IF(_xlfn.IFNA(VLOOKUP(P523,Set_Ref!$B$6:$B$1048576,1,FALSE),"")&lt;&gt;"","-",FALSE)</f>
        <v>-</v>
      </c>
      <c r="AC523" t="str">
        <f t="shared" si="96"/>
        <v>-</v>
      </c>
      <c r="AD523" t="str">
        <f t="shared" si="97"/>
        <v>-</v>
      </c>
      <c r="AE523" t="b">
        <f t="shared" si="98"/>
        <v>1</v>
      </c>
    </row>
    <row r="524" spans="1:31" x14ac:dyDescent="0.25">
      <c r="A524">
        <v>2</v>
      </c>
      <c r="B524">
        <v>205</v>
      </c>
      <c r="C524">
        <v>261</v>
      </c>
      <c r="D524" s="11" t="s">
        <v>149</v>
      </c>
      <c r="E524" t="s">
        <v>382</v>
      </c>
      <c r="F524" t="s">
        <v>194</v>
      </c>
      <c r="G524" s="11" t="s">
        <v>479</v>
      </c>
      <c r="H524">
        <v>8</v>
      </c>
      <c r="I524" s="11" t="s">
        <v>427</v>
      </c>
      <c r="J524" t="s">
        <v>319</v>
      </c>
      <c r="K524" t="s">
        <v>247</v>
      </c>
      <c r="L524" s="11" t="s">
        <v>39</v>
      </c>
      <c r="M524" s="11" t="s">
        <v>39</v>
      </c>
      <c r="N524" s="11" t="s">
        <v>39</v>
      </c>
      <c r="O524" s="11" t="s">
        <v>39</v>
      </c>
      <c r="P524" t="s">
        <v>9</v>
      </c>
      <c r="Q524">
        <v>200</v>
      </c>
      <c r="R524">
        <v>0</v>
      </c>
      <c r="S524">
        <v>0</v>
      </c>
      <c r="T524" t="str">
        <f t="shared" si="88"/>
        <v>-</v>
      </c>
      <c r="U524" t="str">
        <f t="shared" si="89"/>
        <v>-</v>
      </c>
      <c r="V524" t="str">
        <f t="shared" si="90"/>
        <v>-</v>
      </c>
      <c r="W524" t="str">
        <f t="shared" si="91"/>
        <v>-</v>
      </c>
      <c r="X524" t="str">
        <f t="shared" si="92"/>
        <v>-</v>
      </c>
      <c r="Y524" t="str">
        <f t="shared" si="93"/>
        <v>-</v>
      </c>
      <c r="Z524" t="str">
        <f t="shared" si="94"/>
        <v>-</v>
      </c>
      <c r="AA524" t="str">
        <f t="shared" si="95"/>
        <v>-</v>
      </c>
      <c r="AB524" t="str">
        <f>IF(_xlfn.IFNA(VLOOKUP(P524,Set_Ref!$B$6:$B$1048576,1,FALSE),"")&lt;&gt;"","-",FALSE)</f>
        <v>-</v>
      </c>
      <c r="AC524" t="str">
        <f t="shared" si="96"/>
        <v>-</v>
      </c>
      <c r="AD524" t="str">
        <f t="shared" si="97"/>
        <v>-</v>
      </c>
      <c r="AE524" t="b">
        <f t="shared" si="98"/>
        <v>1</v>
      </c>
    </row>
    <row r="525" spans="1:31" x14ac:dyDescent="0.25">
      <c r="A525">
        <v>2</v>
      </c>
      <c r="B525">
        <v>206</v>
      </c>
      <c r="C525">
        <v>261</v>
      </c>
      <c r="D525" s="11" t="s">
        <v>149</v>
      </c>
      <c r="E525" t="s">
        <v>382</v>
      </c>
      <c r="F525" t="s">
        <v>194</v>
      </c>
      <c r="G525" s="11" t="s">
        <v>479</v>
      </c>
      <c r="H525">
        <v>9</v>
      </c>
      <c r="I525" s="11" t="s">
        <v>430</v>
      </c>
      <c r="J525" t="s">
        <v>278</v>
      </c>
      <c r="K525" t="s">
        <v>218</v>
      </c>
      <c r="L525" s="11" t="s">
        <v>39</v>
      </c>
      <c r="M525" s="11" t="s">
        <v>39</v>
      </c>
      <c r="N525" s="11" t="s">
        <v>39</v>
      </c>
      <c r="O525" s="11" t="s">
        <v>39</v>
      </c>
      <c r="P525" t="s">
        <v>58</v>
      </c>
      <c r="Q525">
        <v>0.2</v>
      </c>
      <c r="R525">
        <v>0</v>
      </c>
      <c r="S525">
        <v>0</v>
      </c>
      <c r="T525" t="str">
        <f t="shared" si="88"/>
        <v>-</v>
      </c>
      <c r="U525" t="str">
        <f t="shared" si="89"/>
        <v>-</v>
      </c>
      <c r="V525" t="str">
        <f t="shared" si="90"/>
        <v>-</v>
      </c>
      <c r="W525" t="str">
        <f t="shared" si="91"/>
        <v>-</v>
      </c>
      <c r="X525" t="str">
        <f t="shared" si="92"/>
        <v>-</v>
      </c>
      <c r="Y525" t="str">
        <f t="shared" si="93"/>
        <v>-</v>
      </c>
      <c r="Z525" t="str">
        <f t="shared" si="94"/>
        <v>-</v>
      </c>
      <c r="AA525" t="str">
        <f t="shared" si="95"/>
        <v>-</v>
      </c>
      <c r="AB525" t="str">
        <f>IF(_xlfn.IFNA(VLOOKUP(P525,Set_Ref!$B$6:$B$1048576,1,FALSE),"")&lt;&gt;"","-",FALSE)</f>
        <v>-</v>
      </c>
      <c r="AC525" t="str">
        <f t="shared" si="96"/>
        <v>-</v>
      </c>
      <c r="AD525" t="str">
        <f t="shared" si="97"/>
        <v>-</v>
      </c>
      <c r="AE525" t="b">
        <f t="shared" si="98"/>
        <v>1</v>
      </c>
    </row>
    <row r="526" spans="1:31" x14ac:dyDescent="0.25">
      <c r="A526">
        <v>2</v>
      </c>
      <c r="B526">
        <v>207</v>
      </c>
      <c r="C526">
        <v>261</v>
      </c>
      <c r="D526" s="11" t="s">
        <v>149</v>
      </c>
      <c r="E526" t="s">
        <v>382</v>
      </c>
      <c r="F526" t="s">
        <v>194</v>
      </c>
      <c r="G526" s="11" t="s">
        <v>479</v>
      </c>
      <c r="H526">
        <v>10</v>
      </c>
      <c r="I526" s="11" t="s">
        <v>433</v>
      </c>
      <c r="J526" t="s">
        <v>281</v>
      </c>
      <c r="K526" t="s">
        <v>222</v>
      </c>
      <c r="L526" s="11" t="s">
        <v>39</v>
      </c>
      <c r="M526" s="11" t="s">
        <v>39</v>
      </c>
      <c r="N526" s="11" t="s">
        <v>39</v>
      </c>
      <c r="O526" s="11" t="s">
        <v>39</v>
      </c>
      <c r="P526" t="s">
        <v>10</v>
      </c>
      <c r="Q526">
        <v>714</v>
      </c>
      <c r="R526">
        <v>0</v>
      </c>
      <c r="S526">
        <v>0</v>
      </c>
      <c r="T526" t="str">
        <f t="shared" si="88"/>
        <v>-</v>
      </c>
      <c r="U526" t="str">
        <f t="shared" si="89"/>
        <v>-</v>
      </c>
      <c r="V526" t="str">
        <f t="shared" si="90"/>
        <v>-</v>
      </c>
      <c r="W526" t="str">
        <f t="shared" si="91"/>
        <v>-</v>
      </c>
      <c r="X526" t="str">
        <f t="shared" si="92"/>
        <v>-</v>
      </c>
      <c r="Y526" t="str">
        <f t="shared" si="93"/>
        <v>-</v>
      </c>
      <c r="Z526" t="str">
        <f t="shared" si="94"/>
        <v>-</v>
      </c>
      <c r="AA526" t="str">
        <f t="shared" si="95"/>
        <v>-</v>
      </c>
      <c r="AB526" t="str">
        <f>IF(_xlfn.IFNA(VLOOKUP(P526,Set_Ref!$B$6:$B$1048576,1,FALSE),"")&lt;&gt;"","-",FALSE)</f>
        <v>-</v>
      </c>
      <c r="AC526" t="str">
        <f t="shared" si="96"/>
        <v>-</v>
      </c>
      <c r="AD526" t="str">
        <f t="shared" si="97"/>
        <v>-</v>
      </c>
      <c r="AE526" t="b">
        <f t="shared" si="98"/>
        <v>1</v>
      </c>
    </row>
    <row r="527" spans="1:31" x14ac:dyDescent="0.25">
      <c r="A527">
        <v>2</v>
      </c>
      <c r="B527">
        <v>208</v>
      </c>
      <c r="C527">
        <v>261</v>
      </c>
      <c r="D527" s="11" t="s">
        <v>149</v>
      </c>
      <c r="E527" t="s">
        <v>386</v>
      </c>
      <c r="F527" t="s">
        <v>194</v>
      </c>
      <c r="G527" s="11" t="s">
        <v>481</v>
      </c>
      <c r="H527">
        <v>1</v>
      </c>
      <c r="I527" s="11" t="s">
        <v>177</v>
      </c>
      <c r="J527" t="s">
        <v>477</v>
      </c>
      <c r="K527" t="s">
        <v>251</v>
      </c>
      <c r="L527" s="11" t="s">
        <v>39</v>
      </c>
      <c r="M527" s="11" t="s">
        <v>39</v>
      </c>
      <c r="N527" s="11" t="s">
        <v>39</v>
      </c>
      <c r="O527" s="11" t="s">
        <v>39</v>
      </c>
      <c r="P527" t="s">
        <v>9</v>
      </c>
      <c r="Q527">
        <v>460</v>
      </c>
      <c r="R527">
        <v>0</v>
      </c>
      <c r="S527">
        <v>0</v>
      </c>
      <c r="T527" t="str">
        <f t="shared" si="88"/>
        <v>-</v>
      </c>
      <c r="U527" t="str">
        <f t="shared" si="89"/>
        <v>-</v>
      </c>
      <c r="V527" t="str">
        <f t="shared" si="90"/>
        <v>-</v>
      </c>
      <c r="W527" t="str">
        <f t="shared" si="91"/>
        <v>-</v>
      </c>
      <c r="X527" t="str">
        <f t="shared" si="92"/>
        <v>-</v>
      </c>
      <c r="Y527" t="str">
        <f t="shared" si="93"/>
        <v>-</v>
      </c>
      <c r="Z527" t="str">
        <f t="shared" si="94"/>
        <v>-</v>
      </c>
      <c r="AA527" t="str">
        <f t="shared" si="95"/>
        <v>-</v>
      </c>
      <c r="AB527" t="str">
        <f>IF(_xlfn.IFNA(VLOOKUP(P527,Set_Ref!$B$6:$B$1048576,1,FALSE),"")&lt;&gt;"","-",FALSE)</f>
        <v>-</v>
      </c>
      <c r="AC527" t="str">
        <f t="shared" si="96"/>
        <v>-</v>
      </c>
      <c r="AD527" t="str">
        <f t="shared" si="97"/>
        <v>-</v>
      </c>
      <c r="AE527" t="b">
        <f t="shared" si="98"/>
        <v>1</v>
      </c>
    </row>
    <row r="528" spans="1:31" x14ac:dyDescent="0.25">
      <c r="A528">
        <v>2</v>
      </c>
      <c r="B528">
        <v>209</v>
      </c>
      <c r="C528">
        <v>261</v>
      </c>
      <c r="D528" s="11" t="s">
        <v>149</v>
      </c>
      <c r="E528" t="s">
        <v>386</v>
      </c>
      <c r="F528" t="s">
        <v>194</v>
      </c>
      <c r="G528" s="11" t="s">
        <v>481</v>
      </c>
      <c r="H528">
        <v>2</v>
      </c>
      <c r="I528" s="11" t="s">
        <v>427</v>
      </c>
      <c r="J528" t="s">
        <v>319</v>
      </c>
      <c r="K528" t="s">
        <v>247</v>
      </c>
      <c r="L528" s="11" t="s">
        <v>39</v>
      </c>
      <c r="M528" s="11" t="s">
        <v>39</v>
      </c>
      <c r="N528" s="11" t="s">
        <v>39</v>
      </c>
      <c r="O528" s="11" t="s">
        <v>39</v>
      </c>
      <c r="P528" t="s">
        <v>9</v>
      </c>
      <c r="Q528">
        <v>1651</v>
      </c>
      <c r="R528">
        <v>0</v>
      </c>
      <c r="S528">
        <v>0</v>
      </c>
      <c r="T528" t="str">
        <f t="shared" si="88"/>
        <v>-</v>
      </c>
      <c r="U528" t="str">
        <f t="shared" si="89"/>
        <v>-</v>
      </c>
      <c r="V528" t="str">
        <f t="shared" si="90"/>
        <v>-</v>
      </c>
      <c r="W528" t="str">
        <f t="shared" si="91"/>
        <v>-</v>
      </c>
      <c r="X528" t="str">
        <f t="shared" si="92"/>
        <v>-</v>
      </c>
      <c r="Y528" t="str">
        <f t="shared" si="93"/>
        <v>-</v>
      </c>
      <c r="Z528" t="str">
        <f t="shared" si="94"/>
        <v>-</v>
      </c>
      <c r="AA528" t="str">
        <f t="shared" si="95"/>
        <v>-</v>
      </c>
      <c r="AB528" t="str">
        <f>IF(_xlfn.IFNA(VLOOKUP(P528,Set_Ref!$B$6:$B$1048576,1,FALSE),"")&lt;&gt;"","-",FALSE)</f>
        <v>-</v>
      </c>
      <c r="AC528" t="str">
        <f t="shared" si="96"/>
        <v>-</v>
      </c>
      <c r="AD528" t="str">
        <f t="shared" si="97"/>
        <v>-</v>
      </c>
      <c r="AE528" t="b">
        <f t="shared" si="98"/>
        <v>1</v>
      </c>
    </row>
    <row r="529" spans="1:31" x14ac:dyDescent="0.25">
      <c r="A529">
        <v>2</v>
      </c>
      <c r="B529">
        <v>210</v>
      </c>
      <c r="C529">
        <v>261</v>
      </c>
      <c r="D529" s="11" t="s">
        <v>149</v>
      </c>
      <c r="E529" t="s">
        <v>386</v>
      </c>
      <c r="F529" t="s">
        <v>194</v>
      </c>
      <c r="G529" s="11" t="s">
        <v>481</v>
      </c>
      <c r="H529">
        <v>3</v>
      </c>
      <c r="I529" s="11" t="s">
        <v>433</v>
      </c>
      <c r="J529" t="s">
        <v>281</v>
      </c>
      <c r="K529" t="s">
        <v>222</v>
      </c>
      <c r="L529" s="11" t="s">
        <v>39</v>
      </c>
      <c r="M529" s="11" t="s">
        <v>39</v>
      </c>
      <c r="N529" s="11" t="s">
        <v>39</v>
      </c>
      <c r="O529" s="11" t="s">
        <v>39</v>
      </c>
      <c r="P529" t="s">
        <v>10</v>
      </c>
      <c r="Q529">
        <v>360</v>
      </c>
      <c r="R529">
        <v>0</v>
      </c>
      <c r="S529">
        <v>0</v>
      </c>
      <c r="T529" t="str">
        <f t="shared" si="88"/>
        <v>-</v>
      </c>
      <c r="U529" t="str">
        <f t="shared" si="89"/>
        <v>-</v>
      </c>
      <c r="V529" t="str">
        <f t="shared" si="90"/>
        <v>-</v>
      </c>
      <c r="W529" t="str">
        <f t="shared" si="91"/>
        <v>-</v>
      </c>
      <c r="X529" t="str">
        <f t="shared" si="92"/>
        <v>-</v>
      </c>
      <c r="Y529" t="str">
        <f t="shared" si="93"/>
        <v>-</v>
      </c>
      <c r="Z529" t="str">
        <f t="shared" si="94"/>
        <v>-</v>
      </c>
      <c r="AA529" t="str">
        <f t="shared" si="95"/>
        <v>-</v>
      </c>
      <c r="AB529" t="str">
        <f>IF(_xlfn.IFNA(VLOOKUP(P529,Set_Ref!$B$6:$B$1048576,1,FALSE),"")&lt;&gt;"","-",FALSE)</f>
        <v>-</v>
      </c>
      <c r="AC529" t="str">
        <f t="shared" si="96"/>
        <v>-</v>
      </c>
      <c r="AD529" t="str">
        <f t="shared" si="97"/>
        <v>-</v>
      </c>
      <c r="AE529" t="b">
        <f t="shared" si="98"/>
        <v>1</v>
      </c>
    </row>
    <row r="530" spans="1:31" x14ac:dyDescent="0.25">
      <c r="A530">
        <v>2</v>
      </c>
      <c r="B530">
        <v>211</v>
      </c>
      <c r="C530">
        <v>261</v>
      </c>
      <c r="D530" s="11" t="s">
        <v>149</v>
      </c>
      <c r="E530" t="s">
        <v>386</v>
      </c>
      <c r="F530" t="s">
        <v>194</v>
      </c>
      <c r="G530" s="11" t="s">
        <v>481</v>
      </c>
      <c r="H530">
        <v>4</v>
      </c>
      <c r="I530" s="11" t="s">
        <v>177</v>
      </c>
      <c r="J530" t="s">
        <v>482</v>
      </c>
      <c r="K530" t="s">
        <v>250</v>
      </c>
      <c r="L530" s="11" t="s">
        <v>39</v>
      </c>
      <c r="M530" s="11" t="s">
        <v>39</v>
      </c>
      <c r="N530" s="11" t="s">
        <v>39</v>
      </c>
      <c r="O530" s="11" t="s">
        <v>39</v>
      </c>
      <c r="P530" t="s">
        <v>9</v>
      </c>
      <c r="Q530">
        <v>6</v>
      </c>
      <c r="R530">
        <v>0</v>
      </c>
      <c r="S530">
        <v>0</v>
      </c>
      <c r="T530" t="str">
        <f t="shared" si="88"/>
        <v>-</v>
      </c>
      <c r="U530" t="str">
        <f t="shared" si="89"/>
        <v>-</v>
      </c>
      <c r="V530" t="str">
        <f t="shared" si="90"/>
        <v>-</v>
      </c>
      <c r="W530" t="str">
        <f t="shared" si="91"/>
        <v>-</v>
      </c>
      <c r="X530" t="str">
        <f t="shared" si="92"/>
        <v>-</v>
      </c>
      <c r="Y530" t="str">
        <f t="shared" si="93"/>
        <v>-</v>
      </c>
      <c r="Z530" t="str">
        <f t="shared" si="94"/>
        <v>-</v>
      </c>
      <c r="AA530" t="str">
        <f t="shared" si="95"/>
        <v>-</v>
      </c>
      <c r="AB530" t="str">
        <f>IF(_xlfn.IFNA(VLOOKUP(P530,Set_Ref!$B$6:$B$1048576,1,FALSE),"")&lt;&gt;"","-",FALSE)</f>
        <v>-</v>
      </c>
      <c r="AC530" t="str">
        <f t="shared" si="96"/>
        <v>-</v>
      </c>
      <c r="AD530" t="str">
        <f t="shared" si="97"/>
        <v>-</v>
      </c>
      <c r="AE530" t="b">
        <f t="shared" si="98"/>
        <v>1</v>
      </c>
    </row>
    <row r="531" spans="1:31" x14ac:dyDescent="0.25">
      <c r="A531">
        <v>2</v>
      </c>
      <c r="B531">
        <v>212</v>
      </c>
      <c r="C531">
        <v>261</v>
      </c>
      <c r="D531" s="11" t="s">
        <v>149</v>
      </c>
      <c r="E531" t="s">
        <v>386</v>
      </c>
      <c r="F531" t="s">
        <v>194</v>
      </c>
      <c r="G531" s="11" t="s">
        <v>481</v>
      </c>
      <c r="H531">
        <v>4</v>
      </c>
      <c r="I531" s="11" t="s">
        <v>177</v>
      </c>
      <c r="J531" t="s">
        <v>482</v>
      </c>
      <c r="K531" t="s">
        <v>250</v>
      </c>
      <c r="L531" s="11" t="s">
        <v>39</v>
      </c>
      <c r="M531" s="11" t="s">
        <v>39</v>
      </c>
      <c r="N531" s="11" t="s">
        <v>39</v>
      </c>
      <c r="O531" s="11" t="s">
        <v>39</v>
      </c>
      <c r="P531" t="s">
        <v>9</v>
      </c>
      <c r="Q531">
        <v>120</v>
      </c>
      <c r="R531">
        <v>0</v>
      </c>
      <c r="S531">
        <v>0</v>
      </c>
      <c r="T531" t="str">
        <f t="shared" si="88"/>
        <v>-</v>
      </c>
      <c r="U531" t="str">
        <f t="shared" si="89"/>
        <v>-</v>
      </c>
      <c r="V531" t="str">
        <f t="shared" si="90"/>
        <v>-</v>
      </c>
      <c r="W531" t="str">
        <f t="shared" si="91"/>
        <v>-</v>
      </c>
      <c r="X531" t="str">
        <f t="shared" si="92"/>
        <v>-</v>
      </c>
      <c r="Y531" t="str">
        <f t="shared" si="93"/>
        <v>-</v>
      </c>
      <c r="Z531" t="str">
        <f t="shared" si="94"/>
        <v>-</v>
      </c>
      <c r="AA531" t="str">
        <f t="shared" si="95"/>
        <v>-</v>
      </c>
      <c r="AB531" t="str">
        <f>IF(_xlfn.IFNA(VLOOKUP(P531,Set_Ref!$B$6:$B$1048576,1,FALSE),"")&lt;&gt;"","-",FALSE)</f>
        <v>-</v>
      </c>
      <c r="AC531" t="str">
        <f t="shared" si="96"/>
        <v>-</v>
      </c>
      <c r="AD531" t="str">
        <f t="shared" si="97"/>
        <v>-</v>
      </c>
      <c r="AE531" t="b">
        <f t="shared" si="98"/>
        <v>1</v>
      </c>
    </row>
    <row r="532" spans="1:31" x14ac:dyDescent="0.25">
      <c r="A532">
        <v>2</v>
      </c>
      <c r="B532">
        <v>213</v>
      </c>
      <c r="C532">
        <v>261</v>
      </c>
      <c r="D532" s="11" t="s">
        <v>149</v>
      </c>
      <c r="E532" t="s">
        <v>386</v>
      </c>
      <c r="F532" t="s">
        <v>194</v>
      </c>
      <c r="G532" s="11" t="s">
        <v>481</v>
      </c>
      <c r="H532">
        <v>4</v>
      </c>
      <c r="I532" s="11" t="s">
        <v>177</v>
      </c>
      <c r="J532" t="s">
        <v>482</v>
      </c>
      <c r="K532" t="s">
        <v>250</v>
      </c>
      <c r="L532" s="11" t="s">
        <v>39</v>
      </c>
      <c r="M532" s="11" t="s">
        <v>39</v>
      </c>
      <c r="N532" s="11" t="s">
        <v>39</v>
      </c>
      <c r="O532" s="11" t="s">
        <v>39</v>
      </c>
      <c r="P532" t="s">
        <v>9</v>
      </c>
      <c r="Q532">
        <v>190</v>
      </c>
      <c r="R532">
        <v>0</v>
      </c>
      <c r="S532">
        <v>0</v>
      </c>
      <c r="T532" t="str">
        <f t="shared" si="88"/>
        <v>-</v>
      </c>
      <c r="U532" t="str">
        <f t="shared" si="89"/>
        <v>-</v>
      </c>
      <c r="V532" t="str">
        <f t="shared" si="90"/>
        <v>-</v>
      </c>
      <c r="W532" t="str">
        <f t="shared" si="91"/>
        <v>-</v>
      </c>
      <c r="X532" t="str">
        <f t="shared" si="92"/>
        <v>-</v>
      </c>
      <c r="Y532" t="str">
        <f t="shared" si="93"/>
        <v>-</v>
      </c>
      <c r="Z532" t="str">
        <f t="shared" si="94"/>
        <v>-</v>
      </c>
      <c r="AA532" t="str">
        <f t="shared" si="95"/>
        <v>-</v>
      </c>
      <c r="AB532" t="str">
        <f>IF(_xlfn.IFNA(VLOOKUP(P532,Set_Ref!$B$6:$B$1048576,1,FALSE),"")&lt;&gt;"","-",FALSE)</f>
        <v>-</v>
      </c>
      <c r="AC532" t="str">
        <f t="shared" si="96"/>
        <v>-</v>
      </c>
      <c r="AD532" t="str">
        <f t="shared" si="97"/>
        <v>-</v>
      </c>
      <c r="AE532" t="b">
        <f t="shared" si="98"/>
        <v>1</v>
      </c>
    </row>
    <row r="533" spans="1:31" x14ac:dyDescent="0.25">
      <c r="A533">
        <v>2</v>
      </c>
      <c r="B533">
        <v>214</v>
      </c>
      <c r="C533">
        <v>261</v>
      </c>
      <c r="D533" s="11" t="s">
        <v>149</v>
      </c>
      <c r="E533" t="s">
        <v>386</v>
      </c>
      <c r="F533" t="s">
        <v>194</v>
      </c>
      <c r="G533" s="11" t="s">
        <v>481</v>
      </c>
      <c r="H533">
        <v>4</v>
      </c>
      <c r="I533" s="11" t="s">
        <v>177</v>
      </c>
      <c r="J533" t="s">
        <v>482</v>
      </c>
      <c r="K533" t="s">
        <v>250</v>
      </c>
      <c r="L533" s="11" t="s">
        <v>39</v>
      </c>
      <c r="M533" s="11" t="s">
        <v>39</v>
      </c>
      <c r="N533" s="11" t="s">
        <v>39</v>
      </c>
      <c r="O533" s="11" t="s">
        <v>39</v>
      </c>
      <c r="P533" t="s">
        <v>9</v>
      </c>
      <c r="Q533">
        <v>230</v>
      </c>
      <c r="R533">
        <v>0</v>
      </c>
      <c r="S533">
        <v>0</v>
      </c>
      <c r="T533" t="str">
        <f t="shared" si="88"/>
        <v>-</v>
      </c>
      <c r="U533" t="str">
        <f t="shared" si="89"/>
        <v>-</v>
      </c>
      <c r="V533" t="str">
        <f t="shared" si="90"/>
        <v>-</v>
      </c>
      <c r="W533" t="str">
        <f t="shared" si="91"/>
        <v>-</v>
      </c>
      <c r="X533" t="str">
        <f t="shared" si="92"/>
        <v>-</v>
      </c>
      <c r="Y533" t="str">
        <f t="shared" si="93"/>
        <v>-</v>
      </c>
      <c r="Z533" t="str">
        <f t="shared" si="94"/>
        <v>-</v>
      </c>
      <c r="AA533" t="str">
        <f t="shared" si="95"/>
        <v>-</v>
      </c>
      <c r="AB533" t="str">
        <f>IF(_xlfn.IFNA(VLOOKUP(P533,Set_Ref!$B$6:$B$1048576,1,FALSE),"")&lt;&gt;"","-",FALSE)</f>
        <v>-</v>
      </c>
      <c r="AC533" t="str">
        <f t="shared" si="96"/>
        <v>-</v>
      </c>
      <c r="AD533" t="str">
        <f t="shared" si="97"/>
        <v>-</v>
      </c>
      <c r="AE533" t="b">
        <f t="shared" si="98"/>
        <v>1</v>
      </c>
    </row>
    <row r="534" spans="1:31" x14ac:dyDescent="0.25">
      <c r="A534">
        <v>2</v>
      </c>
      <c r="B534">
        <v>215</v>
      </c>
      <c r="C534">
        <v>261</v>
      </c>
      <c r="D534" s="11" t="s">
        <v>149</v>
      </c>
      <c r="E534" t="s">
        <v>386</v>
      </c>
      <c r="F534" t="s">
        <v>194</v>
      </c>
      <c r="G534" s="11" t="s">
        <v>481</v>
      </c>
      <c r="H534">
        <v>1</v>
      </c>
      <c r="I534" s="11" t="s">
        <v>177</v>
      </c>
      <c r="J534" t="s">
        <v>477</v>
      </c>
      <c r="K534" t="s">
        <v>251</v>
      </c>
      <c r="L534" s="11" t="s">
        <v>39</v>
      </c>
      <c r="M534" s="11" t="s">
        <v>39</v>
      </c>
      <c r="N534" s="11" t="s">
        <v>39</v>
      </c>
      <c r="O534" s="11" t="s">
        <v>39</v>
      </c>
      <c r="P534" t="s">
        <v>9</v>
      </c>
      <c r="Q534">
        <v>330</v>
      </c>
      <c r="R534">
        <v>0</v>
      </c>
      <c r="S534">
        <v>0</v>
      </c>
      <c r="T534" t="str">
        <f t="shared" si="88"/>
        <v>-</v>
      </c>
      <c r="U534" t="str">
        <f t="shared" si="89"/>
        <v>-</v>
      </c>
      <c r="V534" t="str">
        <f t="shared" si="90"/>
        <v>-</v>
      </c>
      <c r="W534" t="str">
        <f t="shared" si="91"/>
        <v>-</v>
      </c>
      <c r="X534" t="str">
        <f t="shared" si="92"/>
        <v>-</v>
      </c>
      <c r="Y534" t="str">
        <f t="shared" si="93"/>
        <v>-</v>
      </c>
      <c r="Z534" t="str">
        <f t="shared" si="94"/>
        <v>-</v>
      </c>
      <c r="AA534" t="str">
        <f t="shared" si="95"/>
        <v>-</v>
      </c>
      <c r="AB534" t="str">
        <f>IF(_xlfn.IFNA(VLOOKUP(P534,Set_Ref!$B$6:$B$1048576,1,FALSE),"")&lt;&gt;"","-",FALSE)</f>
        <v>-</v>
      </c>
      <c r="AC534" t="str">
        <f t="shared" si="96"/>
        <v>-</v>
      </c>
      <c r="AD534" t="str">
        <f t="shared" si="97"/>
        <v>-</v>
      </c>
      <c r="AE534" t="b">
        <f t="shared" si="98"/>
        <v>1</v>
      </c>
    </row>
    <row r="535" spans="1:31" x14ac:dyDescent="0.25">
      <c r="A535">
        <v>2</v>
      </c>
      <c r="B535">
        <v>216</v>
      </c>
      <c r="C535">
        <v>261</v>
      </c>
      <c r="D535" s="11" t="s">
        <v>149</v>
      </c>
      <c r="E535" t="s">
        <v>386</v>
      </c>
      <c r="F535" t="s">
        <v>194</v>
      </c>
      <c r="G535" s="11" t="s">
        <v>481</v>
      </c>
      <c r="H535">
        <v>5</v>
      </c>
      <c r="I535" s="11" t="s">
        <v>427</v>
      </c>
      <c r="J535" t="s">
        <v>483</v>
      </c>
      <c r="K535" t="s">
        <v>237</v>
      </c>
      <c r="L535" s="11" t="s">
        <v>39</v>
      </c>
      <c r="M535" s="11" t="s">
        <v>39</v>
      </c>
      <c r="N535" s="11" t="s">
        <v>39</v>
      </c>
      <c r="O535" s="11" t="s">
        <v>39</v>
      </c>
      <c r="P535" t="s">
        <v>9</v>
      </c>
      <c r="Q535">
        <v>28</v>
      </c>
      <c r="R535">
        <v>0</v>
      </c>
      <c r="S535">
        <v>0</v>
      </c>
      <c r="T535" t="str">
        <f t="shared" si="88"/>
        <v>-</v>
      </c>
      <c r="U535" t="str">
        <f t="shared" si="89"/>
        <v>-</v>
      </c>
      <c r="V535" t="str">
        <f t="shared" si="90"/>
        <v>-</v>
      </c>
      <c r="W535" t="str">
        <f t="shared" si="91"/>
        <v>-</v>
      </c>
      <c r="X535" t="str">
        <f t="shared" si="92"/>
        <v>-</v>
      </c>
      <c r="Y535" t="str">
        <f t="shared" si="93"/>
        <v>-</v>
      </c>
      <c r="Z535" t="str">
        <f t="shared" si="94"/>
        <v>-</v>
      </c>
      <c r="AA535" t="str">
        <f t="shared" si="95"/>
        <v>-</v>
      </c>
      <c r="AB535" t="str">
        <f>IF(_xlfn.IFNA(VLOOKUP(P535,Set_Ref!$B$6:$B$1048576,1,FALSE),"")&lt;&gt;"","-",FALSE)</f>
        <v>-</v>
      </c>
      <c r="AC535" t="str">
        <f t="shared" si="96"/>
        <v>-</v>
      </c>
      <c r="AD535" t="str">
        <f t="shared" si="97"/>
        <v>-</v>
      </c>
      <c r="AE535" t="b">
        <f t="shared" si="98"/>
        <v>1</v>
      </c>
    </row>
    <row r="536" spans="1:31" x14ac:dyDescent="0.25">
      <c r="A536">
        <v>2</v>
      </c>
      <c r="B536">
        <v>217</v>
      </c>
      <c r="C536">
        <v>261</v>
      </c>
      <c r="D536" s="11" t="s">
        <v>149</v>
      </c>
      <c r="E536" t="s">
        <v>386</v>
      </c>
      <c r="F536" t="s">
        <v>194</v>
      </c>
      <c r="G536" s="11" t="s">
        <v>481</v>
      </c>
      <c r="H536">
        <v>5</v>
      </c>
      <c r="I536" s="11" t="s">
        <v>427</v>
      </c>
      <c r="J536" t="s">
        <v>483</v>
      </c>
      <c r="K536" t="s">
        <v>237</v>
      </c>
      <c r="L536" s="11" t="s">
        <v>39</v>
      </c>
      <c r="M536" s="11" t="s">
        <v>39</v>
      </c>
      <c r="N536" s="11" t="s">
        <v>39</v>
      </c>
      <c r="O536" s="11" t="s">
        <v>39</v>
      </c>
      <c r="P536" t="s">
        <v>9</v>
      </c>
      <c r="Q536">
        <v>50</v>
      </c>
      <c r="R536">
        <v>0</v>
      </c>
      <c r="S536">
        <v>0</v>
      </c>
      <c r="T536" t="str">
        <f t="shared" si="88"/>
        <v>-</v>
      </c>
      <c r="U536" t="str">
        <f t="shared" si="89"/>
        <v>-</v>
      </c>
      <c r="V536" t="str">
        <f t="shared" si="90"/>
        <v>-</v>
      </c>
      <c r="W536" t="str">
        <f t="shared" si="91"/>
        <v>-</v>
      </c>
      <c r="X536" t="str">
        <f t="shared" si="92"/>
        <v>-</v>
      </c>
      <c r="Y536" t="str">
        <f t="shared" si="93"/>
        <v>-</v>
      </c>
      <c r="Z536" t="str">
        <f t="shared" si="94"/>
        <v>-</v>
      </c>
      <c r="AA536" t="str">
        <f t="shared" si="95"/>
        <v>-</v>
      </c>
      <c r="AB536" t="str">
        <f>IF(_xlfn.IFNA(VLOOKUP(P536,Set_Ref!$B$6:$B$1048576,1,FALSE),"")&lt;&gt;"","-",FALSE)</f>
        <v>-</v>
      </c>
      <c r="AC536" t="str">
        <f t="shared" si="96"/>
        <v>-</v>
      </c>
      <c r="AD536" t="str">
        <f t="shared" si="97"/>
        <v>-</v>
      </c>
      <c r="AE536" t="b">
        <f t="shared" si="98"/>
        <v>1</v>
      </c>
    </row>
    <row r="537" spans="1:31" x14ac:dyDescent="0.25">
      <c r="A537">
        <v>2</v>
      </c>
      <c r="B537">
        <v>218</v>
      </c>
      <c r="C537">
        <v>261</v>
      </c>
      <c r="D537" s="11" t="s">
        <v>149</v>
      </c>
      <c r="E537" t="s">
        <v>386</v>
      </c>
      <c r="F537" t="s">
        <v>194</v>
      </c>
      <c r="G537" s="11" t="s">
        <v>481</v>
      </c>
      <c r="H537">
        <v>5</v>
      </c>
      <c r="I537" s="11" t="s">
        <v>427</v>
      </c>
      <c r="J537" t="s">
        <v>483</v>
      </c>
      <c r="K537" t="s">
        <v>237</v>
      </c>
      <c r="L537" s="11" t="s">
        <v>39</v>
      </c>
      <c r="M537" s="11" t="s">
        <v>39</v>
      </c>
      <c r="N537" s="11" t="s">
        <v>39</v>
      </c>
      <c r="O537" s="11" t="s">
        <v>39</v>
      </c>
      <c r="P537" t="s">
        <v>9</v>
      </c>
      <c r="Q537">
        <v>80</v>
      </c>
      <c r="R537">
        <v>0</v>
      </c>
      <c r="S537">
        <v>0</v>
      </c>
      <c r="T537" t="str">
        <f t="shared" si="88"/>
        <v>-</v>
      </c>
      <c r="U537" t="str">
        <f t="shared" si="89"/>
        <v>-</v>
      </c>
      <c r="V537" t="str">
        <f t="shared" si="90"/>
        <v>-</v>
      </c>
      <c r="W537" t="str">
        <f t="shared" si="91"/>
        <v>-</v>
      </c>
      <c r="X537" t="str">
        <f t="shared" si="92"/>
        <v>-</v>
      </c>
      <c r="Y537" t="str">
        <f t="shared" si="93"/>
        <v>-</v>
      </c>
      <c r="Z537" t="str">
        <f t="shared" si="94"/>
        <v>-</v>
      </c>
      <c r="AA537" t="str">
        <f t="shared" si="95"/>
        <v>-</v>
      </c>
      <c r="AB537" t="str">
        <f>IF(_xlfn.IFNA(VLOOKUP(P537,Set_Ref!$B$6:$B$1048576,1,FALSE),"")&lt;&gt;"","-",FALSE)</f>
        <v>-</v>
      </c>
      <c r="AC537" t="str">
        <f t="shared" si="96"/>
        <v>-</v>
      </c>
      <c r="AD537" t="str">
        <f t="shared" si="97"/>
        <v>-</v>
      </c>
      <c r="AE537" t="b">
        <f t="shared" si="98"/>
        <v>1</v>
      </c>
    </row>
    <row r="538" spans="1:31" x14ac:dyDescent="0.25">
      <c r="A538">
        <v>2</v>
      </c>
      <c r="B538">
        <v>219</v>
      </c>
      <c r="C538">
        <v>261</v>
      </c>
      <c r="D538" s="11" t="s">
        <v>149</v>
      </c>
      <c r="E538" t="s">
        <v>386</v>
      </c>
      <c r="F538" t="s">
        <v>194</v>
      </c>
      <c r="G538" s="11" t="s">
        <v>481</v>
      </c>
      <c r="H538">
        <v>5</v>
      </c>
      <c r="I538" s="11" t="s">
        <v>427</v>
      </c>
      <c r="J538" t="s">
        <v>483</v>
      </c>
      <c r="K538" t="s">
        <v>237</v>
      </c>
      <c r="L538" s="11" t="s">
        <v>39</v>
      </c>
      <c r="M538" s="11" t="s">
        <v>39</v>
      </c>
      <c r="N538" s="11" t="s">
        <v>39</v>
      </c>
      <c r="O538" s="11" t="s">
        <v>39</v>
      </c>
      <c r="P538" t="s">
        <v>9</v>
      </c>
      <c r="Q538">
        <v>5</v>
      </c>
      <c r="R538">
        <v>0</v>
      </c>
      <c r="S538">
        <v>0</v>
      </c>
      <c r="T538" t="str">
        <f t="shared" si="88"/>
        <v>-</v>
      </c>
      <c r="U538" t="str">
        <f t="shared" si="89"/>
        <v>-</v>
      </c>
      <c r="V538" t="str">
        <f t="shared" si="90"/>
        <v>-</v>
      </c>
      <c r="W538" t="str">
        <f t="shared" si="91"/>
        <v>-</v>
      </c>
      <c r="X538" t="str">
        <f t="shared" si="92"/>
        <v>-</v>
      </c>
      <c r="Y538" t="str">
        <f t="shared" si="93"/>
        <v>-</v>
      </c>
      <c r="Z538" t="str">
        <f t="shared" si="94"/>
        <v>-</v>
      </c>
      <c r="AA538" t="str">
        <f t="shared" si="95"/>
        <v>-</v>
      </c>
      <c r="AB538" t="str">
        <f>IF(_xlfn.IFNA(VLOOKUP(P538,Set_Ref!$B$6:$B$1048576,1,FALSE),"")&lt;&gt;"","-",FALSE)</f>
        <v>-</v>
      </c>
      <c r="AC538" t="str">
        <f t="shared" si="96"/>
        <v>-</v>
      </c>
      <c r="AD538" t="str">
        <f t="shared" si="97"/>
        <v>-</v>
      </c>
      <c r="AE538" t="b">
        <f t="shared" si="98"/>
        <v>1</v>
      </c>
    </row>
    <row r="539" spans="1:31" x14ac:dyDescent="0.25">
      <c r="A539">
        <v>2</v>
      </c>
      <c r="B539">
        <v>220</v>
      </c>
      <c r="C539">
        <v>261</v>
      </c>
      <c r="D539" s="11" t="s">
        <v>149</v>
      </c>
      <c r="E539" t="s">
        <v>388</v>
      </c>
      <c r="F539" t="s">
        <v>195</v>
      </c>
      <c r="G539" s="11" t="s">
        <v>484</v>
      </c>
      <c r="H539">
        <v>1</v>
      </c>
      <c r="I539" s="11" t="s">
        <v>427</v>
      </c>
      <c r="J539" t="s">
        <v>283</v>
      </c>
      <c r="K539" t="s">
        <v>225</v>
      </c>
      <c r="L539" s="11" t="s">
        <v>39</v>
      </c>
      <c r="M539" s="11" t="s">
        <v>39</v>
      </c>
      <c r="N539" s="11" t="s">
        <v>39</v>
      </c>
      <c r="O539" s="11" t="s">
        <v>39</v>
      </c>
      <c r="P539" t="s">
        <v>9</v>
      </c>
      <c r="Q539">
        <v>1955</v>
      </c>
      <c r="R539">
        <v>0</v>
      </c>
      <c r="S539">
        <v>0</v>
      </c>
      <c r="T539" t="str">
        <f t="shared" si="88"/>
        <v>-</v>
      </c>
      <c r="U539" t="str">
        <f t="shared" si="89"/>
        <v>-</v>
      </c>
      <c r="V539" t="str">
        <f t="shared" si="90"/>
        <v>-</v>
      </c>
      <c r="W539" t="str">
        <f t="shared" si="91"/>
        <v>-</v>
      </c>
      <c r="X539" t="str">
        <f t="shared" si="92"/>
        <v>-</v>
      </c>
      <c r="Y539" t="str">
        <f t="shared" si="93"/>
        <v>-</v>
      </c>
      <c r="Z539" t="str">
        <f t="shared" si="94"/>
        <v>-</v>
      </c>
      <c r="AA539" t="str">
        <f t="shared" si="95"/>
        <v>-</v>
      </c>
      <c r="AB539" t="str">
        <f>IF(_xlfn.IFNA(VLOOKUP(P539,Set_Ref!$B$6:$B$1048576,1,FALSE),"")&lt;&gt;"","-",FALSE)</f>
        <v>-</v>
      </c>
      <c r="AC539" t="str">
        <f t="shared" si="96"/>
        <v>-</v>
      </c>
      <c r="AD539" t="str">
        <f t="shared" si="97"/>
        <v>-</v>
      </c>
      <c r="AE539" t="b">
        <f t="shared" si="98"/>
        <v>1</v>
      </c>
    </row>
    <row r="540" spans="1:31" x14ac:dyDescent="0.25">
      <c r="A540">
        <v>2</v>
      </c>
      <c r="B540">
        <v>221</v>
      </c>
      <c r="C540">
        <v>261</v>
      </c>
      <c r="D540" s="11" t="s">
        <v>149</v>
      </c>
      <c r="E540" t="s">
        <v>389</v>
      </c>
      <c r="F540" t="s">
        <v>196</v>
      </c>
      <c r="G540" s="11" t="s">
        <v>485</v>
      </c>
      <c r="H540">
        <v>1</v>
      </c>
      <c r="I540" s="11" t="s">
        <v>172</v>
      </c>
      <c r="J540" t="s">
        <v>315</v>
      </c>
      <c r="K540" t="s">
        <v>243</v>
      </c>
      <c r="L540" s="11" t="s">
        <v>39</v>
      </c>
      <c r="M540" s="11" t="s">
        <v>39</v>
      </c>
      <c r="N540" s="11" t="s">
        <v>39</v>
      </c>
      <c r="O540" s="11" t="s">
        <v>39</v>
      </c>
      <c r="P540" t="s">
        <v>11</v>
      </c>
      <c r="Q540">
        <v>5</v>
      </c>
      <c r="R540">
        <v>0</v>
      </c>
      <c r="S540">
        <v>0</v>
      </c>
      <c r="T540" t="str">
        <f t="shared" si="88"/>
        <v>-</v>
      </c>
      <c r="U540" t="str">
        <f t="shared" si="89"/>
        <v>-</v>
      </c>
      <c r="V540" t="str">
        <f t="shared" si="90"/>
        <v>-</v>
      </c>
      <c r="W540" t="str">
        <f t="shared" si="91"/>
        <v>-</v>
      </c>
      <c r="X540" t="str">
        <f t="shared" si="92"/>
        <v>-</v>
      </c>
      <c r="Y540" t="str">
        <f t="shared" si="93"/>
        <v>-</v>
      </c>
      <c r="Z540" t="str">
        <f t="shared" si="94"/>
        <v>-</v>
      </c>
      <c r="AA540" t="str">
        <f t="shared" si="95"/>
        <v>-</v>
      </c>
      <c r="AB540" t="str">
        <f>IF(_xlfn.IFNA(VLOOKUP(P540,Set_Ref!$B$6:$B$1048576,1,FALSE),"")&lt;&gt;"","-",FALSE)</f>
        <v>-</v>
      </c>
      <c r="AC540" t="str">
        <f t="shared" si="96"/>
        <v>-</v>
      </c>
      <c r="AD540" t="str">
        <f t="shared" si="97"/>
        <v>-</v>
      </c>
      <c r="AE540" t="b">
        <f t="shared" si="98"/>
        <v>1</v>
      </c>
    </row>
    <row r="541" spans="1:31" x14ac:dyDescent="0.25">
      <c r="A541">
        <v>2</v>
      </c>
      <c r="B541">
        <v>222</v>
      </c>
      <c r="C541">
        <v>261</v>
      </c>
      <c r="D541" s="11" t="s">
        <v>149</v>
      </c>
      <c r="E541" t="s">
        <v>389</v>
      </c>
      <c r="F541" t="s">
        <v>196</v>
      </c>
      <c r="G541" s="11" t="s">
        <v>485</v>
      </c>
      <c r="H541">
        <v>2</v>
      </c>
      <c r="I541" s="11" t="s">
        <v>433</v>
      </c>
      <c r="J541" t="s">
        <v>375</v>
      </c>
      <c r="K541" t="s">
        <v>254</v>
      </c>
      <c r="L541" s="11" t="s">
        <v>39</v>
      </c>
      <c r="M541" s="11" t="s">
        <v>39</v>
      </c>
      <c r="N541" s="11" t="s">
        <v>39</v>
      </c>
      <c r="O541" s="11" t="s">
        <v>39</v>
      </c>
      <c r="P541" t="s">
        <v>10</v>
      </c>
      <c r="Q541">
        <v>615</v>
      </c>
      <c r="R541">
        <v>0</v>
      </c>
      <c r="S541">
        <v>0</v>
      </c>
      <c r="T541" t="str">
        <f t="shared" si="88"/>
        <v>-</v>
      </c>
      <c r="U541" t="str">
        <f t="shared" si="89"/>
        <v>-</v>
      </c>
      <c r="V541" t="str">
        <f t="shared" si="90"/>
        <v>-</v>
      </c>
      <c r="W541" t="str">
        <f t="shared" si="91"/>
        <v>-</v>
      </c>
      <c r="X541" t="str">
        <f t="shared" si="92"/>
        <v>-</v>
      </c>
      <c r="Y541" t="str">
        <f t="shared" si="93"/>
        <v>-</v>
      </c>
      <c r="Z541" t="str">
        <f t="shared" si="94"/>
        <v>-</v>
      </c>
      <c r="AA541" t="str">
        <f t="shared" si="95"/>
        <v>-</v>
      </c>
      <c r="AB541" t="str">
        <f>IF(_xlfn.IFNA(VLOOKUP(P541,Set_Ref!$B$6:$B$1048576,1,FALSE),"")&lt;&gt;"","-",FALSE)</f>
        <v>-</v>
      </c>
      <c r="AC541" t="str">
        <f t="shared" si="96"/>
        <v>-</v>
      </c>
      <c r="AD541" t="str">
        <f t="shared" si="97"/>
        <v>-</v>
      </c>
      <c r="AE541" t="b">
        <f t="shared" si="98"/>
        <v>1</v>
      </c>
    </row>
    <row r="542" spans="1:31" x14ac:dyDescent="0.25">
      <c r="A542">
        <v>2</v>
      </c>
      <c r="B542">
        <v>223</v>
      </c>
      <c r="C542">
        <v>261</v>
      </c>
      <c r="D542" s="11" t="s">
        <v>149</v>
      </c>
      <c r="E542" t="s">
        <v>389</v>
      </c>
      <c r="F542" t="s">
        <v>196</v>
      </c>
      <c r="G542" s="11" t="s">
        <v>485</v>
      </c>
      <c r="H542">
        <v>3</v>
      </c>
      <c r="I542" s="11" t="s">
        <v>178</v>
      </c>
      <c r="J542" t="s">
        <v>322</v>
      </c>
      <c r="K542" t="s">
        <v>248</v>
      </c>
      <c r="L542" s="11" t="s">
        <v>39</v>
      </c>
      <c r="M542" s="11" t="s">
        <v>39</v>
      </c>
      <c r="N542" s="11" t="s">
        <v>39</v>
      </c>
      <c r="O542" s="11" t="s">
        <v>39</v>
      </c>
      <c r="P542" t="s">
        <v>38</v>
      </c>
      <c r="Q542">
        <v>3.92</v>
      </c>
      <c r="R542">
        <v>0</v>
      </c>
      <c r="S542">
        <v>0</v>
      </c>
      <c r="T542" t="str">
        <f t="shared" si="88"/>
        <v>-</v>
      </c>
      <c r="U542" t="str">
        <f t="shared" si="89"/>
        <v>-</v>
      </c>
      <c r="V542" t="str">
        <f t="shared" si="90"/>
        <v>-</v>
      </c>
      <c r="W542" t="str">
        <f t="shared" si="91"/>
        <v>-</v>
      </c>
      <c r="X542" t="str">
        <f t="shared" si="92"/>
        <v>-</v>
      </c>
      <c r="Y542" t="str">
        <f t="shared" si="93"/>
        <v>-</v>
      </c>
      <c r="Z542" t="str">
        <f t="shared" si="94"/>
        <v>-</v>
      </c>
      <c r="AA542" t="str">
        <f t="shared" si="95"/>
        <v>-</v>
      </c>
      <c r="AB542" t="str">
        <f>IF(_xlfn.IFNA(VLOOKUP(P542,Set_Ref!$B$6:$B$1048576,1,FALSE),"")&lt;&gt;"","-",FALSE)</f>
        <v>-</v>
      </c>
      <c r="AC542" t="str">
        <f t="shared" si="96"/>
        <v>-</v>
      </c>
      <c r="AD542" t="str">
        <f t="shared" si="97"/>
        <v>-</v>
      </c>
      <c r="AE542" t="b">
        <f t="shared" si="98"/>
        <v>1</v>
      </c>
    </row>
    <row r="543" spans="1:31" x14ac:dyDescent="0.25">
      <c r="A543">
        <v>2</v>
      </c>
      <c r="B543">
        <v>224</v>
      </c>
      <c r="C543">
        <v>261</v>
      </c>
      <c r="D543" s="11" t="s">
        <v>149</v>
      </c>
      <c r="E543" t="s">
        <v>389</v>
      </c>
      <c r="F543" t="s">
        <v>196</v>
      </c>
      <c r="G543" s="11" t="s">
        <v>485</v>
      </c>
      <c r="H543">
        <v>4</v>
      </c>
      <c r="I543" s="11" t="s">
        <v>427</v>
      </c>
      <c r="J543" t="s">
        <v>282</v>
      </c>
      <c r="K543" t="s">
        <v>224</v>
      </c>
      <c r="L543" s="11" t="s">
        <v>39</v>
      </c>
      <c r="M543" s="11" t="s">
        <v>39</v>
      </c>
      <c r="N543" s="11" t="s">
        <v>39</v>
      </c>
      <c r="O543" s="11" t="s">
        <v>39</v>
      </c>
      <c r="P543" t="s">
        <v>9</v>
      </c>
      <c r="Q543">
        <v>5</v>
      </c>
      <c r="R543">
        <v>0</v>
      </c>
      <c r="S543">
        <v>0</v>
      </c>
      <c r="T543" t="str">
        <f t="shared" si="88"/>
        <v>-</v>
      </c>
      <c r="U543" t="str">
        <f t="shared" si="89"/>
        <v>-</v>
      </c>
      <c r="V543" t="str">
        <f t="shared" si="90"/>
        <v>-</v>
      </c>
      <c r="W543" t="str">
        <f t="shared" si="91"/>
        <v>-</v>
      </c>
      <c r="X543" t="str">
        <f t="shared" si="92"/>
        <v>-</v>
      </c>
      <c r="Y543" t="str">
        <f t="shared" si="93"/>
        <v>-</v>
      </c>
      <c r="Z543" t="str">
        <f t="shared" si="94"/>
        <v>-</v>
      </c>
      <c r="AA543" t="str">
        <f t="shared" si="95"/>
        <v>-</v>
      </c>
      <c r="AB543" t="str">
        <f>IF(_xlfn.IFNA(VLOOKUP(P543,Set_Ref!$B$6:$B$1048576,1,FALSE),"")&lt;&gt;"","-",FALSE)</f>
        <v>-</v>
      </c>
      <c r="AC543" t="str">
        <f t="shared" si="96"/>
        <v>-</v>
      </c>
      <c r="AD543" t="str">
        <f t="shared" si="97"/>
        <v>-</v>
      </c>
      <c r="AE543" t="b">
        <f t="shared" si="98"/>
        <v>1</v>
      </c>
    </row>
    <row r="544" spans="1:31" x14ac:dyDescent="0.25">
      <c r="A544">
        <v>2</v>
      </c>
      <c r="B544">
        <v>225</v>
      </c>
      <c r="C544">
        <v>261</v>
      </c>
      <c r="D544" s="11" t="s">
        <v>149</v>
      </c>
      <c r="E544" t="s">
        <v>389</v>
      </c>
      <c r="F544" t="s">
        <v>196</v>
      </c>
      <c r="G544" s="11" t="s">
        <v>485</v>
      </c>
      <c r="H544">
        <v>5</v>
      </c>
      <c r="I544" s="11" t="s">
        <v>428</v>
      </c>
      <c r="J544" t="s">
        <v>390</v>
      </c>
      <c r="K544" t="s">
        <v>261</v>
      </c>
      <c r="L544" s="11" t="s">
        <v>39</v>
      </c>
      <c r="M544" s="11" t="s">
        <v>39</v>
      </c>
      <c r="N544" s="11" t="s">
        <v>39</v>
      </c>
      <c r="O544" s="11" t="s">
        <v>39</v>
      </c>
      <c r="P544" t="s">
        <v>9</v>
      </c>
      <c r="Q544">
        <v>200</v>
      </c>
      <c r="R544">
        <v>0</v>
      </c>
      <c r="S544">
        <v>0</v>
      </c>
      <c r="T544" t="str">
        <f t="shared" si="88"/>
        <v>-</v>
      </c>
      <c r="U544" t="str">
        <f t="shared" si="89"/>
        <v>-</v>
      </c>
      <c r="V544" t="str">
        <f t="shared" si="90"/>
        <v>-</v>
      </c>
      <c r="W544" t="str">
        <f t="shared" si="91"/>
        <v>-</v>
      </c>
      <c r="X544" t="str">
        <f t="shared" si="92"/>
        <v>-</v>
      </c>
      <c r="Y544" t="str">
        <f t="shared" si="93"/>
        <v>-</v>
      </c>
      <c r="Z544" t="str">
        <f t="shared" si="94"/>
        <v>-</v>
      </c>
      <c r="AA544" t="str">
        <f t="shared" si="95"/>
        <v>-</v>
      </c>
      <c r="AB544" t="str">
        <f>IF(_xlfn.IFNA(VLOOKUP(P544,Set_Ref!$B$6:$B$1048576,1,FALSE),"")&lt;&gt;"","-",FALSE)</f>
        <v>-</v>
      </c>
      <c r="AC544" t="str">
        <f t="shared" si="96"/>
        <v>-</v>
      </c>
      <c r="AD544" t="str">
        <f t="shared" si="97"/>
        <v>-</v>
      </c>
      <c r="AE544" t="b">
        <f t="shared" si="98"/>
        <v>1</v>
      </c>
    </row>
    <row r="545" spans="1:31" x14ac:dyDescent="0.25">
      <c r="A545">
        <v>2</v>
      </c>
      <c r="B545">
        <v>226</v>
      </c>
      <c r="C545">
        <v>261</v>
      </c>
      <c r="D545" s="11" t="s">
        <v>149</v>
      </c>
      <c r="E545" t="s">
        <v>389</v>
      </c>
      <c r="F545" t="s">
        <v>196</v>
      </c>
      <c r="G545" s="11" t="s">
        <v>485</v>
      </c>
      <c r="H545">
        <v>6</v>
      </c>
      <c r="I545" s="11" t="s">
        <v>486</v>
      </c>
      <c r="J545" t="s">
        <v>391</v>
      </c>
      <c r="K545" t="s">
        <v>262</v>
      </c>
      <c r="L545" s="11" t="s">
        <v>39</v>
      </c>
      <c r="M545" s="11" t="s">
        <v>39</v>
      </c>
      <c r="N545" s="11" t="s">
        <v>39</v>
      </c>
      <c r="O545" s="11" t="s">
        <v>39</v>
      </c>
      <c r="P545" t="s">
        <v>11</v>
      </c>
      <c r="Q545">
        <v>11</v>
      </c>
      <c r="R545">
        <v>0</v>
      </c>
      <c r="S545">
        <v>0</v>
      </c>
      <c r="T545" t="str">
        <f t="shared" si="88"/>
        <v>-</v>
      </c>
      <c r="U545" t="str">
        <f t="shared" si="89"/>
        <v>-</v>
      </c>
      <c r="V545" t="str">
        <f t="shared" si="90"/>
        <v>-</v>
      </c>
      <c r="W545" t="str">
        <f t="shared" si="91"/>
        <v>-</v>
      </c>
      <c r="X545" t="str">
        <f t="shared" si="92"/>
        <v>-</v>
      </c>
      <c r="Y545" t="str">
        <f t="shared" si="93"/>
        <v>-</v>
      </c>
      <c r="Z545" t="str">
        <f t="shared" si="94"/>
        <v>-</v>
      </c>
      <c r="AA545" t="str">
        <f t="shared" si="95"/>
        <v>-</v>
      </c>
      <c r="AB545" t="str">
        <f>IF(_xlfn.IFNA(VLOOKUP(P545,Set_Ref!$B$6:$B$1048576,1,FALSE),"")&lt;&gt;"","-",FALSE)</f>
        <v>-</v>
      </c>
      <c r="AC545" t="str">
        <f t="shared" si="96"/>
        <v>-</v>
      </c>
      <c r="AD545" t="str">
        <f t="shared" si="97"/>
        <v>-</v>
      </c>
      <c r="AE545" t="b">
        <f t="shared" si="98"/>
        <v>1</v>
      </c>
    </row>
    <row r="546" spans="1:31" x14ac:dyDescent="0.25">
      <c r="A546">
        <v>2</v>
      </c>
      <c r="B546">
        <v>227</v>
      </c>
      <c r="C546">
        <v>261</v>
      </c>
      <c r="D546" s="11" t="s">
        <v>149</v>
      </c>
      <c r="E546" t="s">
        <v>389</v>
      </c>
      <c r="F546" t="s">
        <v>196</v>
      </c>
      <c r="G546" s="11" t="s">
        <v>485</v>
      </c>
      <c r="H546">
        <v>7</v>
      </c>
      <c r="I546" s="11" t="s">
        <v>172</v>
      </c>
      <c r="J546" t="s">
        <v>279</v>
      </c>
      <c r="K546" t="s">
        <v>219</v>
      </c>
      <c r="L546" s="11" t="s">
        <v>39</v>
      </c>
      <c r="M546" s="11" t="s">
        <v>39</v>
      </c>
      <c r="N546" s="11" t="s">
        <v>39</v>
      </c>
      <c r="O546" s="11" t="s">
        <v>39</v>
      </c>
      <c r="P546" t="s">
        <v>11</v>
      </c>
      <c r="Q546">
        <v>22</v>
      </c>
      <c r="R546">
        <v>0</v>
      </c>
      <c r="S546">
        <v>0</v>
      </c>
      <c r="T546" t="str">
        <f t="shared" si="88"/>
        <v>-</v>
      </c>
      <c r="U546" t="str">
        <f t="shared" si="89"/>
        <v>-</v>
      </c>
      <c r="V546" t="str">
        <f t="shared" si="90"/>
        <v>-</v>
      </c>
      <c r="W546" t="str">
        <f t="shared" si="91"/>
        <v>-</v>
      </c>
      <c r="X546" t="str">
        <f t="shared" si="92"/>
        <v>-</v>
      </c>
      <c r="Y546" t="str">
        <f t="shared" si="93"/>
        <v>-</v>
      </c>
      <c r="Z546" t="str">
        <f t="shared" si="94"/>
        <v>-</v>
      </c>
      <c r="AA546" t="str">
        <f t="shared" si="95"/>
        <v>-</v>
      </c>
      <c r="AB546" t="str">
        <f>IF(_xlfn.IFNA(VLOOKUP(P546,Set_Ref!$B$6:$B$1048576,1,FALSE),"")&lt;&gt;"","-",FALSE)</f>
        <v>-</v>
      </c>
      <c r="AC546" t="str">
        <f t="shared" si="96"/>
        <v>-</v>
      </c>
      <c r="AD546" t="str">
        <f t="shared" si="97"/>
        <v>-</v>
      </c>
      <c r="AE546" t="b">
        <f t="shared" si="98"/>
        <v>1</v>
      </c>
    </row>
    <row r="547" spans="1:31" x14ac:dyDescent="0.25">
      <c r="A547">
        <v>2</v>
      </c>
      <c r="B547">
        <v>228</v>
      </c>
      <c r="C547">
        <v>261</v>
      </c>
      <c r="D547" s="11" t="s">
        <v>149</v>
      </c>
      <c r="E547" t="s">
        <v>389</v>
      </c>
      <c r="F547" t="s">
        <v>196</v>
      </c>
      <c r="G547" s="11" t="s">
        <v>485</v>
      </c>
      <c r="H547">
        <v>8</v>
      </c>
      <c r="I547" s="11" t="s">
        <v>177</v>
      </c>
      <c r="J547" t="s">
        <v>487</v>
      </c>
      <c r="K547" t="s">
        <v>250</v>
      </c>
      <c r="L547" s="11" t="s">
        <v>39</v>
      </c>
      <c r="M547" s="11" t="s">
        <v>39</v>
      </c>
      <c r="N547" s="11" t="s">
        <v>39</v>
      </c>
      <c r="O547" s="11" t="s">
        <v>39</v>
      </c>
      <c r="P547" t="s">
        <v>9</v>
      </c>
      <c r="Q547">
        <v>36</v>
      </c>
      <c r="R547">
        <v>0</v>
      </c>
      <c r="S547">
        <v>0</v>
      </c>
      <c r="T547" t="str">
        <f t="shared" si="88"/>
        <v>-</v>
      </c>
      <c r="U547" t="str">
        <f t="shared" si="89"/>
        <v>-</v>
      </c>
      <c r="V547" t="str">
        <f t="shared" si="90"/>
        <v>-</v>
      </c>
      <c r="W547" t="str">
        <f t="shared" si="91"/>
        <v>-</v>
      </c>
      <c r="X547" t="str">
        <f t="shared" si="92"/>
        <v>-</v>
      </c>
      <c r="Y547" t="str">
        <f t="shared" si="93"/>
        <v>-</v>
      </c>
      <c r="Z547" t="str">
        <f t="shared" si="94"/>
        <v>-</v>
      </c>
      <c r="AA547" t="str">
        <f t="shared" si="95"/>
        <v>-</v>
      </c>
      <c r="AB547" t="str">
        <f>IF(_xlfn.IFNA(VLOOKUP(P547,Set_Ref!$B$6:$B$1048576,1,FALSE),"")&lt;&gt;"","-",FALSE)</f>
        <v>-</v>
      </c>
      <c r="AC547" t="str">
        <f t="shared" si="96"/>
        <v>-</v>
      </c>
      <c r="AD547" t="str">
        <f t="shared" si="97"/>
        <v>-</v>
      </c>
      <c r="AE547" t="b">
        <f t="shared" si="98"/>
        <v>1</v>
      </c>
    </row>
    <row r="548" spans="1:31" x14ac:dyDescent="0.25">
      <c r="A548">
        <v>2</v>
      </c>
      <c r="B548">
        <v>229</v>
      </c>
      <c r="C548">
        <v>261</v>
      </c>
      <c r="D548" s="11" t="s">
        <v>149</v>
      </c>
      <c r="E548" t="s">
        <v>389</v>
      </c>
      <c r="F548" t="s">
        <v>196</v>
      </c>
      <c r="G548" s="11" t="s">
        <v>485</v>
      </c>
      <c r="H548">
        <v>8</v>
      </c>
      <c r="I548" s="11" t="s">
        <v>177</v>
      </c>
      <c r="J548" t="s">
        <v>487</v>
      </c>
      <c r="K548" t="s">
        <v>250</v>
      </c>
      <c r="L548" s="11" t="s">
        <v>39</v>
      </c>
      <c r="M548" s="11" t="s">
        <v>39</v>
      </c>
      <c r="N548" s="11" t="s">
        <v>39</v>
      </c>
      <c r="O548" s="11" t="s">
        <v>39</v>
      </c>
      <c r="P548" t="s">
        <v>9</v>
      </c>
      <c r="Q548">
        <v>20</v>
      </c>
      <c r="R548">
        <v>0</v>
      </c>
      <c r="S548">
        <v>0</v>
      </c>
      <c r="T548" t="str">
        <f t="shared" si="88"/>
        <v>-</v>
      </c>
      <c r="U548" t="str">
        <f t="shared" si="89"/>
        <v>-</v>
      </c>
      <c r="V548" t="str">
        <f t="shared" si="90"/>
        <v>-</v>
      </c>
      <c r="W548" t="str">
        <f t="shared" si="91"/>
        <v>-</v>
      </c>
      <c r="X548" t="str">
        <f t="shared" si="92"/>
        <v>-</v>
      </c>
      <c r="Y548" t="str">
        <f t="shared" si="93"/>
        <v>-</v>
      </c>
      <c r="Z548" t="str">
        <f t="shared" si="94"/>
        <v>-</v>
      </c>
      <c r="AA548" t="str">
        <f t="shared" si="95"/>
        <v>-</v>
      </c>
      <c r="AB548" t="str">
        <f>IF(_xlfn.IFNA(VLOOKUP(P548,Set_Ref!$B$6:$B$1048576,1,FALSE),"")&lt;&gt;"","-",FALSE)</f>
        <v>-</v>
      </c>
      <c r="AC548" t="str">
        <f t="shared" si="96"/>
        <v>-</v>
      </c>
      <c r="AD548" t="str">
        <f t="shared" si="97"/>
        <v>-</v>
      </c>
      <c r="AE548" t="b">
        <f t="shared" si="98"/>
        <v>1</v>
      </c>
    </row>
    <row r="549" spans="1:31" x14ac:dyDescent="0.25">
      <c r="A549">
        <v>2</v>
      </c>
      <c r="B549">
        <v>230</v>
      </c>
      <c r="C549">
        <v>261</v>
      </c>
      <c r="D549" s="11" t="s">
        <v>149</v>
      </c>
      <c r="E549" t="s">
        <v>392</v>
      </c>
      <c r="F549" t="s">
        <v>197</v>
      </c>
      <c r="G549" s="11" t="s">
        <v>488</v>
      </c>
      <c r="H549">
        <v>1</v>
      </c>
      <c r="I549" s="11" t="s">
        <v>429</v>
      </c>
      <c r="J549" t="s">
        <v>277</v>
      </c>
      <c r="K549" t="s">
        <v>217</v>
      </c>
      <c r="L549" s="11" t="s">
        <v>39</v>
      </c>
      <c r="M549" s="11" t="s">
        <v>39</v>
      </c>
      <c r="N549" s="11" t="s">
        <v>39</v>
      </c>
      <c r="O549" s="11" t="s">
        <v>39</v>
      </c>
      <c r="P549" t="s">
        <v>9</v>
      </c>
      <c r="Q549">
        <v>295</v>
      </c>
      <c r="R549">
        <v>0</v>
      </c>
      <c r="S549">
        <v>0</v>
      </c>
      <c r="T549" t="str">
        <f t="shared" si="88"/>
        <v>-</v>
      </c>
      <c r="U549" t="str">
        <f t="shared" si="89"/>
        <v>-</v>
      </c>
      <c r="V549" t="str">
        <f t="shared" si="90"/>
        <v>-</v>
      </c>
      <c r="W549" t="str">
        <f t="shared" si="91"/>
        <v>-</v>
      </c>
      <c r="X549" t="str">
        <f t="shared" si="92"/>
        <v>-</v>
      </c>
      <c r="Y549" t="str">
        <f t="shared" si="93"/>
        <v>-</v>
      </c>
      <c r="Z549" t="str">
        <f t="shared" si="94"/>
        <v>-</v>
      </c>
      <c r="AA549" t="str">
        <f t="shared" si="95"/>
        <v>-</v>
      </c>
      <c r="AB549" t="str">
        <f>IF(_xlfn.IFNA(VLOOKUP(P549,Set_Ref!$B$6:$B$1048576,1,FALSE),"")&lt;&gt;"","-",FALSE)</f>
        <v>-</v>
      </c>
      <c r="AC549" t="str">
        <f t="shared" si="96"/>
        <v>-</v>
      </c>
      <c r="AD549" t="str">
        <f t="shared" si="97"/>
        <v>-</v>
      </c>
      <c r="AE549" t="b">
        <f t="shared" si="98"/>
        <v>1</v>
      </c>
    </row>
    <row r="550" spans="1:31" x14ac:dyDescent="0.25">
      <c r="A550">
        <v>2</v>
      </c>
      <c r="B550">
        <v>231</v>
      </c>
      <c r="C550">
        <v>261</v>
      </c>
      <c r="D550" s="11" t="s">
        <v>149</v>
      </c>
      <c r="E550" t="s">
        <v>393</v>
      </c>
      <c r="F550" t="s">
        <v>198</v>
      </c>
      <c r="G550" s="11" t="s">
        <v>489</v>
      </c>
      <c r="H550">
        <v>1</v>
      </c>
      <c r="I550" s="11" t="s">
        <v>427</v>
      </c>
      <c r="J550" t="s">
        <v>274</v>
      </c>
      <c r="K550" t="s">
        <v>214</v>
      </c>
      <c r="L550" s="11" t="s">
        <v>39</v>
      </c>
      <c r="M550" s="11" t="s">
        <v>39</v>
      </c>
      <c r="N550" s="11" t="s">
        <v>39</v>
      </c>
      <c r="O550" s="11" t="s">
        <v>39</v>
      </c>
      <c r="P550" t="s">
        <v>9</v>
      </c>
      <c r="Q550">
        <v>3930</v>
      </c>
      <c r="R550">
        <v>0</v>
      </c>
      <c r="S550">
        <v>0</v>
      </c>
      <c r="T550" t="str">
        <f t="shared" si="88"/>
        <v>-</v>
      </c>
      <c r="U550" t="str">
        <f t="shared" si="89"/>
        <v>-</v>
      </c>
      <c r="V550" t="str">
        <f t="shared" si="90"/>
        <v>-</v>
      </c>
      <c r="W550" t="str">
        <f t="shared" si="91"/>
        <v>-</v>
      </c>
      <c r="X550" t="str">
        <f t="shared" si="92"/>
        <v>-</v>
      </c>
      <c r="Y550" t="str">
        <f t="shared" si="93"/>
        <v>-</v>
      </c>
      <c r="Z550" t="str">
        <f t="shared" si="94"/>
        <v>-</v>
      </c>
      <c r="AA550" t="str">
        <f t="shared" si="95"/>
        <v>-</v>
      </c>
      <c r="AB550" t="str">
        <f>IF(_xlfn.IFNA(VLOOKUP(P550,Set_Ref!$B$6:$B$1048576,1,FALSE),"")&lt;&gt;"","-",FALSE)</f>
        <v>-</v>
      </c>
      <c r="AC550" t="str">
        <f t="shared" si="96"/>
        <v>-</v>
      </c>
      <c r="AD550" t="str">
        <f t="shared" si="97"/>
        <v>-</v>
      </c>
      <c r="AE550" t="b">
        <f t="shared" si="98"/>
        <v>1</v>
      </c>
    </row>
    <row r="551" spans="1:31" x14ac:dyDescent="0.25">
      <c r="A551">
        <v>2</v>
      </c>
      <c r="B551">
        <v>232</v>
      </c>
      <c r="C551">
        <v>261</v>
      </c>
      <c r="D551" s="11" t="s">
        <v>149</v>
      </c>
      <c r="E551" t="s">
        <v>393</v>
      </c>
      <c r="F551" t="s">
        <v>198</v>
      </c>
      <c r="G551" s="11" t="s">
        <v>489</v>
      </c>
      <c r="H551">
        <v>2</v>
      </c>
      <c r="I551" s="11" t="s">
        <v>427</v>
      </c>
      <c r="J551" t="s">
        <v>283</v>
      </c>
      <c r="K551" t="s">
        <v>225</v>
      </c>
      <c r="L551" s="11" t="s">
        <v>39</v>
      </c>
      <c r="M551" s="11" t="s">
        <v>39</v>
      </c>
      <c r="N551" s="11" t="s">
        <v>39</v>
      </c>
      <c r="O551" s="11" t="s">
        <v>39</v>
      </c>
      <c r="P551" t="s">
        <v>9</v>
      </c>
      <c r="Q551">
        <v>1400</v>
      </c>
      <c r="R551">
        <v>0</v>
      </c>
      <c r="S551">
        <v>0</v>
      </c>
      <c r="T551" t="str">
        <f t="shared" si="88"/>
        <v>-</v>
      </c>
      <c r="U551" t="str">
        <f t="shared" si="89"/>
        <v>-</v>
      </c>
      <c r="V551" t="str">
        <f t="shared" si="90"/>
        <v>-</v>
      </c>
      <c r="W551" t="str">
        <f t="shared" si="91"/>
        <v>-</v>
      </c>
      <c r="X551" t="str">
        <f t="shared" si="92"/>
        <v>-</v>
      </c>
      <c r="Y551" t="str">
        <f t="shared" si="93"/>
        <v>-</v>
      </c>
      <c r="Z551" t="str">
        <f t="shared" si="94"/>
        <v>-</v>
      </c>
      <c r="AA551" t="str">
        <f t="shared" si="95"/>
        <v>-</v>
      </c>
      <c r="AB551" t="str">
        <f>IF(_xlfn.IFNA(VLOOKUP(P551,Set_Ref!$B$6:$B$1048576,1,FALSE),"")&lt;&gt;"","-",FALSE)</f>
        <v>-</v>
      </c>
      <c r="AC551" t="str">
        <f t="shared" si="96"/>
        <v>-</v>
      </c>
      <c r="AD551" t="str">
        <f t="shared" si="97"/>
        <v>-</v>
      </c>
      <c r="AE551" t="b">
        <f t="shared" si="98"/>
        <v>1</v>
      </c>
    </row>
    <row r="552" spans="1:31" x14ac:dyDescent="0.25">
      <c r="A552">
        <v>2</v>
      </c>
      <c r="B552">
        <v>233</v>
      </c>
      <c r="C552">
        <v>261</v>
      </c>
      <c r="D552" s="11" t="s">
        <v>149</v>
      </c>
      <c r="E552" t="s">
        <v>394</v>
      </c>
      <c r="F552" t="s">
        <v>199</v>
      </c>
      <c r="G552" s="11" t="s">
        <v>490</v>
      </c>
      <c r="H552">
        <v>1</v>
      </c>
      <c r="I552" s="11" t="s">
        <v>480</v>
      </c>
      <c r="J552" t="s">
        <v>383</v>
      </c>
      <c r="K552" t="s">
        <v>259</v>
      </c>
      <c r="L552" s="11" t="s">
        <v>39</v>
      </c>
      <c r="M552" s="11" t="s">
        <v>39</v>
      </c>
      <c r="N552" s="11" t="s">
        <v>39</v>
      </c>
      <c r="O552" s="11" t="s">
        <v>39</v>
      </c>
      <c r="P552" t="s">
        <v>9</v>
      </c>
      <c r="Q552">
        <v>6900</v>
      </c>
      <c r="R552">
        <v>0</v>
      </c>
      <c r="S552">
        <v>0</v>
      </c>
      <c r="T552" t="str">
        <f t="shared" si="88"/>
        <v>-</v>
      </c>
      <c r="U552" t="str">
        <f t="shared" si="89"/>
        <v>-</v>
      </c>
      <c r="V552" t="str">
        <f t="shared" si="90"/>
        <v>-</v>
      </c>
      <c r="W552" t="str">
        <f t="shared" si="91"/>
        <v>-</v>
      </c>
      <c r="X552" t="str">
        <f t="shared" si="92"/>
        <v>-</v>
      </c>
      <c r="Y552" t="str">
        <f t="shared" si="93"/>
        <v>-</v>
      </c>
      <c r="Z552" t="str">
        <f t="shared" si="94"/>
        <v>-</v>
      </c>
      <c r="AA552" t="str">
        <f t="shared" si="95"/>
        <v>-</v>
      </c>
      <c r="AB552" t="str">
        <f>IF(_xlfn.IFNA(VLOOKUP(P552,Set_Ref!$B$6:$B$1048576,1,FALSE),"")&lt;&gt;"","-",FALSE)</f>
        <v>-</v>
      </c>
      <c r="AC552" t="str">
        <f t="shared" si="96"/>
        <v>-</v>
      </c>
      <c r="AD552" t="str">
        <f t="shared" si="97"/>
        <v>-</v>
      </c>
      <c r="AE552" t="b">
        <f t="shared" si="98"/>
        <v>1</v>
      </c>
    </row>
    <row r="553" spans="1:31" x14ac:dyDescent="0.25">
      <c r="A553">
        <v>2</v>
      </c>
      <c r="B553">
        <v>234</v>
      </c>
      <c r="C553">
        <v>261</v>
      </c>
      <c r="D553" s="11" t="s">
        <v>149</v>
      </c>
      <c r="E553" t="s">
        <v>394</v>
      </c>
      <c r="F553" t="s">
        <v>199</v>
      </c>
      <c r="G553" s="11" t="s">
        <v>490</v>
      </c>
      <c r="H553">
        <v>2</v>
      </c>
      <c r="I553" s="11" t="s">
        <v>429</v>
      </c>
      <c r="J553" t="s">
        <v>277</v>
      </c>
      <c r="K553" t="s">
        <v>217</v>
      </c>
      <c r="L553" s="11" t="s">
        <v>39</v>
      </c>
      <c r="M553" s="11" t="s">
        <v>39</v>
      </c>
      <c r="N553" s="11" t="s">
        <v>39</v>
      </c>
      <c r="O553" s="11" t="s">
        <v>39</v>
      </c>
      <c r="P553" t="s">
        <v>9</v>
      </c>
      <c r="Q553">
        <v>54</v>
      </c>
      <c r="R553">
        <v>0</v>
      </c>
      <c r="S553">
        <v>0</v>
      </c>
      <c r="T553" t="str">
        <f t="shared" si="88"/>
        <v>-</v>
      </c>
      <c r="U553" t="str">
        <f t="shared" si="89"/>
        <v>-</v>
      </c>
      <c r="V553" t="str">
        <f t="shared" si="90"/>
        <v>-</v>
      </c>
      <c r="W553" t="str">
        <f t="shared" si="91"/>
        <v>-</v>
      </c>
      <c r="X553" t="str">
        <f t="shared" si="92"/>
        <v>-</v>
      </c>
      <c r="Y553" t="str">
        <f t="shared" si="93"/>
        <v>-</v>
      </c>
      <c r="Z553" t="str">
        <f t="shared" si="94"/>
        <v>-</v>
      </c>
      <c r="AA553" t="str">
        <f t="shared" si="95"/>
        <v>-</v>
      </c>
      <c r="AB553" t="str">
        <f>IF(_xlfn.IFNA(VLOOKUP(P553,Set_Ref!$B$6:$B$1048576,1,FALSE),"")&lt;&gt;"","-",FALSE)</f>
        <v>-</v>
      </c>
      <c r="AC553" t="str">
        <f t="shared" si="96"/>
        <v>-</v>
      </c>
      <c r="AD553" t="str">
        <f t="shared" si="97"/>
        <v>-</v>
      </c>
      <c r="AE553" t="b">
        <f t="shared" si="98"/>
        <v>1</v>
      </c>
    </row>
    <row r="554" spans="1:31" x14ac:dyDescent="0.25">
      <c r="A554">
        <v>2</v>
      </c>
      <c r="B554">
        <v>235</v>
      </c>
      <c r="C554">
        <v>261</v>
      </c>
      <c r="D554" s="11" t="s">
        <v>149</v>
      </c>
      <c r="E554" t="s">
        <v>394</v>
      </c>
      <c r="F554" t="s">
        <v>199</v>
      </c>
      <c r="G554" s="11" t="s">
        <v>490</v>
      </c>
      <c r="H554">
        <v>3</v>
      </c>
      <c r="I554" s="11" t="s">
        <v>440</v>
      </c>
      <c r="J554" t="s">
        <v>309</v>
      </c>
      <c r="K554" t="s">
        <v>231</v>
      </c>
      <c r="L554" s="11" t="s">
        <v>39</v>
      </c>
      <c r="M554" s="11" t="s">
        <v>39</v>
      </c>
      <c r="N554" s="11" t="s">
        <v>39</v>
      </c>
      <c r="O554" s="11" t="s">
        <v>39</v>
      </c>
      <c r="P554" t="s">
        <v>10</v>
      </c>
      <c r="Q554">
        <v>2155.8000000000002</v>
      </c>
      <c r="R554">
        <v>0</v>
      </c>
      <c r="S554">
        <v>0</v>
      </c>
      <c r="T554" t="str">
        <f t="shared" si="88"/>
        <v>-</v>
      </c>
      <c r="U554" t="str">
        <f t="shared" si="89"/>
        <v>-</v>
      </c>
      <c r="V554" t="str">
        <f t="shared" si="90"/>
        <v>-</v>
      </c>
      <c r="W554" t="str">
        <f t="shared" si="91"/>
        <v>-</v>
      </c>
      <c r="X554" t="str">
        <f t="shared" si="92"/>
        <v>-</v>
      </c>
      <c r="Y554" t="str">
        <f t="shared" si="93"/>
        <v>-</v>
      </c>
      <c r="Z554" t="str">
        <f t="shared" si="94"/>
        <v>-</v>
      </c>
      <c r="AA554" t="str">
        <f t="shared" si="95"/>
        <v>-</v>
      </c>
      <c r="AB554" t="str">
        <f>IF(_xlfn.IFNA(VLOOKUP(P554,Set_Ref!$B$6:$B$1048576,1,FALSE),"")&lt;&gt;"","-",FALSE)</f>
        <v>-</v>
      </c>
      <c r="AC554" t="str">
        <f t="shared" si="96"/>
        <v>-</v>
      </c>
      <c r="AD554" t="str">
        <f t="shared" si="97"/>
        <v>-</v>
      </c>
      <c r="AE554" t="b">
        <f t="shared" si="98"/>
        <v>1</v>
      </c>
    </row>
    <row r="555" spans="1:31" x14ac:dyDescent="0.25">
      <c r="A555">
        <v>2</v>
      </c>
      <c r="B555">
        <v>236</v>
      </c>
      <c r="C555">
        <v>261</v>
      </c>
      <c r="D555" s="11" t="s">
        <v>149</v>
      </c>
      <c r="E555" t="s">
        <v>395</v>
      </c>
      <c r="F555" t="s">
        <v>200</v>
      </c>
      <c r="G555" s="11" t="s">
        <v>491</v>
      </c>
      <c r="H555">
        <v>1</v>
      </c>
      <c r="I555" s="11" t="s">
        <v>427</v>
      </c>
      <c r="J555" t="s">
        <v>492</v>
      </c>
      <c r="K555" t="s">
        <v>237</v>
      </c>
      <c r="L555" s="11" t="s">
        <v>39</v>
      </c>
      <c r="M555" s="11" t="s">
        <v>39</v>
      </c>
      <c r="N555" s="11" t="s">
        <v>39</v>
      </c>
      <c r="O555" s="11" t="s">
        <v>39</v>
      </c>
      <c r="P555" t="s">
        <v>9</v>
      </c>
      <c r="Q555">
        <v>32</v>
      </c>
      <c r="R555">
        <v>0</v>
      </c>
      <c r="S555">
        <v>0</v>
      </c>
      <c r="T555" t="str">
        <f t="shared" si="88"/>
        <v>-</v>
      </c>
      <c r="U555" t="str">
        <f t="shared" si="89"/>
        <v>-</v>
      </c>
      <c r="V555" t="str">
        <f t="shared" si="90"/>
        <v>-</v>
      </c>
      <c r="W555" t="str">
        <f t="shared" si="91"/>
        <v>-</v>
      </c>
      <c r="X555" t="str">
        <f t="shared" si="92"/>
        <v>-</v>
      </c>
      <c r="Y555" t="str">
        <f t="shared" si="93"/>
        <v>-</v>
      </c>
      <c r="Z555" t="str">
        <f t="shared" si="94"/>
        <v>-</v>
      </c>
      <c r="AA555" t="str">
        <f t="shared" si="95"/>
        <v>-</v>
      </c>
      <c r="AB555" t="str">
        <f>IF(_xlfn.IFNA(VLOOKUP(P555,Set_Ref!$B$6:$B$1048576,1,FALSE),"")&lt;&gt;"","-",FALSE)</f>
        <v>-</v>
      </c>
      <c r="AC555" t="str">
        <f t="shared" si="96"/>
        <v>-</v>
      </c>
      <c r="AD555" t="str">
        <f t="shared" si="97"/>
        <v>-</v>
      </c>
      <c r="AE555" t="b">
        <f t="shared" si="98"/>
        <v>1</v>
      </c>
    </row>
    <row r="556" spans="1:31" x14ac:dyDescent="0.25">
      <c r="A556">
        <v>2</v>
      </c>
      <c r="B556">
        <v>237</v>
      </c>
      <c r="C556">
        <v>261</v>
      </c>
      <c r="D556" s="11" t="s">
        <v>149</v>
      </c>
      <c r="E556" t="s">
        <v>395</v>
      </c>
      <c r="F556" t="s">
        <v>200</v>
      </c>
      <c r="G556" s="11" t="s">
        <v>491</v>
      </c>
      <c r="H556">
        <v>1</v>
      </c>
      <c r="I556" s="11" t="s">
        <v>427</v>
      </c>
      <c r="J556" t="s">
        <v>492</v>
      </c>
      <c r="K556" t="s">
        <v>237</v>
      </c>
      <c r="L556" s="11" t="s">
        <v>39</v>
      </c>
      <c r="M556" s="11" t="s">
        <v>39</v>
      </c>
      <c r="N556" s="11" t="s">
        <v>39</v>
      </c>
      <c r="O556" s="11" t="s">
        <v>39</v>
      </c>
      <c r="P556" t="s">
        <v>9</v>
      </c>
      <c r="Q556">
        <v>12</v>
      </c>
      <c r="R556">
        <v>0</v>
      </c>
      <c r="S556">
        <v>0</v>
      </c>
      <c r="T556" t="str">
        <f t="shared" si="88"/>
        <v>-</v>
      </c>
      <c r="U556" t="str">
        <f t="shared" si="89"/>
        <v>-</v>
      </c>
      <c r="V556" t="str">
        <f t="shared" si="90"/>
        <v>-</v>
      </c>
      <c r="W556" t="str">
        <f t="shared" si="91"/>
        <v>-</v>
      </c>
      <c r="X556" t="str">
        <f t="shared" si="92"/>
        <v>-</v>
      </c>
      <c r="Y556" t="str">
        <f t="shared" si="93"/>
        <v>-</v>
      </c>
      <c r="Z556" t="str">
        <f t="shared" si="94"/>
        <v>-</v>
      </c>
      <c r="AA556" t="str">
        <f t="shared" si="95"/>
        <v>-</v>
      </c>
      <c r="AB556" t="str">
        <f>IF(_xlfn.IFNA(VLOOKUP(P556,Set_Ref!$B$6:$B$1048576,1,FALSE),"")&lt;&gt;"","-",FALSE)</f>
        <v>-</v>
      </c>
      <c r="AC556" t="str">
        <f t="shared" si="96"/>
        <v>-</v>
      </c>
      <c r="AD556" t="str">
        <f t="shared" si="97"/>
        <v>-</v>
      </c>
      <c r="AE556" t="b">
        <f t="shared" si="98"/>
        <v>1</v>
      </c>
    </row>
    <row r="557" spans="1:31" x14ac:dyDescent="0.25">
      <c r="A557">
        <v>2</v>
      </c>
      <c r="B557">
        <v>238</v>
      </c>
      <c r="C557">
        <v>261</v>
      </c>
      <c r="D557" s="11" t="s">
        <v>149</v>
      </c>
      <c r="E557" t="s">
        <v>395</v>
      </c>
      <c r="F557" t="s">
        <v>200</v>
      </c>
      <c r="G557" s="11" t="s">
        <v>491</v>
      </c>
      <c r="H557">
        <v>2</v>
      </c>
      <c r="I557" s="11" t="s">
        <v>427</v>
      </c>
      <c r="J557" t="s">
        <v>283</v>
      </c>
      <c r="K557" t="s">
        <v>225</v>
      </c>
      <c r="L557" s="11" t="s">
        <v>39</v>
      </c>
      <c r="M557" s="11" t="s">
        <v>39</v>
      </c>
      <c r="N557" s="11" t="s">
        <v>39</v>
      </c>
      <c r="O557" s="11" t="s">
        <v>39</v>
      </c>
      <c r="P557" t="s">
        <v>9</v>
      </c>
      <c r="Q557">
        <v>529</v>
      </c>
      <c r="R557">
        <v>0</v>
      </c>
      <c r="S557">
        <v>0</v>
      </c>
      <c r="T557" t="str">
        <f t="shared" si="88"/>
        <v>-</v>
      </c>
      <c r="U557" t="str">
        <f t="shared" si="89"/>
        <v>-</v>
      </c>
      <c r="V557" t="str">
        <f t="shared" si="90"/>
        <v>-</v>
      </c>
      <c r="W557" t="str">
        <f t="shared" si="91"/>
        <v>-</v>
      </c>
      <c r="X557" t="str">
        <f t="shared" si="92"/>
        <v>-</v>
      </c>
      <c r="Y557" t="str">
        <f t="shared" si="93"/>
        <v>-</v>
      </c>
      <c r="Z557" t="str">
        <f t="shared" si="94"/>
        <v>-</v>
      </c>
      <c r="AA557" t="str">
        <f t="shared" si="95"/>
        <v>-</v>
      </c>
      <c r="AB557" t="str">
        <f>IF(_xlfn.IFNA(VLOOKUP(P557,Set_Ref!$B$6:$B$1048576,1,FALSE),"")&lt;&gt;"","-",FALSE)</f>
        <v>-</v>
      </c>
      <c r="AC557" t="str">
        <f t="shared" si="96"/>
        <v>-</v>
      </c>
      <c r="AD557" t="str">
        <f t="shared" si="97"/>
        <v>-</v>
      </c>
      <c r="AE557" t="b">
        <f t="shared" si="98"/>
        <v>1</v>
      </c>
    </row>
    <row r="558" spans="1:31" x14ac:dyDescent="0.25">
      <c r="A558">
        <v>2</v>
      </c>
      <c r="B558">
        <v>239</v>
      </c>
      <c r="C558">
        <v>261</v>
      </c>
      <c r="D558" s="11" t="s">
        <v>149</v>
      </c>
      <c r="E558" t="s">
        <v>395</v>
      </c>
      <c r="F558" t="s">
        <v>200</v>
      </c>
      <c r="G558" s="11" t="s">
        <v>491</v>
      </c>
      <c r="H558">
        <v>3</v>
      </c>
      <c r="I558" s="11" t="s">
        <v>427</v>
      </c>
      <c r="J558" t="s">
        <v>274</v>
      </c>
      <c r="K558" t="s">
        <v>214</v>
      </c>
      <c r="L558" s="11" t="s">
        <v>39</v>
      </c>
      <c r="M558" s="11" t="s">
        <v>39</v>
      </c>
      <c r="N558" s="11" t="s">
        <v>39</v>
      </c>
      <c r="O558" s="11" t="s">
        <v>39</v>
      </c>
      <c r="P558" t="s">
        <v>9</v>
      </c>
      <c r="Q558">
        <v>735</v>
      </c>
      <c r="R558">
        <v>0</v>
      </c>
      <c r="S558">
        <v>0</v>
      </c>
      <c r="T558" t="str">
        <f t="shared" si="88"/>
        <v>-</v>
      </c>
      <c r="U558" t="str">
        <f t="shared" si="89"/>
        <v>-</v>
      </c>
      <c r="V558" t="str">
        <f t="shared" si="90"/>
        <v>-</v>
      </c>
      <c r="W558" t="str">
        <f t="shared" si="91"/>
        <v>-</v>
      </c>
      <c r="X558" t="str">
        <f t="shared" si="92"/>
        <v>-</v>
      </c>
      <c r="Y558" t="str">
        <f t="shared" si="93"/>
        <v>-</v>
      </c>
      <c r="Z558" t="str">
        <f t="shared" si="94"/>
        <v>-</v>
      </c>
      <c r="AA558" t="str">
        <f t="shared" si="95"/>
        <v>-</v>
      </c>
      <c r="AB558" t="str">
        <f>IF(_xlfn.IFNA(VLOOKUP(P558,Set_Ref!$B$6:$B$1048576,1,FALSE),"")&lt;&gt;"","-",FALSE)</f>
        <v>-</v>
      </c>
      <c r="AC558" t="str">
        <f t="shared" si="96"/>
        <v>-</v>
      </c>
      <c r="AD558" t="str">
        <f t="shared" si="97"/>
        <v>-</v>
      </c>
      <c r="AE558" t="b">
        <f t="shared" si="98"/>
        <v>1</v>
      </c>
    </row>
    <row r="559" spans="1:31" x14ac:dyDescent="0.25">
      <c r="A559">
        <v>2</v>
      </c>
      <c r="B559">
        <v>240</v>
      </c>
      <c r="C559">
        <v>261</v>
      </c>
      <c r="D559" s="11" t="s">
        <v>149</v>
      </c>
      <c r="E559" t="s">
        <v>395</v>
      </c>
      <c r="F559" t="s">
        <v>200</v>
      </c>
      <c r="G559" s="11" t="s">
        <v>491</v>
      </c>
      <c r="H559">
        <v>1</v>
      </c>
      <c r="I559" s="11" t="s">
        <v>427</v>
      </c>
      <c r="J559" t="s">
        <v>492</v>
      </c>
      <c r="K559" t="s">
        <v>237</v>
      </c>
      <c r="L559" s="11" t="s">
        <v>39</v>
      </c>
      <c r="M559" s="11" t="s">
        <v>39</v>
      </c>
      <c r="N559" s="11" t="s">
        <v>39</v>
      </c>
      <c r="O559" s="11" t="s">
        <v>39</v>
      </c>
      <c r="P559" t="s">
        <v>9</v>
      </c>
      <c r="Q559">
        <v>14</v>
      </c>
      <c r="R559">
        <v>0</v>
      </c>
      <c r="S559">
        <v>0</v>
      </c>
      <c r="T559" t="str">
        <f t="shared" si="88"/>
        <v>-</v>
      </c>
      <c r="U559" t="str">
        <f t="shared" si="89"/>
        <v>-</v>
      </c>
      <c r="V559" t="str">
        <f t="shared" si="90"/>
        <v>-</v>
      </c>
      <c r="W559" t="str">
        <f t="shared" si="91"/>
        <v>-</v>
      </c>
      <c r="X559" t="str">
        <f t="shared" si="92"/>
        <v>-</v>
      </c>
      <c r="Y559" t="str">
        <f t="shared" si="93"/>
        <v>-</v>
      </c>
      <c r="Z559" t="str">
        <f t="shared" si="94"/>
        <v>-</v>
      </c>
      <c r="AA559" t="str">
        <f t="shared" si="95"/>
        <v>-</v>
      </c>
      <c r="AB559" t="str">
        <f>IF(_xlfn.IFNA(VLOOKUP(P559,Set_Ref!$B$6:$B$1048576,1,FALSE),"")&lt;&gt;"","-",FALSE)</f>
        <v>-</v>
      </c>
      <c r="AC559" t="str">
        <f t="shared" si="96"/>
        <v>-</v>
      </c>
      <c r="AD559" t="str">
        <f t="shared" si="97"/>
        <v>-</v>
      </c>
      <c r="AE559" t="b">
        <f t="shared" si="98"/>
        <v>1</v>
      </c>
    </row>
    <row r="560" spans="1:31" x14ac:dyDescent="0.25">
      <c r="A560">
        <v>2</v>
      </c>
      <c r="B560">
        <v>241</v>
      </c>
      <c r="C560">
        <v>261</v>
      </c>
      <c r="D560" s="11" t="s">
        <v>149</v>
      </c>
      <c r="E560" t="s">
        <v>395</v>
      </c>
      <c r="F560" t="s">
        <v>200</v>
      </c>
      <c r="G560" s="11" t="s">
        <v>491</v>
      </c>
      <c r="H560">
        <v>1</v>
      </c>
      <c r="I560" s="11" t="s">
        <v>427</v>
      </c>
      <c r="J560" t="s">
        <v>492</v>
      </c>
      <c r="K560" t="s">
        <v>237</v>
      </c>
      <c r="L560" s="11" t="s">
        <v>39</v>
      </c>
      <c r="M560" s="11" t="s">
        <v>39</v>
      </c>
      <c r="N560" s="11" t="s">
        <v>39</v>
      </c>
      <c r="O560" s="11" t="s">
        <v>39</v>
      </c>
      <c r="P560" t="s">
        <v>9</v>
      </c>
      <c r="Q560">
        <v>2</v>
      </c>
      <c r="R560">
        <v>0</v>
      </c>
      <c r="S560">
        <v>0</v>
      </c>
      <c r="T560" t="str">
        <f t="shared" si="88"/>
        <v>-</v>
      </c>
      <c r="U560" t="str">
        <f t="shared" si="89"/>
        <v>-</v>
      </c>
      <c r="V560" t="str">
        <f t="shared" si="90"/>
        <v>-</v>
      </c>
      <c r="W560" t="str">
        <f t="shared" si="91"/>
        <v>-</v>
      </c>
      <c r="X560" t="str">
        <f t="shared" si="92"/>
        <v>-</v>
      </c>
      <c r="Y560" t="str">
        <f t="shared" si="93"/>
        <v>-</v>
      </c>
      <c r="Z560" t="str">
        <f t="shared" si="94"/>
        <v>-</v>
      </c>
      <c r="AA560" t="str">
        <f t="shared" si="95"/>
        <v>-</v>
      </c>
      <c r="AB560" t="str">
        <f>IF(_xlfn.IFNA(VLOOKUP(P560,Set_Ref!$B$6:$B$1048576,1,FALSE),"")&lt;&gt;"","-",FALSE)</f>
        <v>-</v>
      </c>
      <c r="AC560" t="str">
        <f t="shared" si="96"/>
        <v>-</v>
      </c>
      <c r="AD560" t="str">
        <f t="shared" si="97"/>
        <v>-</v>
      </c>
      <c r="AE560" t="b">
        <f t="shared" si="98"/>
        <v>1</v>
      </c>
    </row>
    <row r="561" spans="1:31" x14ac:dyDescent="0.25">
      <c r="A561">
        <v>2</v>
      </c>
      <c r="B561">
        <v>242</v>
      </c>
      <c r="C561">
        <v>261</v>
      </c>
      <c r="D561" s="11" t="s">
        <v>149</v>
      </c>
      <c r="E561" t="s">
        <v>396</v>
      </c>
      <c r="F561" t="s">
        <v>200</v>
      </c>
      <c r="G561" s="11" t="s">
        <v>493</v>
      </c>
      <c r="H561">
        <v>1</v>
      </c>
      <c r="I561" s="11" t="s">
        <v>177</v>
      </c>
      <c r="J561" t="s">
        <v>387</v>
      </c>
      <c r="K561" t="s">
        <v>250</v>
      </c>
      <c r="L561" s="11" t="s">
        <v>39</v>
      </c>
      <c r="M561" s="11" t="s">
        <v>39</v>
      </c>
      <c r="N561" s="11" t="s">
        <v>39</v>
      </c>
      <c r="O561" s="11" t="s">
        <v>39</v>
      </c>
      <c r="P561" t="s">
        <v>9</v>
      </c>
      <c r="Q561">
        <v>134</v>
      </c>
      <c r="R561">
        <v>0</v>
      </c>
      <c r="S561">
        <v>0</v>
      </c>
      <c r="T561" t="str">
        <f t="shared" si="88"/>
        <v>-</v>
      </c>
      <c r="U561" t="str">
        <f t="shared" si="89"/>
        <v>-</v>
      </c>
      <c r="V561" t="str">
        <f t="shared" si="90"/>
        <v>-</v>
      </c>
      <c r="W561" t="str">
        <f t="shared" si="91"/>
        <v>-</v>
      </c>
      <c r="X561" t="str">
        <f t="shared" si="92"/>
        <v>-</v>
      </c>
      <c r="Y561" t="str">
        <f t="shared" si="93"/>
        <v>-</v>
      </c>
      <c r="Z561" t="str">
        <f t="shared" si="94"/>
        <v>-</v>
      </c>
      <c r="AA561" t="str">
        <f t="shared" si="95"/>
        <v>-</v>
      </c>
      <c r="AB561" t="str">
        <f>IF(_xlfn.IFNA(VLOOKUP(P561,Set_Ref!$B$6:$B$1048576,1,FALSE),"")&lt;&gt;"","-",FALSE)</f>
        <v>-</v>
      </c>
      <c r="AC561" t="str">
        <f t="shared" si="96"/>
        <v>-</v>
      </c>
      <c r="AD561" t="str">
        <f t="shared" si="97"/>
        <v>-</v>
      </c>
      <c r="AE561" t="b">
        <f t="shared" si="98"/>
        <v>1</v>
      </c>
    </row>
    <row r="562" spans="1:31" x14ac:dyDescent="0.25">
      <c r="A562">
        <v>2</v>
      </c>
      <c r="B562">
        <v>243</v>
      </c>
      <c r="C562">
        <v>261</v>
      </c>
      <c r="D562" s="11" t="s">
        <v>149</v>
      </c>
      <c r="E562" t="s">
        <v>397</v>
      </c>
      <c r="F562" t="s">
        <v>201</v>
      </c>
      <c r="G562" s="11" t="s">
        <v>494</v>
      </c>
      <c r="H562">
        <v>1</v>
      </c>
      <c r="I562" s="11" t="s">
        <v>433</v>
      </c>
      <c r="J562" t="s">
        <v>281</v>
      </c>
      <c r="K562" t="s">
        <v>222</v>
      </c>
      <c r="L562" s="11" t="s">
        <v>39</v>
      </c>
      <c r="M562" s="11" t="s">
        <v>39</v>
      </c>
      <c r="N562" s="11" t="s">
        <v>39</v>
      </c>
      <c r="O562" s="11" t="s">
        <v>39</v>
      </c>
      <c r="P562" t="s">
        <v>10</v>
      </c>
      <c r="Q562">
        <v>1085</v>
      </c>
      <c r="R562">
        <v>0</v>
      </c>
      <c r="S562">
        <v>0</v>
      </c>
      <c r="T562" t="str">
        <f t="shared" si="88"/>
        <v>-</v>
      </c>
      <c r="U562" t="str">
        <f t="shared" si="89"/>
        <v>-</v>
      </c>
      <c r="V562" t="str">
        <f t="shared" si="90"/>
        <v>-</v>
      </c>
      <c r="W562" t="str">
        <f t="shared" si="91"/>
        <v>-</v>
      </c>
      <c r="X562" t="str">
        <f t="shared" si="92"/>
        <v>-</v>
      </c>
      <c r="Y562" t="str">
        <f t="shared" si="93"/>
        <v>-</v>
      </c>
      <c r="Z562" t="str">
        <f t="shared" si="94"/>
        <v>-</v>
      </c>
      <c r="AA562" t="str">
        <f t="shared" si="95"/>
        <v>-</v>
      </c>
      <c r="AB562" t="str">
        <f>IF(_xlfn.IFNA(VLOOKUP(P562,Set_Ref!$B$6:$B$1048576,1,FALSE),"")&lt;&gt;"","-",FALSE)</f>
        <v>-</v>
      </c>
      <c r="AC562" t="str">
        <f t="shared" si="96"/>
        <v>-</v>
      </c>
      <c r="AD562" t="str">
        <f t="shared" si="97"/>
        <v>-</v>
      </c>
      <c r="AE562" t="b">
        <f t="shared" si="98"/>
        <v>1</v>
      </c>
    </row>
    <row r="563" spans="1:31" x14ac:dyDescent="0.25">
      <c r="A563">
        <v>2</v>
      </c>
      <c r="B563">
        <v>244</v>
      </c>
      <c r="C563">
        <v>261</v>
      </c>
      <c r="D563" s="11" t="s">
        <v>149</v>
      </c>
      <c r="E563" t="s">
        <v>398</v>
      </c>
      <c r="F563" t="s">
        <v>202</v>
      </c>
      <c r="G563" s="11" t="s">
        <v>495</v>
      </c>
      <c r="H563">
        <v>1</v>
      </c>
      <c r="I563" s="11" t="s">
        <v>427</v>
      </c>
      <c r="J563" t="s">
        <v>318</v>
      </c>
      <c r="K563" t="s">
        <v>246</v>
      </c>
      <c r="L563" s="11" t="s">
        <v>39</v>
      </c>
      <c r="M563" s="11" t="s">
        <v>39</v>
      </c>
      <c r="N563" s="11" t="s">
        <v>39</v>
      </c>
      <c r="O563" s="11" t="s">
        <v>39</v>
      </c>
      <c r="P563" t="s">
        <v>9</v>
      </c>
      <c r="Q563">
        <v>500</v>
      </c>
      <c r="R563">
        <v>0</v>
      </c>
      <c r="S563">
        <v>0</v>
      </c>
      <c r="T563" t="str">
        <f t="shared" si="88"/>
        <v>-</v>
      </c>
      <c r="U563" t="str">
        <f t="shared" si="89"/>
        <v>-</v>
      </c>
      <c r="V563" t="str">
        <f t="shared" si="90"/>
        <v>-</v>
      </c>
      <c r="W563" t="str">
        <f t="shared" si="91"/>
        <v>-</v>
      </c>
      <c r="X563" t="str">
        <f t="shared" si="92"/>
        <v>-</v>
      </c>
      <c r="Y563" t="str">
        <f t="shared" si="93"/>
        <v>-</v>
      </c>
      <c r="Z563" t="str">
        <f t="shared" si="94"/>
        <v>-</v>
      </c>
      <c r="AA563" t="str">
        <f t="shared" si="95"/>
        <v>-</v>
      </c>
      <c r="AB563" t="str">
        <f>IF(_xlfn.IFNA(VLOOKUP(P563,Set_Ref!$B$6:$B$1048576,1,FALSE),"")&lt;&gt;"","-",FALSE)</f>
        <v>-</v>
      </c>
      <c r="AC563" t="str">
        <f t="shared" si="96"/>
        <v>-</v>
      </c>
      <c r="AD563" t="str">
        <f t="shared" si="97"/>
        <v>-</v>
      </c>
      <c r="AE563" t="b">
        <f t="shared" si="98"/>
        <v>1</v>
      </c>
    </row>
    <row r="564" spans="1:31" x14ac:dyDescent="0.25">
      <c r="A564">
        <v>2</v>
      </c>
      <c r="B564">
        <v>245</v>
      </c>
      <c r="C564">
        <v>261</v>
      </c>
      <c r="D564" s="11" t="s">
        <v>149</v>
      </c>
      <c r="E564" t="s">
        <v>399</v>
      </c>
      <c r="F564" t="s">
        <v>202</v>
      </c>
      <c r="G564" s="11" t="s">
        <v>496</v>
      </c>
      <c r="H564">
        <v>1</v>
      </c>
      <c r="I564" s="11" t="s">
        <v>427</v>
      </c>
      <c r="J564" t="s">
        <v>274</v>
      </c>
      <c r="K564" t="s">
        <v>214</v>
      </c>
      <c r="L564" s="11" t="s">
        <v>39</v>
      </c>
      <c r="M564" s="11" t="s">
        <v>39</v>
      </c>
      <c r="N564" s="11" t="s">
        <v>39</v>
      </c>
      <c r="O564" s="11" t="s">
        <v>39</v>
      </c>
      <c r="P564" t="s">
        <v>9</v>
      </c>
      <c r="Q564">
        <v>130</v>
      </c>
      <c r="R564">
        <v>0</v>
      </c>
      <c r="S564">
        <v>0</v>
      </c>
      <c r="T564" t="str">
        <f t="shared" si="88"/>
        <v>-</v>
      </c>
      <c r="U564" t="str">
        <f t="shared" si="89"/>
        <v>-</v>
      </c>
      <c r="V564" t="str">
        <f t="shared" si="90"/>
        <v>-</v>
      </c>
      <c r="W564" t="str">
        <f t="shared" si="91"/>
        <v>-</v>
      </c>
      <c r="X564" t="str">
        <f t="shared" si="92"/>
        <v>-</v>
      </c>
      <c r="Y564" t="str">
        <f t="shared" si="93"/>
        <v>-</v>
      </c>
      <c r="Z564" t="str">
        <f t="shared" si="94"/>
        <v>-</v>
      </c>
      <c r="AA564" t="str">
        <f t="shared" si="95"/>
        <v>-</v>
      </c>
      <c r="AB564" t="str">
        <f>IF(_xlfn.IFNA(VLOOKUP(P564,Set_Ref!$B$6:$B$1048576,1,FALSE),"")&lt;&gt;"","-",FALSE)</f>
        <v>-</v>
      </c>
      <c r="AC564" t="str">
        <f t="shared" si="96"/>
        <v>-</v>
      </c>
      <c r="AD564" t="str">
        <f t="shared" si="97"/>
        <v>-</v>
      </c>
      <c r="AE564" t="b">
        <f t="shared" si="98"/>
        <v>1</v>
      </c>
    </row>
    <row r="565" spans="1:31" x14ac:dyDescent="0.25">
      <c r="A565">
        <v>2</v>
      </c>
      <c r="B565">
        <v>246</v>
      </c>
      <c r="C565">
        <v>261</v>
      </c>
      <c r="D565" s="11" t="s">
        <v>149</v>
      </c>
      <c r="E565" t="s">
        <v>399</v>
      </c>
      <c r="F565" t="s">
        <v>202</v>
      </c>
      <c r="G565" s="11" t="s">
        <v>496</v>
      </c>
      <c r="H565">
        <v>2</v>
      </c>
      <c r="I565" s="11" t="s">
        <v>427</v>
      </c>
      <c r="J565" t="s">
        <v>276</v>
      </c>
      <c r="K565" t="s">
        <v>216</v>
      </c>
      <c r="L565" s="11" t="s">
        <v>39</v>
      </c>
      <c r="M565" s="11" t="s">
        <v>39</v>
      </c>
      <c r="N565" s="11" t="s">
        <v>39</v>
      </c>
      <c r="O565" s="11" t="s">
        <v>39</v>
      </c>
      <c r="P565" t="s">
        <v>9</v>
      </c>
      <c r="Q565">
        <v>255</v>
      </c>
      <c r="R565">
        <v>0</v>
      </c>
      <c r="S565">
        <v>0</v>
      </c>
      <c r="T565" t="str">
        <f t="shared" si="88"/>
        <v>-</v>
      </c>
      <c r="U565" t="str">
        <f t="shared" si="89"/>
        <v>-</v>
      </c>
      <c r="V565" t="str">
        <f t="shared" si="90"/>
        <v>-</v>
      </c>
      <c r="W565" t="str">
        <f t="shared" si="91"/>
        <v>-</v>
      </c>
      <c r="X565" t="str">
        <f t="shared" si="92"/>
        <v>-</v>
      </c>
      <c r="Y565" t="str">
        <f t="shared" si="93"/>
        <v>-</v>
      </c>
      <c r="Z565" t="str">
        <f t="shared" si="94"/>
        <v>-</v>
      </c>
      <c r="AA565" t="str">
        <f t="shared" si="95"/>
        <v>-</v>
      </c>
      <c r="AB565" t="str">
        <f>IF(_xlfn.IFNA(VLOOKUP(P565,Set_Ref!$B$6:$B$1048576,1,FALSE),"")&lt;&gt;"","-",FALSE)</f>
        <v>-</v>
      </c>
      <c r="AC565" t="str">
        <f t="shared" si="96"/>
        <v>-</v>
      </c>
      <c r="AD565" t="str">
        <f t="shared" si="97"/>
        <v>-</v>
      </c>
      <c r="AE565" t="b">
        <f t="shared" si="98"/>
        <v>1</v>
      </c>
    </row>
    <row r="566" spans="1:31" x14ac:dyDescent="0.25">
      <c r="A566">
        <v>2</v>
      </c>
      <c r="B566">
        <v>247</v>
      </c>
      <c r="C566">
        <v>261</v>
      </c>
      <c r="D566" s="11" t="s">
        <v>149</v>
      </c>
      <c r="E566" t="s">
        <v>399</v>
      </c>
      <c r="F566" t="s">
        <v>202</v>
      </c>
      <c r="G566" s="11" t="s">
        <v>496</v>
      </c>
      <c r="H566">
        <v>3</v>
      </c>
      <c r="I566" s="11" t="s">
        <v>429</v>
      </c>
      <c r="J566" t="s">
        <v>277</v>
      </c>
      <c r="K566" t="s">
        <v>217</v>
      </c>
      <c r="L566" s="11" t="s">
        <v>39</v>
      </c>
      <c r="M566" s="11" t="s">
        <v>39</v>
      </c>
      <c r="N566" s="11" t="s">
        <v>39</v>
      </c>
      <c r="O566" s="11" t="s">
        <v>39</v>
      </c>
      <c r="P566" t="s">
        <v>9</v>
      </c>
      <c r="Q566">
        <v>133</v>
      </c>
      <c r="R566">
        <v>0</v>
      </c>
      <c r="S566">
        <v>0</v>
      </c>
      <c r="T566" t="str">
        <f t="shared" si="88"/>
        <v>-</v>
      </c>
      <c r="U566" t="str">
        <f t="shared" si="89"/>
        <v>-</v>
      </c>
      <c r="V566" t="str">
        <f t="shared" si="90"/>
        <v>-</v>
      </c>
      <c r="W566" t="str">
        <f t="shared" si="91"/>
        <v>-</v>
      </c>
      <c r="X566" t="str">
        <f t="shared" si="92"/>
        <v>-</v>
      </c>
      <c r="Y566" t="str">
        <f t="shared" si="93"/>
        <v>-</v>
      </c>
      <c r="Z566" t="str">
        <f t="shared" si="94"/>
        <v>-</v>
      </c>
      <c r="AA566" t="str">
        <f t="shared" si="95"/>
        <v>-</v>
      </c>
      <c r="AB566" t="str">
        <f>IF(_xlfn.IFNA(VLOOKUP(P566,Set_Ref!$B$6:$B$1048576,1,FALSE),"")&lt;&gt;"","-",FALSE)</f>
        <v>-</v>
      </c>
      <c r="AC566" t="str">
        <f t="shared" si="96"/>
        <v>-</v>
      </c>
      <c r="AD566" t="str">
        <f t="shared" si="97"/>
        <v>-</v>
      </c>
      <c r="AE566" t="b">
        <f t="shared" si="98"/>
        <v>1</v>
      </c>
    </row>
    <row r="567" spans="1:31" x14ac:dyDescent="0.25">
      <c r="A567">
        <v>2</v>
      </c>
      <c r="B567">
        <v>248</v>
      </c>
      <c r="C567">
        <v>261</v>
      </c>
      <c r="D567" s="11" t="s">
        <v>149</v>
      </c>
      <c r="E567" t="s">
        <v>400</v>
      </c>
      <c r="F567" t="s">
        <v>203</v>
      </c>
      <c r="G567" s="11" t="s">
        <v>497</v>
      </c>
      <c r="H567">
        <v>1</v>
      </c>
      <c r="I567" s="11" t="s">
        <v>427</v>
      </c>
      <c r="J567" t="s">
        <v>283</v>
      </c>
      <c r="K567" t="s">
        <v>225</v>
      </c>
      <c r="L567" s="11" t="s">
        <v>39</v>
      </c>
      <c r="M567" s="11" t="s">
        <v>39</v>
      </c>
      <c r="N567" s="11" t="s">
        <v>39</v>
      </c>
      <c r="O567" s="11" t="s">
        <v>39</v>
      </c>
      <c r="P567" t="s">
        <v>9</v>
      </c>
      <c r="Q567">
        <v>2656</v>
      </c>
      <c r="R567">
        <v>0</v>
      </c>
      <c r="S567">
        <v>0</v>
      </c>
      <c r="T567" t="str">
        <f t="shared" si="88"/>
        <v>-</v>
      </c>
      <c r="U567" t="str">
        <f t="shared" si="89"/>
        <v>-</v>
      </c>
      <c r="V567" t="str">
        <f t="shared" si="90"/>
        <v>-</v>
      </c>
      <c r="W567" t="str">
        <f t="shared" si="91"/>
        <v>-</v>
      </c>
      <c r="X567" t="str">
        <f t="shared" si="92"/>
        <v>-</v>
      </c>
      <c r="Y567" t="str">
        <f t="shared" si="93"/>
        <v>-</v>
      </c>
      <c r="Z567" t="str">
        <f t="shared" si="94"/>
        <v>-</v>
      </c>
      <c r="AA567" t="str">
        <f t="shared" si="95"/>
        <v>-</v>
      </c>
      <c r="AB567" t="str">
        <f>IF(_xlfn.IFNA(VLOOKUP(P567,Set_Ref!$B$6:$B$1048576,1,FALSE),"")&lt;&gt;"","-",FALSE)</f>
        <v>-</v>
      </c>
      <c r="AC567" t="str">
        <f t="shared" si="96"/>
        <v>-</v>
      </c>
      <c r="AD567" t="str">
        <f t="shared" si="97"/>
        <v>-</v>
      </c>
      <c r="AE567" t="b">
        <f t="shared" si="98"/>
        <v>1</v>
      </c>
    </row>
    <row r="568" spans="1:31" x14ac:dyDescent="0.25">
      <c r="A568">
        <v>2</v>
      </c>
      <c r="B568">
        <v>249</v>
      </c>
      <c r="C568">
        <v>261</v>
      </c>
      <c r="D568" s="11" t="s">
        <v>149</v>
      </c>
      <c r="E568" t="s">
        <v>400</v>
      </c>
      <c r="F568" t="s">
        <v>203</v>
      </c>
      <c r="G568" s="11" t="s">
        <v>497</v>
      </c>
      <c r="H568">
        <v>2</v>
      </c>
      <c r="I568" s="11" t="s">
        <v>498</v>
      </c>
      <c r="J568" t="s">
        <v>401</v>
      </c>
      <c r="K568" t="s">
        <v>263</v>
      </c>
      <c r="L568" s="11" t="s">
        <v>39</v>
      </c>
      <c r="M568" s="11" t="s">
        <v>39</v>
      </c>
      <c r="N568" s="11" t="s">
        <v>39</v>
      </c>
      <c r="O568" s="11" t="s">
        <v>39</v>
      </c>
      <c r="P568" t="s">
        <v>38</v>
      </c>
      <c r="Q568">
        <v>10</v>
      </c>
      <c r="R568">
        <v>0</v>
      </c>
      <c r="S568">
        <v>0</v>
      </c>
      <c r="T568" t="str">
        <f t="shared" si="88"/>
        <v>-</v>
      </c>
      <c r="U568" t="str">
        <f t="shared" si="89"/>
        <v>-</v>
      </c>
      <c r="V568" t="str">
        <f t="shared" si="90"/>
        <v>-</v>
      </c>
      <c r="W568" t="str">
        <f t="shared" si="91"/>
        <v>-</v>
      </c>
      <c r="X568" t="str">
        <f t="shared" si="92"/>
        <v>-</v>
      </c>
      <c r="Y568" t="str">
        <f t="shared" si="93"/>
        <v>-</v>
      </c>
      <c r="Z568" t="str">
        <f t="shared" si="94"/>
        <v>-</v>
      </c>
      <c r="AA568" t="str">
        <f t="shared" si="95"/>
        <v>-</v>
      </c>
      <c r="AB568" t="str">
        <f>IF(_xlfn.IFNA(VLOOKUP(P568,Set_Ref!$B$6:$B$1048576,1,FALSE),"")&lt;&gt;"","-",FALSE)</f>
        <v>-</v>
      </c>
      <c r="AC568" t="str">
        <f t="shared" si="96"/>
        <v>-</v>
      </c>
      <c r="AD568" t="str">
        <f t="shared" si="97"/>
        <v>-</v>
      </c>
      <c r="AE568" t="b">
        <f t="shared" si="98"/>
        <v>1</v>
      </c>
    </row>
    <row r="569" spans="1:31" x14ac:dyDescent="0.25">
      <c r="A569">
        <v>2</v>
      </c>
      <c r="B569">
        <v>250</v>
      </c>
      <c r="C569">
        <v>261</v>
      </c>
      <c r="D569" s="11" t="s">
        <v>149</v>
      </c>
      <c r="E569" t="s">
        <v>402</v>
      </c>
      <c r="F569" t="s">
        <v>204</v>
      </c>
      <c r="G569" s="11" t="s">
        <v>499</v>
      </c>
      <c r="H569">
        <v>1</v>
      </c>
      <c r="I569" s="11" t="s">
        <v>427</v>
      </c>
      <c r="J569" t="s">
        <v>283</v>
      </c>
      <c r="K569" t="s">
        <v>225</v>
      </c>
      <c r="L569" s="11" t="s">
        <v>39</v>
      </c>
      <c r="M569" s="11" t="s">
        <v>39</v>
      </c>
      <c r="N569" s="11" t="s">
        <v>39</v>
      </c>
      <c r="O569" s="11" t="s">
        <v>39</v>
      </c>
      <c r="P569" t="s">
        <v>9</v>
      </c>
      <c r="Q569">
        <v>1270</v>
      </c>
      <c r="R569">
        <v>0</v>
      </c>
      <c r="S569">
        <v>0</v>
      </c>
      <c r="T569" t="str">
        <f t="shared" si="88"/>
        <v>-</v>
      </c>
      <c r="U569" t="str">
        <f t="shared" si="89"/>
        <v>-</v>
      </c>
      <c r="V569" t="str">
        <f t="shared" si="90"/>
        <v>-</v>
      </c>
      <c r="W569" t="str">
        <f t="shared" si="91"/>
        <v>-</v>
      </c>
      <c r="X569" t="str">
        <f t="shared" si="92"/>
        <v>-</v>
      </c>
      <c r="Y569" t="str">
        <f t="shared" si="93"/>
        <v>-</v>
      </c>
      <c r="Z569" t="str">
        <f t="shared" si="94"/>
        <v>-</v>
      </c>
      <c r="AA569" t="str">
        <f t="shared" si="95"/>
        <v>-</v>
      </c>
      <c r="AB569" t="str">
        <f>IF(_xlfn.IFNA(VLOOKUP(P569,Set_Ref!$B$6:$B$1048576,1,FALSE),"")&lt;&gt;"","-",FALSE)</f>
        <v>-</v>
      </c>
      <c r="AC569" t="str">
        <f t="shared" si="96"/>
        <v>-</v>
      </c>
      <c r="AD569" t="str">
        <f t="shared" si="97"/>
        <v>-</v>
      </c>
      <c r="AE569" t="b">
        <f t="shared" si="98"/>
        <v>1</v>
      </c>
    </row>
    <row r="570" spans="1:31" x14ac:dyDescent="0.25">
      <c r="A570">
        <v>2</v>
      </c>
      <c r="B570">
        <v>251</v>
      </c>
      <c r="C570">
        <v>261</v>
      </c>
      <c r="D570" s="11" t="s">
        <v>149</v>
      </c>
      <c r="E570" t="s">
        <v>402</v>
      </c>
      <c r="F570" t="s">
        <v>204</v>
      </c>
      <c r="G570" s="11" t="s">
        <v>499</v>
      </c>
      <c r="H570">
        <v>2</v>
      </c>
      <c r="I570" s="11" t="s">
        <v>427</v>
      </c>
      <c r="J570" t="s">
        <v>276</v>
      </c>
      <c r="K570" t="s">
        <v>216</v>
      </c>
      <c r="L570" s="11" t="s">
        <v>39</v>
      </c>
      <c r="M570" s="11" t="s">
        <v>39</v>
      </c>
      <c r="N570" s="11" t="s">
        <v>39</v>
      </c>
      <c r="O570" s="11" t="s">
        <v>39</v>
      </c>
      <c r="P570" t="s">
        <v>9</v>
      </c>
      <c r="Q570">
        <v>140</v>
      </c>
      <c r="R570">
        <v>0</v>
      </c>
      <c r="S570">
        <v>0</v>
      </c>
      <c r="T570" t="str">
        <f t="shared" si="88"/>
        <v>-</v>
      </c>
      <c r="U570" t="str">
        <f t="shared" si="89"/>
        <v>-</v>
      </c>
      <c r="V570" t="str">
        <f t="shared" si="90"/>
        <v>-</v>
      </c>
      <c r="W570" t="str">
        <f t="shared" si="91"/>
        <v>-</v>
      </c>
      <c r="X570" t="str">
        <f t="shared" si="92"/>
        <v>-</v>
      </c>
      <c r="Y570" t="str">
        <f t="shared" si="93"/>
        <v>-</v>
      </c>
      <c r="Z570" t="str">
        <f t="shared" si="94"/>
        <v>-</v>
      </c>
      <c r="AA570" t="str">
        <f t="shared" si="95"/>
        <v>-</v>
      </c>
      <c r="AB570" t="str">
        <f>IF(_xlfn.IFNA(VLOOKUP(P570,Set_Ref!$B$6:$B$1048576,1,FALSE),"")&lt;&gt;"","-",FALSE)</f>
        <v>-</v>
      </c>
      <c r="AC570" t="str">
        <f t="shared" si="96"/>
        <v>-</v>
      </c>
      <c r="AD570" t="str">
        <f t="shared" si="97"/>
        <v>-</v>
      </c>
      <c r="AE570" t="b">
        <f t="shared" si="98"/>
        <v>1</v>
      </c>
    </row>
    <row r="571" spans="1:31" x14ac:dyDescent="0.25">
      <c r="A571">
        <v>2</v>
      </c>
      <c r="B571">
        <v>252</v>
      </c>
      <c r="C571">
        <v>261</v>
      </c>
      <c r="D571" s="11" t="s">
        <v>149</v>
      </c>
      <c r="E571" t="s">
        <v>403</v>
      </c>
      <c r="F571" t="s">
        <v>205</v>
      </c>
      <c r="G571" s="11" t="s">
        <v>500</v>
      </c>
      <c r="H571">
        <v>1</v>
      </c>
      <c r="I571" s="11" t="s">
        <v>177</v>
      </c>
      <c r="J571" t="s">
        <v>501</v>
      </c>
      <c r="K571" t="s">
        <v>241</v>
      </c>
      <c r="L571" s="11" t="s">
        <v>39</v>
      </c>
      <c r="M571" s="11" t="s">
        <v>39</v>
      </c>
      <c r="N571" s="11" t="s">
        <v>39</v>
      </c>
      <c r="O571" s="11" t="s">
        <v>39</v>
      </c>
      <c r="P571" t="s">
        <v>9</v>
      </c>
      <c r="Q571">
        <v>629</v>
      </c>
      <c r="R571">
        <v>0</v>
      </c>
      <c r="S571">
        <v>0</v>
      </c>
      <c r="T571" t="str">
        <f t="shared" si="88"/>
        <v>-</v>
      </c>
      <c r="U571" t="str">
        <f t="shared" si="89"/>
        <v>-</v>
      </c>
      <c r="V571" t="str">
        <f t="shared" si="90"/>
        <v>-</v>
      </c>
      <c r="W571" t="str">
        <f t="shared" si="91"/>
        <v>-</v>
      </c>
      <c r="X571" t="str">
        <f t="shared" si="92"/>
        <v>-</v>
      </c>
      <c r="Y571" t="str">
        <f t="shared" si="93"/>
        <v>-</v>
      </c>
      <c r="Z571" t="str">
        <f t="shared" si="94"/>
        <v>-</v>
      </c>
      <c r="AA571" t="str">
        <f t="shared" si="95"/>
        <v>-</v>
      </c>
      <c r="AB571" t="str">
        <f>IF(_xlfn.IFNA(VLOOKUP(P571,Set_Ref!$B$6:$B$1048576,1,FALSE),"")&lt;&gt;"","-",FALSE)</f>
        <v>-</v>
      </c>
      <c r="AC571" t="str">
        <f t="shared" si="96"/>
        <v>-</v>
      </c>
      <c r="AD571" t="str">
        <f t="shared" si="97"/>
        <v>-</v>
      </c>
      <c r="AE571" t="b">
        <f t="shared" si="98"/>
        <v>1</v>
      </c>
    </row>
    <row r="572" spans="1:31" x14ac:dyDescent="0.25">
      <c r="A572">
        <v>2</v>
      </c>
      <c r="B572">
        <v>253</v>
      </c>
      <c r="C572">
        <v>261</v>
      </c>
      <c r="D572" s="11" t="s">
        <v>149</v>
      </c>
      <c r="E572" t="s">
        <v>403</v>
      </c>
      <c r="F572" t="s">
        <v>205</v>
      </c>
      <c r="G572" s="11" t="s">
        <v>500</v>
      </c>
      <c r="H572">
        <v>1</v>
      </c>
      <c r="I572" s="11" t="s">
        <v>177</v>
      </c>
      <c r="J572" t="s">
        <v>501</v>
      </c>
      <c r="K572" t="s">
        <v>241</v>
      </c>
      <c r="L572" s="11" t="s">
        <v>39</v>
      </c>
      <c r="M572" s="11" t="s">
        <v>39</v>
      </c>
      <c r="N572" s="11" t="s">
        <v>39</v>
      </c>
      <c r="O572" s="11" t="s">
        <v>39</v>
      </c>
      <c r="P572" t="s">
        <v>9</v>
      </c>
      <c r="Q572">
        <v>1301</v>
      </c>
      <c r="R572">
        <v>0</v>
      </c>
      <c r="S572">
        <v>0</v>
      </c>
      <c r="T572" t="str">
        <f t="shared" si="88"/>
        <v>-</v>
      </c>
      <c r="U572" t="str">
        <f t="shared" si="89"/>
        <v>-</v>
      </c>
      <c r="V572" t="str">
        <f t="shared" si="90"/>
        <v>-</v>
      </c>
      <c r="W572" t="str">
        <f t="shared" si="91"/>
        <v>-</v>
      </c>
      <c r="X572" t="str">
        <f t="shared" si="92"/>
        <v>-</v>
      </c>
      <c r="Y572" t="str">
        <f t="shared" si="93"/>
        <v>-</v>
      </c>
      <c r="Z572" t="str">
        <f t="shared" si="94"/>
        <v>-</v>
      </c>
      <c r="AA572" t="str">
        <f t="shared" si="95"/>
        <v>-</v>
      </c>
      <c r="AB572" t="str">
        <f>IF(_xlfn.IFNA(VLOOKUP(P572,Set_Ref!$B$6:$B$1048576,1,FALSE),"")&lt;&gt;"","-",FALSE)</f>
        <v>-</v>
      </c>
      <c r="AC572" t="str">
        <f t="shared" si="96"/>
        <v>-</v>
      </c>
      <c r="AD572" t="str">
        <f t="shared" si="97"/>
        <v>-</v>
      </c>
      <c r="AE572" t="b">
        <f t="shared" si="98"/>
        <v>1</v>
      </c>
    </row>
    <row r="573" spans="1:31" x14ac:dyDescent="0.25">
      <c r="A573">
        <v>2</v>
      </c>
      <c r="B573">
        <v>254</v>
      </c>
      <c r="C573">
        <v>261</v>
      </c>
      <c r="D573" s="11" t="s">
        <v>149</v>
      </c>
      <c r="E573" t="s">
        <v>403</v>
      </c>
      <c r="F573" t="s">
        <v>205</v>
      </c>
      <c r="G573" s="11" t="s">
        <v>500</v>
      </c>
      <c r="H573">
        <v>1</v>
      </c>
      <c r="I573" s="11" t="s">
        <v>177</v>
      </c>
      <c r="J573" t="s">
        <v>501</v>
      </c>
      <c r="K573" t="s">
        <v>241</v>
      </c>
      <c r="L573" s="11" t="s">
        <v>39</v>
      </c>
      <c r="M573" s="11" t="s">
        <v>39</v>
      </c>
      <c r="N573" s="11" t="s">
        <v>39</v>
      </c>
      <c r="O573" s="11" t="s">
        <v>39</v>
      </c>
      <c r="P573" t="s">
        <v>9</v>
      </c>
      <c r="Q573">
        <v>60</v>
      </c>
      <c r="R573">
        <v>0</v>
      </c>
      <c r="S573">
        <v>0</v>
      </c>
      <c r="T573" t="str">
        <f t="shared" si="88"/>
        <v>-</v>
      </c>
      <c r="U573" t="str">
        <f t="shared" si="89"/>
        <v>-</v>
      </c>
      <c r="V573" t="str">
        <f t="shared" si="90"/>
        <v>-</v>
      </c>
      <c r="W573" t="str">
        <f t="shared" si="91"/>
        <v>-</v>
      </c>
      <c r="X573" t="str">
        <f t="shared" si="92"/>
        <v>-</v>
      </c>
      <c r="Y573" t="str">
        <f t="shared" si="93"/>
        <v>-</v>
      </c>
      <c r="Z573" t="str">
        <f t="shared" si="94"/>
        <v>-</v>
      </c>
      <c r="AA573" t="str">
        <f t="shared" si="95"/>
        <v>-</v>
      </c>
      <c r="AB573" t="str">
        <f>IF(_xlfn.IFNA(VLOOKUP(P573,Set_Ref!$B$6:$B$1048576,1,FALSE),"")&lt;&gt;"","-",FALSE)</f>
        <v>-</v>
      </c>
      <c r="AC573" t="str">
        <f t="shared" si="96"/>
        <v>-</v>
      </c>
      <c r="AD573" t="str">
        <f t="shared" si="97"/>
        <v>-</v>
      </c>
      <c r="AE573" t="b">
        <f t="shared" si="98"/>
        <v>1</v>
      </c>
    </row>
    <row r="574" spans="1:31" x14ac:dyDescent="0.25">
      <c r="A574">
        <v>2</v>
      </c>
      <c r="B574">
        <v>255</v>
      </c>
      <c r="C574">
        <v>261</v>
      </c>
      <c r="D574" s="11" t="s">
        <v>149</v>
      </c>
      <c r="E574" t="s">
        <v>403</v>
      </c>
      <c r="F574" t="s">
        <v>205</v>
      </c>
      <c r="G574" s="11" t="s">
        <v>500</v>
      </c>
      <c r="H574">
        <v>1</v>
      </c>
      <c r="I574" s="11" t="s">
        <v>177</v>
      </c>
      <c r="J574" t="s">
        <v>501</v>
      </c>
      <c r="K574" t="s">
        <v>241</v>
      </c>
      <c r="L574" s="11" t="s">
        <v>39</v>
      </c>
      <c r="M574" s="11" t="s">
        <v>39</v>
      </c>
      <c r="N574" s="11" t="s">
        <v>39</v>
      </c>
      <c r="O574" s="11" t="s">
        <v>39</v>
      </c>
      <c r="P574" t="s">
        <v>9</v>
      </c>
      <c r="Q574">
        <v>2</v>
      </c>
      <c r="R574">
        <v>0</v>
      </c>
      <c r="S574">
        <v>0</v>
      </c>
      <c r="T574" t="str">
        <f t="shared" si="88"/>
        <v>-</v>
      </c>
      <c r="U574" t="str">
        <f t="shared" si="89"/>
        <v>-</v>
      </c>
      <c r="V574" t="str">
        <f t="shared" si="90"/>
        <v>-</v>
      </c>
      <c r="W574" t="str">
        <f t="shared" si="91"/>
        <v>-</v>
      </c>
      <c r="X574" t="str">
        <f t="shared" si="92"/>
        <v>-</v>
      </c>
      <c r="Y574" t="str">
        <f t="shared" si="93"/>
        <v>-</v>
      </c>
      <c r="Z574" t="str">
        <f t="shared" si="94"/>
        <v>-</v>
      </c>
      <c r="AA574" t="str">
        <f t="shared" si="95"/>
        <v>-</v>
      </c>
      <c r="AB574" t="str">
        <f>IF(_xlfn.IFNA(VLOOKUP(P574,Set_Ref!$B$6:$B$1048576,1,FALSE),"")&lt;&gt;"","-",FALSE)</f>
        <v>-</v>
      </c>
      <c r="AC574" t="str">
        <f t="shared" si="96"/>
        <v>-</v>
      </c>
      <c r="AD574" t="str">
        <f t="shared" si="97"/>
        <v>-</v>
      </c>
      <c r="AE574" t="b">
        <f t="shared" si="98"/>
        <v>1</v>
      </c>
    </row>
    <row r="575" spans="1:31" x14ac:dyDescent="0.25">
      <c r="A575">
        <v>2</v>
      </c>
      <c r="B575">
        <v>256</v>
      </c>
      <c r="C575">
        <v>261</v>
      </c>
      <c r="D575" s="11" t="s">
        <v>149</v>
      </c>
      <c r="E575" t="s">
        <v>404</v>
      </c>
      <c r="F575" t="s">
        <v>206</v>
      </c>
      <c r="G575" s="11" t="s">
        <v>502</v>
      </c>
      <c r="H575">
        <v>1</v>
      </c>
      <c r="I575" s="11" t="s">
        <v>177</v>
      </c>
      <c r="J575" t="s">
        <v>460</v>
      </c>
      <c r="K575" t="s">
        <v>241</v>
      </c>
      <c r="L575" s="11" t="s">
        <v>39</v>
      </c>
      <c r="M575" s="11" t="s">
        <v>39</v>
      </c>
      <c r="N575" s="11" t="s">
        <v>39</v>
      </c>
      <c r="O575" s="11" t="s">
        <v>39</v>
      </c>
      <c r="P575" t="s">
        <v>9</v>
      </c>
      <c r="Q575">
        <v>170</v>
      </c>
      <c r="R575">
        <v>0</v>
      </c>
      <c r="S575">
        <v>0</v>
      </c>
      <c r="T575" t="str">
        <f t="shared" si="88"/>
        <v>-</v>
      </c>
      <c r="U575" t="str">
        <f t="shared" si="89"/>
        <v>-</v>
      </c>
      <c r="V575" t="str">
        <f t="shared" si="90"/>
        <v>-</v>
      </c>
      <c r="W575" t="str">
        <f t="shared" si="91"/>
        <v>-</v>
      </c>
      <c r="X575" t="str">
        <f t="shared" si="92"/>
        <v>-</v>
      </c>
      <c r="Y575" t="str">
        <f t="shared" si="93"/>
        <v>-</v>
      </c>
      <c r="Z575" t="str">
        <f t="shared" si="94"/>
        <v>-</v>
      </c>
      <c r="AA575" t="str">
        <f t="shared" si="95"/>
        <v>-</v>
      </c>
      <c r="AB575" t="str">
        <f>IF(_xlfn.IFNA(VLOOKUP(P575,Set_Ref!$B$6:$B$1048576,1,FALSE),"")&lt;&gt;"","-",FALSE)</f>
        <v>-</v>
      </c>
      <c r="AC575" t="str">
        <f t="shared" si="96"/>
        <v>-</v>
      </c>
      <c r="AD575" t="str">
        <f t="shared" si="97"/>
        <v>-</v>
      </c>
      <c r="AE575" t="b">
        <f t="shared" si="98"/>
        <v>1</v>
      </c>
    </row>
    <row r="576" spans="1:31" x14ac:dyDescent="0.25">
      <c r="A576">
        <v>2</v>
      </c>
      <c r="B576">
        <v>257</v>
      </c>
      <c r="C576">
        <v>261</v>
      </c>
      <c r="D576" s="11" t="s">
        <v>149</v>
      </c>
      <c r="E576" t="s">
        <v>404</v>
      </c>
      <c r="F576" t="s">
        <v>206</v>
      </c>
      <c r="G576" s="11" t="s">
        <v>502</v>
      </c>
      <c r="H576">
        <v>1</v>
      </c>
      <c r="I576" s="11" t="s">
        <v>177</v>
      </c>
      <c r="J576" t="s">
        <v>460</v>
      </c>
      <c r="K576" t="s">
        <v>241</v>
      </c>
      <c r="L576" s="11" t="s">
        <v>39</v>
      </c>
      <c r="M576" s="11" t="s">
        <v>39</v>
      </c>
      <c r="N576" s="11" t="s">
        <v>39</v>
      </c>
      <c r="O576" s="11" t="s">
        <v>39</v>
      </c>
      <c r="P576" t="s">
        <v>9</v>
      </c>
      <c r="Q576">
        <v>30</v>
      </c>
      <c r="R576">
        <v>0</v>
      </c>
      <c r="S576">
        <v>0</v>
      </c>
      <c r="T576" t="str">
        <f t="shared" si="88"/>
        <v>-</v>
      </c>
      <c r="U576" t="str">
        <f t="shared" si="89"/>
        <v>-</v>
      </c>
      <c r="V576" t="str">
        <f t="shared" si="90"/>
        <v>-</v>
      </c>
      <c r="W576" t="str">
        <f t="shared" si="91"/>
        <v>-</v>
      </c>
      <c r="X576" t="str">
        <f t="shared" si="92"/>
        <v>-</v>
      </c>
      <c r="Y576" t="str">
        <f t="shared" si="93"/>
        <v>-</v>
      </c>
      <c r="Z576" t="str">
        <f t="shared" si="94"/>
        <v>-</v>
      </c>
      <c r="AA576" t="str">
        <f t="shared" si="95"/>
        <v>-</v>
      </c>
      <c r="AB576" t="str">
        <f>IF(_xlfn.IFNA(VLOOKUP(P576,Set_Ref!$B$6:$B$1048576,1,FALSE),"")&lt;&gt;"","-",FALSE)</f>
        <v>-</v>
      </c>
      <c r="AC576" t="str">
        <f t="shared" si="96"/>
        <v>-</v>
      </c>
      <c r="AD576" t="str">
        <f t="shared" si="97"/>
        <v>-</v>
      </c>
      <c r="AE576" t="b">
        <f t="shared" si="98"/>
        <v>1</v>
      </c>
    </row>
    <row r="577" spans="1:31" x14ac:dyDescent="0.25">
      <c r="A577">
        <v>2</v>
      </c>
      <c r="B577">
        <v>258</v>
      </c>
      <c r="C577">
        <v>261</v>
      </c>
      <c r="D577" s="11" t="s">
        <v>149</v>
      </c>
      <c r="E577" t="s">
        <v>404</v>
      </c>
      <c r="F577" t="s">
        <v>206</v>
      </c>
      <c r="G577" s="11" t="s">
        <v>502</v>
      </c>
      <c r="H577">
        <v>1</v>
      </c>
      <c r="I577" s="11" t="s">
        <v>177</v>
      </c>
      <c r="J577" t="s">
        <v>460</v>
      </c>
      <c r="K577" t="s">
        <v>241</v>
      </c>
      <c r="L577" s="11" t="s">
        <v>39</v>
      </c>
      <c r="M577" s="11" t="s">
        <v>39</v>
      </c>
      <c r="N577" s="11" t="s">
        <v>39</v>
      </c>
      <c r="O577" s="11" t="s">
        <v>39</v>
      </c>
      <c r="P577" t="s">
        <v>9</v>
      </c>
      <c r="Q577">
        <v>8</v>
      </c>
      <c r="R577">
        <v>0</v>
      </c>
      <c r="S577">
        <v>0</v>
      </c>
      <c r="T577" t="str">
        <f t="shared" si="88"/>
        <v>-</v>
      </c>
      <c r="U577" t="str">
        <f t="shared" si="89"/>
        <v>-</v>
      </c>
      <c r="V577" t="str">
        <f t="shared" si="90"/>
        <v>-</v>
      </c>
      <c r="W577" t="str">
        <f t="shared" si="91"/>
        <v>-</v>
      </c>
      <c r="X577" t="str">
        <f t="shared" si="92"/>
        <v>-</v>
      </c>
      <c r="Y577" t="str">
        <f t="shared" si="93"/>
        <v>-</v>
      </c>
      <c r="Z577" t="str">
        <f t="shared" si="94"/>
        <v>-</v>
      </c>
      <c r="AA577" t="str">
        <f t="shared" si="95"/>
        <v>-</v>
      </c>
      <c r="AB577" t="str">
        <f>IF(_xlfn.IFNA(VLOOKUP(P577,Set_Ref!$B$6:$B$1048576,1,FALSE),"")&lt;&gt;"","-",FALSE)</f>
        <v>-</v>
      </c>
      <c r="AC577" t="str">
        <f t="shared" si="96"/>
        <v>-</v>
      </c>
      <c r="AD577" t="str">
        <f t="shared" si="97"/>
        <v>-</v>
      </c>
      <c r="AE577" t="b">
        <f t="shared" si="98"/>
        <v>1</v>
      </c>
    </row>
    <row r="578" spans="1:31" x14ac:dyDescent="0.25">
      <c r="A578">
        <v>2</v>
      </c>
      <c r="B578">
        <v>259</v>
      </c>
      <c r="C578">
        <v>261</v>
      </c>
      <c r="D578" s="11" t="s">
        <v>149</v>
      </c>
      <c r="E578" t="s">
        <v>404</v>
      </c>
      <c r="F578" t="s">
        <v>206</v>
      </c>
      <c r="G578" s="11" t="s">
        <v>502</v>
      </c>
      <c r="H578">
        <v>2</v>
      </c>
      <c r="I578" s="11" t="s">
        <v>431</v>
      </c>
      <c r="J578" t="s">
        <v>405</v>
      </c>
      <c r="K578" t="s">
        <v>264</v>
      </c>
      <c r="L578" s="11" t="s">
        <v>39</v>
      </c>
      <c r="M578" s="11" t="s">
        <v>39</v>
      </c>
      <c r="N578" s="11" t="s">
        <v>39</v>
      </c>
      <c r="O578" s="11" t="s">
        <v>39</v>
      </c>
      <c r="P578" t="s">
        <v>9</v>
      </c>
      <c r="Q578">
        <v>200</v>
      </c>
      <c r="R578">
        <v>0</v>
      </c>
      <c r="S578">
        <v>0</v>
      </c>
      <c r="T578" t="str">
        <f t="shared" si="88"/>
        <v>-</v>
      </c>
      <c r="U578" t="str">
        <f t="shared" si="89"/>
        <v>-</v>
      </c>
      <c r="V578" t="str">
        <f t="shared" si="90"/>
        <v>-</v>
      </c>
      <c r="W578" t="str">
        <f t="shared" si="91"/>
        <v>-</v>
      </c>
      <c r="X578" t="str">
        <f t="shared" si="92"/>
        <v>-</v>
      </c>
      <c r="Y578" t="str">
        <f t="shared" si="93"/>
        <v>-</v>
      </c>
      <c r="Z578" t="str">
        <f t="shared" si="94"/>
        <v>-</v>
      </c>
      <c r="AA578" t="str">
        <f t="shared" si="95"/>
        <v>-</v>
      </c>
      <c r="AB578" t="str">
        <f>IF(_xlfn.IFNA(VLOOKUP(P578,Set_Ref!$B$6:$B$1048576,1,FALSE),"")&lt;&gt;"","-",FALSE)</f>
        <v>-</v>
      </c>
      <c r="AC578" t="str">
        <f t="shared" si="96"/>
        <v>-</v>
      </c>
      <c r="AD578" t="str">
        <f t="shared" si="97"/>
        <v>-</v>
      </c>
      <c r="AE578" t="b">
        <f t="shared" si="98"/>
        <v>1</v>
      </c>
    </row>
    <row r="579" spans="1:31" x14ac:dyDescent="0.25">
      <c r="A579">
        <v>2</v>
      </c>
      <c r="B579">
        <v>260</v>
      </c>
      <c r="C579">
        <v>261</v>
      </c>
      <c r="D579" s="11" t="s">
        <v>149</v>
      </c>
      <c r="E579" t="s">
        <v>404</v>
      </c>
      <c r="F579" t="s">
        <v>206</v>
      </c>
      <c r="G579" s="11" t="s">
        <v>502</v>
      </c>
      <c r="H579">
        <v>3</v>
      </c>
      <c r="I579" s="11" t="s">
        <v>176</v>
      </c>
      <c r="J579" t="s">
        <v>406</v>
      </c>
      <c r="K579" t="s">
        <v>265</v>
      </c>
      <c r="L579" s="11" t="s">
        <v>39</v>
      </c>
      <c r="M579" s="11" t="s">
        <v>39</v>
      </c>
      <c r="N579" s="11" t="s">
        <v>39</v>
      </c>
      <c r="O579" s="11" t="s">
        <v>39</v>
      </c>
      <c r="P579" t="s">
        <v>9</v>
      </c>
      <c r="Q579">
        <v>200</v>
      </c>
      <c r="R579">
        <v>0</v>
      </c>
      <c r="S579">
        <v>0</v>
      </c>
      <c r="T579" t="str">
        <f t="shared" ref="T579:T636" si="99">IF(OR(A579="",A579&lt;1),FALSE,IF(ISNUMBER(A579), IF(INT(A579) = A579, "-", FALSE), FALSE))</f>
        <v>-</v>
      </c>
      <c r="U579" t="str">
        <f t="shared" ref="U579:U636" si="100">IF(OR(B579="",A579&lt;1),FALSE,IF(ISNUMBER(A579), IF(INT(A579) = A579, "-", FALSE), FALSE))</f>
        <v>-</v>
      </c>
      <c r="V579" t="str">
        <f t="shared" ref="V579:V636" si="101">IF(OR(C579="",C579="PilihSalasatu"),FALSE,"-")</f>
        <v>-</v>
      </c>
      <c r="W579" t="str">
        <f t="shared" ref="W579:W636" si="102">IF(D579="",FALSE,"-")</f>
        <v>-</v>
      </c>
      <c r="X579" t="str">
        <f t="shared" ref="X579:X636" si="103">IF(E579="",FALSE,"-")</f>
        <v>-</v>
      </c>
      <c r="Y579" t="str">
        <f t="shared" ref="Y579:Y636" si="104">IF(F579="",FALSE,"-")</f>
        <v>-</v>
      </c>
      <c r="Z579" t="str">
        <f t="shared" ref="Z579:Z636" si="105">IF(I579="",FALSE,"-")</f>
        <v>-</v>
      </c>
      <c r="AA579" t="str">
        <f t="shared" ref="AA579:AA636" si="106">IF(J579="",FALSE,"-")</f>
        <v>-</v>
      </c>
      <c r="AB579" t="str">
        <f>IF(_xlfn.IFNA(VLOOKUP(P579,Set_Ref!$B$6:$B$1048576,1,FALSE),"")&lt;&gt;"","-",FALSE)</f>
        <v>-</v>
      </c>
      <c r="AC579" t="str">
        <f t="shared" ref="AC579:AC636" si="107">IF(OR(Q579="",Q579&lt;0),FALSE,IF(ISNUMBER(Q579),"-",FALSE))</f>
        <v>-</v>
      </c>
      <c r="AD579" t="str">
        <f t="shared" ref="AD579:AD636" si="108">IF(OR(G579="",H579="",I579="",K579=""),FALSE,"-")</f>
        <v>-</v>
      </c>
      <c r="AE579" t="b">
        <f t="shared" ref="AE579:AE642" si="109">IF(COUNTIF(T579:AD579, "FALSE") &gt; 0, FALSE, TRUE)</f>
        <v>1</v>
      </c>
    </row>
    <row r="580" spans="1:31" x14ac:dyDescent="0.25">
      <c r="A580">
        <v>2</v>
      </c>
      <c r="B580">
        <v>261</v>
      </c>
      <c r="C580">
        <v>261</v>
      </c>
      <c r="D580" s="11" t="s">
        <v>149</v>
      </c>
      <c r="E580" t="s">
        <v>407</v>
      </c>
      <c r="F580" t="s">
        <v>207</v>
      </c>
      <c r="G580" s="11" t="s">
        <v>503</v>
      </c>
      <c r="H580">
        <v>1</v>
      </c>
      <c r="I580" s="11" t="s">
        <v>504</v>
      </c>
      <c r="J580" t="s">
        <v>408</v>
      </c>
      <c r="K580" t="s">
        <v>266</v>
      </c>
      <c r="L580" s="11" t="s">
        <v>39</v>
      </c>
      <c r="M580" s="11" t="s">
        <v>39</v>
      </c>
      <c r="N580" s="11" t="s">
        <v>39</v>
      </c>
      <c r="O580" s="11" t="s">
        <v>39</v>
      </c>
      <c r="P580" t="s">
        <v>10</v>
      </c>
      <c r="Q580">
        <v>801</v>
      </c>
      <c r="R580">
        <v>0</v>
      </c>
      <c r="S580">
        <v>0</v>
      </c>
      <c r="T580" t="str">
        <f t="shared" si="99"/>
        <v>-</v>
      </c>
      <c r="U580" t="str">
        <f t="shared" si="100"/>
        <v>-</v>
      </c>
      <c r="V580" t="str">
        <f t="shared" si="101"/>
        <v>-</v>
      </c>
      <c r="W580" t="str">
        <f t="shared" si="102"/>
        <v>-</v>
      </c>
      <c r="X580" t="str">
        <f t="shared" si="103"/>
        <v>-</v>
      </c>
      <c r="Y580" t="str">
        <f t="shared" si="104"/>
        <v>-</v>
      </c>
      <c r="Z580" t="str">
        <f t="shared" si="105"/>
        <v>-</v>
      </c>
      <c r="AA580" t="str">
        <f t="shared" si="106"/>
        <v>-</v>
      </c>
      <c r="AB580" t="str">
        <f>IF(_xlfn.IFNA(VLOOKUP(P580,Set_Ref!$B$6:$B$1048576,1,FALSE),"")&lt;&gt;"","-",FALSE)</f>
        <v>-</v>
      </c>
      <c r="AC580" t="str">
        <f t="shared" si="107"/>
        <v>-</v>
      </c>
      <c r="AD580" t="str">
        <f t="shared" si="108"/>
        <v>-</v>
      </c>
      <c r="AE580" t="b">
        <f t="shared" si="109"/>
        <v>1</v>
      </c>
    </row>
    <row r="581" spans="1:31" x14ac:dyDescent="0.25">
      <c r="A581">
        <v>2</v>
      </c>
      <c r="B581">
        <v>262</v>
      </c>
      <c r="C581">
        <v>261</v>
      </c>
      <c r="D581" s="11" t="s">
        <v>149</v>
      </c>
      <c r="E581" t="s">
        <v>409</v>
      </c>
      <c r="F581" t="s">
        <v>207</v>
      </c>
      <c r="G581" s="11" t="s">
        <v>505</v>
      </c>
      <c r="H581">
        <v>1</v>
      </c>
      <c r="I581" s="11" t="s">
        <v>427</v>
      </c>
      <c r="J581" t="s">
        <v>316</v>
      </c>
      <c r="K581" t="s">
        <v>244</v>
      </c>
      <c r="L581" s="11" t="s">
        <v>39</v>
      </c>
      <c r="M581" s="11" t="s">
        <v>39</v>
      </c>
      <c r="N581" s="11" t="s">
        <v>39</v>
      </c>
      <c r="O581" s="11" t="s">
        <v>39</v>
      </c>
      <c r="P581" t="s">
        <v>9</v>
      </c>
      <c r="Q581">
        <v>200</v>
      </c>
      <c r="R581">
        <v>0</v>
      </c>
      <c r="S581">
        <v>0</v>
      </c>
      <c r="T581" t="str">
        <f t="shared" si="99"/>
        <v>-</v>
      </c>
      <c r="U581" t="str">
        <f t="shared" si="100"/>
        <v>-</v>
      </c>
      <c r="V581" t="str">
        <f t="shared" si="101"/>
        <v>-</v>
      </c>
      <c r="W581" t="str">
        <f t="shared" si="102"/>
        <v>-</v>
      </c>
      <c r="X581" t="str">
        <f t="shared" si="103"/>
        <v>-</v>
      </c>
      <c r="Y581" t="str">
        <f t="shared" si="104"/>
        <v>-</v>
      </c>
      <c r="Z581" t="str">
        <f t="shared" si="105"/>
        <v>-</v>
      </c>
      <c r="AA581" t="str">
        <f t="shared" si="106"/>
        <v>-</v>
      </c>
      <c r="AB581" t="str">
        <f>IF(_xlfn.IFNA(VLOOKUP(P581,Set_Ref!$B$6:$B$1048576,1,FALSE),"")&lt;&gt;"","-",FALSE)</f>
        <v>-</v>
      </c>
      <c r="AC581" t="str">
        <f t="shared" si="107"/>
        <v>-</v>
      </c>
      <c r="AD581" t="str">
        <f t="shared" si="108"/>
        <v>-</v>
      </c>
      <c r="AE581" t="b">
        <f t="shared" si="109"/>
        <v>1</v>
      </c>
    </row>
    <row r="582" spans="1:31" x14ac:dyDescent="0.25">
      <c r="A582">
        <v>2</v>
      </c>
      <c r="B582">
        <v>263</v>
      </c>
      <c r="C582">
        <v>261</v>
      </c>
      <c r="D582" s="11" t="s">
        <v>149</v>
      </c>
      <c r="E582" t="s">
        <v>409</v>
      </c>
      <c r="F582" t="s">
        <v>207</v>
      </c>
      <c r="G582" s="11" t="s">
        <v>505</v>
      </c>
      <c r="H582">
        <v>2</v>
      </c>
      <c r="I582" s="11" t="s">
        <v>427</v>
      </c>
      <c r="J582" t="s">
        <v>317</v>
      </c>
      <c r="K582" t="s">
        <v>245</v>
      </c>
      <c r="L582" s="11" t="s">
        <v>39</v>
      </c>
      <c r="M582" s="11" t="s">
        <v>39</v>
      </c>
      <c r="N582" s="11" t="s">
        <v>39</v>
      </c>
      <c r="O582" s="11" t="s">
        <v>39</v>
      </c>
      <c r="P582" t="s">
        <v>9</v>
      </c>
      <c r="Q582">
        <v>200</v>
      </c>
      <c r="R582">
        <v>0</v>
      </c>
      <c r="S582">
        <v>0</v>
      </c>
      <c r="T582" t="str">
        <f t="shared" si="99"/>
        <v>-</v>
      </c>
      <c r="U582" t="str">
        <f t="shared" si="100"/>
        <v>-</v>
      </c>
      <c r="V582" t="str">
        <f t="shared" si="101"/>
        <v>-</v>
      </c>
      <c r="W582" t="str">
        <f t="shared" si="102"/>
        <v>-</v>
      </c>
      <c r="X582" t="str">
        <f t="shared" si="103"/>
        <v>-</v>
      </c>
      <c r="Y582" t="str">
        <f t="shared" si="104"/>
        <v>-</v>
      </c>
      <c r="Z582" t="str">
        <f t="shared" si="105"/>
        <v>-</v>
      </c>
      <c r="AA582" t="str">
        <f t="shared" si="106"/>
        <v>-</v>
      </c>
      <c r="AB582" t="str">
        <f>IF(_xlfn.IFNA(VLOOKUP(P582,Set_Ref!$B$6:$B$1048576,1,FALSE),"")&lt;&gt;"","-",FALSE)</f>
        <v>-</v>
      </c>
      <c r="AC582" t="str">
        <f t="shared" si="107"/>
        <v>-</v>
      </c>
      <c r="AD582" t="str">
        <f t="shared" si="108"/>
        <v>-</v>
      </c>
      <c r="AE582" t="b">
        <f t="shared" si="109"/>
        <v>1</v>
      </c>
    </row>
    <row r="583" spans="1:31" x14ac:dyDescent="0.25">
      <c r="A583">
        <v>2</v>
      </c>
      <c r="B583">
        <v>264</v>
      </c>
      <c r="C583">
        <v>261</v>
      </c>
      <c r="D583" s="11" t="s">
        <v>149</v>
      </c>
      <c r="E583" t="s">
        <v>409</v>
      </c>
      <c r="F583" t="s">
        <v>207</v>
      </c>
      <c r="G583" s="11" t="s">
        <v>505</v>
      </c>
      <c r="H583">
        <v>3</v>
      </c>
      <c r="I583" s="11" t="s">
        <v>172</v>
      </c>
      <c r="J583" t="s">
        <v>384</v>
      </c>
      <c r="K583" t="s">
        <v>219</v>
      </c>
      <c r="L583" s="11" t="s">
        <v>39</v>
      </c>
      <c r="M583" s="11" t="s">
        <v>39</v>
      </c>
      <c r="N583" s="11" t="s">
        <v>39</v>
      </c>
      <c r="O583" s="11" t="s">
        <v>39</v>
      </c>
      <c r="P583" t="s">
        <v>11</v>
      </c>
      <c r="Q583">
        <v>14</v>
      </c>
      <c r="R583">
        <v>0</v>
      </c>
      <c r="S583">
        <v>0</v>
      </c>
      <c r="T583" t="str">
        <f t="shared" si="99"/>
        <v>-</v>
      </c>
      <c r="U583" t="str">
        <f t="shared" si="100"/>
        <v>-</v>
      </c>
      <c r="V583" t="str">
        <f t="shared" si="101"/>
        <v>-</v>
      </c>
      <c r="W583" t="str">
        <f t="shared" si="102"/>
        <v>-</v>
      </c>
      <c r="X583" t="str">
        <f t="shared" si="103"/>
        <v>-</v>
      </c>
      <c r="Y583" t="str">
        <f t="shared" si="104"/>
        <v>-</v>
      </c>
      <c r="Z583" t="str">
        <f t="shared" si="105"/>
        <v>-</v>
      </c>
      <c r="AA583" t="str">
        <f t="shared" si="106"/>
        <v>-</v>
      </c>
      <c r="AB583" t="str">
        <f>IF(_xlfn.IFNA(VLOOKUP(P583,Set_Ref!$B$6:$B$1048576,1,FALSE),"")&lt;&gt;"","-",FALSE)</f>
        <v>-</v>
      </c>
      <c r="AC583" t="str">
        <f t="shared" si="107"/>
        <v>-</v>
      </c>
      <c r="AD583" t="str">
        <f t="shared" si="108"/>
        <v>-</v>
      </c>
      <c r="AE583" t="b">
        <f t="shared" si="109"/>
        <v>1</v>
      </c>
    </row>
    <row r="584" spans="1:31" x14ac:dyDescent="0.25">
      <c r="A584">
        <v>2</v>
      </c>
      <c r="B584">
        <v>265</v>
      </c>
      <c r="C584">
        <v>261</v>
      </c>
      <c r="D584" s="11" t="s">
        <v>149</v>
      </c>
      <c r="E584" t="s">
        <v>410</v>
      </c>
      <c r="F584" t="s">
        <v>208</v>
      </c>
      <c r="G584" s="11" t="s">
        <v>506</v>
      </c>
      <c r="H584">
        <v>1</v>
      </c>
      <c r="I584" s="11" t="s">
        <v>427</v>
      </c>
      <c r="J584" t="s">
        <v>507</v>
      </c>
      <c r="K584" t="s">
        <v>267</v>
      </c>
      <c r="L584" s="11" t="s">
        <v>39</v>
      </c>
      <c r="M584" s="11" t="s">
        <v>39</v>
      </c>
      <c r="N584" s="11" t="s">
        <v>39</v>
      </c>
      <c r="O584" s="11" t="s">
        <v>39</v>
      </c>
      <c r="P584" t="s">
        <v>9</v>
      </c>
      <c r="Q584">
        <v>100</v>
      </c>
      <c r="R584">
        <v>0</v>
      </c>
      <c r="S584">
        <v>0</v>
      </c>
      <c r="T584" t="str">
        <f t="shared" si="99"/>
        <v>-</v>
      </c>
      <c r="U584" t="str">
        <f t="shared" si="100"/>
        <v>-</v>
      </c>
      <c r="V584" t="str">
        <f t="shared" si="101"/>
        <v>-</v>
      </c>
      <c r="W584" t="str">
        <f t="shared" si="102"/>
        <v>-</v>
      </c>
      <c r="X584" t="str">
        <f t="shared" si="103"/>
        <v>-</v>
      </c>
      <c r="Y584" t="str">
        <f t="shared" si="104"/>
        <v>-</v>
      </c>
      <c r="Z584" t="str">
        <f t="shared" si="105"/>
        <v>-</v>
      </c>
      <c r="AA584" t="str">
        <f t="shared" si="106"/>
        <v>-</v>
      </c>
      <c r="AB584" t="str">
        <f>IF(_xlfn.IFNA(VLOOKUP(P584,Set_Ref!$B$6:$B$1048576,1,FALSE),"")&lt;&gt;"","-",FALSE)</f>
        <v>-</v>
      </c>
      <c r="AC584" t="str">
        <f t="shared" si="107"/>
        <v>-</v>
      </c>
      <c r="AD584" t="str">
        <f t="shared" si="108"/>
        <v>-</v>
      </c>
      <c r="AE584" t="b">
        <f t="shared" si="109"/>
        <v>1</v>
      </c>
    </row>
    <row r="585" spans="1:31" x14ac:dyDescent="0.25">
      <c r="A585">
        <v>2</v>
      </c>
      <c r="B585">
        <v>266</v>
      </c>
      <c r="C585">
        <v>261</v>
      </c>
      <c r="D585" s="11" t="s">
        <v>149</v>
      </c>
      <c r="E585" t="s">
        <v>410</v>
      </c>
      <c r="F585" t="s">
        <v>208</v>
      </c>
      <c r="G585" s="11" t="s">
        <v>506</v>
      </c>
      <c r="H585">
        <v>1</v>
      </c>
      <c r="I585" s="11" t="s">
        <v>427</v>
      </c>
      <c r="J585" t="s">
        <v>507</v>
      </c>
      <c r="K585" t="s">
        <v>267</v>
      </c>
      <c r="L585" s="11" t="s">
        <v>39</v>
      </c>
      <c r="M585" s="11" t="s">
        <v>39</v>
      </c>
      <c r="N585" s="11" t="s">
        <v>39</v>
      </c>
      <c r="O585" s="11" t="s">
        <v>39</v>
      </c>
      <c r="P585" t="s">
        <v>9</v>
      </c>
      <c r="Q585">
        <v>260</v>
      </c>
      <c r="R585">
        <v>0</v>
      </c>
      <c r="S585">
        <v>0</v>
      </c>
      <c r="T585" t="str">
        <f t="shared" si="99"/>
        <v>-</v>
      </c>
      <c r="U585" t="str">
        <f t="shared" si="100"/>
        <v>-</v>
      </c>
      <c r="V585" t="str">
        <f t="shared" si="101"/>
        <v>-</v>
      </c>
      <c r="W585" t="str">
        <f t="shared" si="102"/>
        <v>-</v>
      </c>
      <c r="X585" t="str">
        <f t="shared" si="103"/>
        <v>-</v>
      </c>
      <c r="Y585" t="str">
        <f t="shared" si="104"/>
        <v>-</v>
      </c>
      <c r="Z585" t="str">
        <f t="shared" si="105"/>
        <v>-</v>
      </c>
      <c r="AA585" t="str">
        <f t="shared" si="106"/>
        <v>-</v>
      </c>
      <c r="AB585" t="str">
        <f>IF(_xlfn.IFNA(VLOOKUP(P585,Set_Ref!$B$6:$B$1048576,1,FALSE),"")&lt;&gt;"","-",FALSE)</f>
        <v>-</v>
      </c>
      <c r="AC585" t="str">
        <f t="shared" si="107"/>
        <v>-</v>
      </c>
      <c r="AD585" t="str">
        <f t="shared" si="108"/>
        <v>-</v>
      </c>
      <c r="AE585" t="b">
        <f t="shared" si="109"/>
        <v>1</v>
      </c>
    </row>
    <row r="586" spans="1:31" x14ac:dyDescent="0.25">
      <c r="A586">
        <v>2</v>
      </c>
      <c r="B586">
        <v>267</v>
      </c>
      <c r="C586">
        <v>261</v>
      </c>
      <c r="D586" s="11" t="s">
        <v>149</v>
      </c>
      <c r="E586" t="s">
        <v>410</v>
      </c>
      <c r="F586" t="s">
        <v>208</v>
      </c>
      <c r="G586" s="11" t="s">
        <v>506</v>
      </c>
      <c r="H586">
        <v>1</v>
      </c>
      <c r="I586" s="11" t="s">
        <v>427</v>
      </c>
      <c r="J586" t="s">
        <v>507</v>
      </c>
      <c r="K586" t="s">
        <v>267</v>
      </c>
      <c r="L586" s="11" t="s">
        <v>39</v>
      </c>
      <c r="M586" s="11" t="s">
        <v>39</v>
      </c>
      <c r="N586" s="11" t="s">
        <v>39</v>
      </c>
      <c r="O586" s="11" t="s">
        <v>39</v>
      </c>
      <c r="P586" t="s">
        <v>9</v>
      </c>
      <c r="Q586">
        <v>460</v>
      </c>
      <c r="R586">
        <v>0</v>
      </c>
      <c r="S586">
        <v>0</v>
      </c>
      <c r="T586" t="str">
        <f t="shared" si="99"/>
        <v>-</v>
      </c>
      <c r="U586" t="str">
        <f t="shared" si="100"/>
        <v>-</v>
      </c>
      <c r="V586" t="str">
        <f t="shared" si="101"/>
        <v>-</v>
      </c>
      <c r="W586" t="str">
        <f t="shared" si="102"/>
        <v>-</v>
      </c>
      <c r="X586" t="str">
        <f t="shared" si="103"/>
        <v>-</v>
      </c>
      <c r="Y586" t="str">
        <f t="shared" si="104"/>
        <v>-</v>
      </c>
      <c r="Z586" t="str">
        <f t="shared" si="105"/>
        <v>-</v>
      </c>
      <c r="AA586" t="str">
        <f t="shared" si="106"/>
        <v>-</v>
      </c>
      <c r="AB586" t="str">
        <f>IF(_xlfn.IFNA(VLOOKUP(P586,Set_Ref!$B$6:$B$1048576,1,FALSE),"")&lt;&gt;"","-",FALSE)</f>
        <v>-</v>
      </c>
      <c r="AC586" t="str">
        <f t="shared" si="107"/>
        <v>-</v>
      </c>
      <c r="AD586" t="str">
        <f t="shared" si="108"/>
        <v>-</v>
      </c>
      <c r="AE586" t="b">
        <f t="shared" si="109"/>
        <v>1</v>
      </c>
    </row>
    <row r="587" spans="1:31" x14ac:dyDescent="0.25">
      <c r="A587">
        <v>2</v>
      </c>
      <c r="B587">
        <v>268</v>
      </c>
      <c r="C587">
        <v>261</v>
      </c>
      <c r="D587" s="11" t="s">
        <v>149</v>
      </c>
      <c r="E587" t="s">
        <v>410</v>
      </c>
      <c r="F587" t="s">
        <v>208</v>
      </c>
      <c r="G587" s="11" t="s">
        <v>506</v>
      </c>
      <c r="H587">
        <v>1</v>
      </c>
      <c r="I587" s="11" t="s">
        <v>427</v>
      </c>
      <c r="J587" t="s">
        <v>507</v>
      </c>
      <c r="K587" t="s">
        <v>267</v>
      </c>
      <c r="L587" s="11" t="s">
        <v>39</v>
      </c>
      <c r="M587" s="11" t="s">
        <v>39</v>
      </c>
      <c r="N587" s="11" t="s">
        <v>39</v>
      </c>
      <c r="O587" s="11" t="s">
        <v>39</v>
      </c>
      <c r="P587" t="s">
        <v>9</v>
      </c>
      <c r="Q587">
        <v>250</v>
      </c>
      <c r="R587">
        <v>0</v>
      </c>
      <c r="S587">
        <v>0</v>
      </c>
      <c r="T587" t="str">
        <f t="shared" si="99"/>
        <v>-</v>
      </c>
      <c r="U587" t="str">
        <f t="shared" si="100"/>
        <v>-</v>
      </c>
      <c r="V587" t="str">
        <f t="shared" si="101"/>
        <v>-</v>
      </c>
      <c r="W587" t="str">
        <f t="shared" si="102"/>
        <v>-</v>
      </c>
      <c r="X587" t="str">
        <f t="shared" si="103"/>
        <v>-</v>
      </c>
      <c r="Y587" t="str">
        <f t="shared" si="104"/>
        <v>-</v>
      </c>
      <c r="Z587" t="str">
        <f t="shared" si="105"/>
        <v>-</v>
      </c>
      <c r="AA587" t="str">
        <f t="shared" si="106"/>
        <v>-</v>
      </c>
      <c r="AB587" t="str">
        <f>IF(_xlfn.IFNA(VLOOKUP(P587,Set_Ref!$B$6:$B$1048576,1,FALSE),"")&lt;&gt;"","-",FALSE)</f>
        <v>-</v>
      </c>
      <c r="AC587" t="str">
        <f t="shared" si="107"/>
        <v>-</v>
      </c>
      <c r="AD587" t="str">
        <f t="shared" si="108"/>
        <v>-</v>
      </c>
      <c r="AE587" t="b">
        <f t="shared" si="109"/>
        <v>1</v>
      </c>
    </row>
    <row r="588" spans="1:31" x14ac:dyDescent="0.25">
      <c r="A588">
        <v>2</v>
      </c>
      <c r="B588">
        <v>269</v>
      </c>
      <c r="C588">
        <v>261</v>
      </c>
      <c r="D588" s="11" t="s">
        <v>149</v>
      </c>
      <c r="E588" t="s">
        <v>410</v>
      </c>
      <c r="F588" t="s">
        <v>208</v>
      </c>
      <c r="G588" s="11" t="s">
        <v>506</v>
      </c>
      <c r="H588">
        <v>1</v>
      </c>
      <c r="I588" s="11" t="s">
        <v>427</v>
      </c>
      <c r="J588" t="s">
        <v>507</v>
      </c>
      <c r="K588" t="s">
        <v>267</v>
      </c>
      <c r="L588" s="11" t="s">
        <v>39</v>
      </c>
      <c r="M588" s="11" t="s">
        <v>39</v>
      </c>
      <c r="N588" s="11" t="s">
        <v>39</v>
      </c>
      <c r="O588" s="11" t="s">
        <v>39</v>
      </c>
      <c r="P588" t="s">
        <v>9</v>
      </c>
      <c r="Q588">
        <v>110</v>
      </c>
      <c r="R588">
        <v>0</v>
      </c>
      <c r="S588">
        <v>0</v>
      </c>
      <c r="T588" t="str">
        <f t="shared" si="99"/>
        <v>-</v>
      </c>
      <c r="U588" t="str">
        <f t="shared" si="100"/>
        <v>-</v>
      </c>
      <c r="V588" t="str">
        <f t="shared" si="101"/>
        <v>-</v>
      </c>
      <c r="W588" t="str">
        <f t="shared" si="102"/>
        <v>-</v>
      </c>
      <c r="X588" t="str">
        <f t="shared" si="103"/>
        <v>-</v>
      </c>
      <c r="Y588" t="str">
        <f t="shared" si="104"/>
        <v>-</v>
      </c>
      <c r="Z588" t="str">
        <f t="shared" si="105"/>
        <v>-</v>
      </c>
      <c r="AA588" t="str">
        <f t="shared" si="106"/>
        <v>-</v>
      </c>
      <c r="AB588" t="str">
        <f>IF(_xlfn.IFNA(VLOOKUP(P588,Set_Ref!$B$6:$B$1048576,1,FALSE),"")&lt;&gt;"","-",FALSE)</f>
        <v>-</v>
      </c>
      <c r="AC588" t="str">
        <f t="shared" si="107"/>
        <v>-</v>
      </c>
      <c r="AD588" t="str">
        <f t="shared" si="108"/>
        <v>-</v>
      </c>
      <c r="AE588" t="b">
        <f t="shared" si="109"/>
        <v>1</v>
      </c>
    </row>
    <row r="589" spans="1:31" x14ac:dyDescent="0.25">
      <c r="A589">
        <v>2</v>
      </c>
      <c r="B589">
        <v>270</v>
      </c>
      <c r="C589">
        <v>261</v>
      </c>
      <c r="D589" s="11" t="s">
        <v>149</v>
      </c>
      <c r="E589" t="s">
        <v>410</v>
      </c>
      <c r="F589" t="s">
        <v>208</v>
      </c>
      <c r="G589" s="11" t="s">
        <v>506</v>
      </c>
      <c r="H589">
        <v>1</v>
      </c>
      <c r="I589" s="11" t="s">
        <v>427</v>
      </c>
      <c r="J589" t="s">
        <v>507</v>
      </c>
      <c r="K589" t="s">
        <v>267</v>
      </c>
      <c r="L589" s="11" t="s">
        <v>39</v>
      </c>
      <c r="M589" s="11" t="s">
        <v>39</v>
      </c>
      <c r="N589" s="11" t="s">
        <v>39</v>
      </c>
      <c r="O589" s="11" t="s">
        <v>39</v>
      </c>
      <c r="P589" t="s">
        <v>9</v>
      </c>
      <c r="Q589">
        <v>60</v>
      </c>
      <c r="R589">
        <v>0</v>
      </c>
      <c r="S589">
        <v>0</v>
      </c>
      <c r="T589" t="str">
        <f t="shared" si="99"/>
        <v>-</v>
      </c>
      <c r="U589" t="str">
        <f t="shared" si="100"/>
        <v>-</v>
      </c>
      <c r="V589" t="str">
        <f t="shared" si="101"/>
        <v>-</v>
      </c>
      <c r="W589" t="str">
        <f t="shared" si="102"/>
        <v>-</v>
      </c>
      <c r="X589" t="str">
        <f t="shared" si="103"/>
        <v>-</v>
      </c>
      <c r="Y589" t="str">
        <f t="shared" si="104"/>
        <v>-</v>
      </c>
      <c r="Z589" t="str">
        <f t="shared" si="105"/>
        <v>-</v>
      </c>
      <c r="AA589" t="str">
        <f t="shared" si="106"/>
        <v>-</v>
      </c>
      <c r="AB589" t="str">
        <f>IF(_xlfn.IFNA(VLOOKUP(P589,Set_Ref!$B$6:$B$1048576,1,FALSE),"")&lt;&gt;"","-",FALSE)</f>
        <v>-</v>
      </c>
      <c r="AC589" t="str">
        <f t="shared" si="107"/>
        <v>-</v>
      </c>
      <c r="AD589" t="str">
        <f t="shared" si="108"/>
        <v>-</v>
      </c>
      <c r="AE589" t="b">
        <f t="shared" si="109"/>
        <v>1</v>
      </c>
    </row>
    <row r="590" spans="1:31" x14ac:dyDescent="0.25">
      <c r="A590">
        <v>2</v>
      </c>
      <c r="B590">
        <v>271</v>
      </c>
      <c r="C590">
        <v>261</v>
      </c>
      <c r="D590" s="11" t="s">
        <v>149</v>
      </c>
      <c r="E590" t="s">
        <v>410</v>
      </c>
      <c r="F590" t="s">
        <v>208</v>
      </c>
      <c r="G590" s="11" t="s">
        <v>506</v>
      </c>
      <c r="H590">
        <v>1</v>
      </c>
      <c r="I590" s="11" t="s">
        <v>427</v>
      </c>
      <c r="J590" t="s">
        <v>507</v>
      </c>
      <c r="K590" t="s">
        <v>267</v>
      </c>
      <c r="L590" s="11" t="s">
        <v>39</v>
      </c>
      <c r="M590" s="11" t="s">
        <v>39</v>
      </c>
      <c r="N590" s="11" t="s">
        <v>39</v>
      </c>
      <c r="O590" s="11" t="s">
        <v>39</v>
      </c>
      <c r="P590" t="s">
        <v>9</v>
      </c>
      <c r="Q590">
        <v>10</v>
      </c>
      <c r="R590">
        <v>0</v>
      </c>
      <c r="S590">
        <v>0</v>
      </c>
      <c r="T590" t="str">
        <f t="shared" si="99"/>
        <v>-</v>
      </c>
      <c r="U590" t="str">
        <f t="shared" si="100"/>
        <v>-</v>
      </c>
      <c r="V590" t="str">
        <f t="shared" si="101"/>
        <v>-</v>
      </c>
      <c r="W590" t="str">
        <f t="shared" si="102"/>
        <v>-</v>
      </c>
      <c r="X590" t="str">
        <f t="shared" si="103"/>
        <v>-</v>
      </c>
      <c r="Y590" t="str">
        <f t="shared" si="104"/>
        <v>-</v>
      </c>
      <c r="Z590" t="str">
        <f t="shared" si="105"/>
        <v>-</v>
      </c>
      <c r="AA590" t="str">
        <f t="shared" si="106"/>
        <v>-</v>
      </c>
      <c r="AB590" t="str">
        <f>IF(_xlfn.IFNA(VLOOKUP(P590,Set_Ref!$B$6:$B$1048576,1,FALSE),"")&lt;&gt;"","-",FALSE)</f>
        <v>-</v>
      </c>
      <c r="AC590" t="str">
        <f t="shared" si="107"/>
        <v>-</v>
      </c>
      <c r="AD590" t="str">
        <f t="shared" si="108"/>
        <v>-</v>
      </c>
      <c r="AE590" t="b">
        <f t="shared" si="109"/>
        <v>1</v>
      </c>
    </row>
    <row r="591" spans="1:31" x14ac:dyDescent="0.25">
      <c r="A591">
        <v>2</v>
      </c>
      <c r="B591">
        <v>272</v>
      </c>
      <c r="C591">
        <v>261</v>
      </c>
      <c r="D591" s="11" t="s">
        <v>149</v>
      </c>
      <c r="E591" t="s">
        <v>410</v>
      </c>
      <c r="F591" t="s">
        <v>208</v>
      </c>
      <c r="G591" s="11" t="s">
        <v>506</v>
      </c>
      <c r="H591">
        <v>1</v>
      </c>
      <c r="I591" s="11" t="s">
        <v>427</v>
      </c>
      <c r="J591" t="s">
        <v>507</v>
      </c>
      <c r="K591" t="s">
        <v>267</v>
      </c>
      <c r="L591" s="11" t="s">
        <v>39</v>
      </c>
      <c r="M591" s="11" t="s">
        <v>39</v>
      </c>
      <c r="N591" s="11" t="s">
        <v>39</v>
      </c>
      <c r="O591" s="11" t="s">
        <v>39</v>
      </c>
      <c r="P591" t="s">
        <v>9</v>
      </c>
      <c r="Q591">
        <v>20</v>
      </c>
      <c r="R591">
        <v>0</v>
      </c>
      <c r="S591">
        <v>0</v>
      </c>
      <c r="T591" t="str">
        <f t="shared" si="99"/>
        <v>-</v>
      </c>
      <c r="U591" t="str">
        <f t="shared" si="100"/>
        <v>-</v>
      </c>
      <c r="V591" t="str">
        <f t="shared" si="101"/>
        <v>-</v>
      </c>
      <c r="W591" t="str">
        <f t="shared" si="102"/>
        <v>-</v>
      </c>
      <c r="X591" t="str">
        <f t="shared" si="103"/>
        <v>-</v>
      </c>
      <c r="Y591" t="str">
        <f t="shared" si="104"/>
        <v>-</v>
      </c>
      <c r="Z591" t="str">
        <f t="shared" si="105"/>
        <v>-</v>
      </c>
      <c r="AA591" t="str">
        <f t="shared" si="106"/>
        <v>-</v>
      </c>
      <c r="AB591" t="str">
        <f>IF(_xlfn.IFNA(VLOOKUP(P591,Set_Ref!$B$6:$B$1048576,1,FALSE),"")&lt;&gt;"","-",FALSE)</f>
        <v>-</v>
      </c>
      <c r="AC591" t="str">
        <f t="shared" si="107"/>
        <v>-</v>
      </c>
      <c r="AD591" t="str">
        <f t="shared" si="108"/>
        <v>-</v>
      </c>
      <c r="AE591" t="b">
        <f t="shared" si="109"/>
        <v>1</v>
      </c>
    </row>
    <row r="592" spans="1:31" x14ac:dyDescent="0.25">
      <c r="A592">
        <v>2</v>
      </c>
      <c r="B592">
        <v>273</v>
      </c>
      <c r="C592">
        <v>261</v>
      </c>
      <c r="D592" s="11" t="s">
        <v>149</v>
      </c>
      <c r="E592" t="s">
        <v>410</v>
      </c>
      <c r="F592" t="s">
        <v>208</v>
      </c>
      <c r="G592" s="11" t="s">
        <v>506</v>
      </c>
      <c r="H592">
        <v>1</v>
      </c>
      <c r="I592" s="11" t="s">
        <v>427</v>
      </c>
      <c r="J592" t="s">
        <v>507</v>
      </c>
      <c r="K592" t="s">
        <v>267</v>
      </c>
      <c r="L592" s="11" t="s">
        <v>39</v>
      </c>
      <c r="M592" s="11" t="s">
        <v>39</v>
      </c>
      <c r="N592" s="11" t="s">
        <v>39</v>
      </c>
      <c r="O592" s="11" t="s">
        <v>39</v>
      </c>
      <c r="P592" t="s">
        <v>9</v>
      </c>
      <c r="Q592">
        <v>66</v>
      </c>
      <c r="R592">
        <v>0</v>
      </c>
      <c r="S592">
        <v>0</v>
      </c>
      <c r="T592" t="str">
        <f t="shared" si="99"/>
        <v>-</v>
      </c>
      <c r="U592" t="str">
        <f t="shared" si="100"/>
        <v>-</v>
      </c>
      <c r="V592" t="str">
        <f t="shared" si="101"/>
        <v>-</v>
      </c>
      <c r="W592" t="str">
        <f t="shared" si="102"/>
        <v>-</v>
      </c>
      <c r="X592" t="str">
        <f t="shared" si="103"/>
        <v>-</v>
      </c>
      <c r="Y592" t="str">
        <f t="shared" si="104"/>
        <v>-</v>
      </c>
      <c r="Z592" t="str">
        <f t="shared" si="105"/>
        <v>-</v>
      </c>
      <c r="AA592" t="str">
        <f t="shared" si="106"/>
        <v>-</v>
      </c>
      <c r="AB592" t="str">
        <f>IF(_xlfn.IFNA(VLOOKUP(P592,Set_Ref!$B$6:$B$1048576,1,FALSE),"")&lt;&gt;"","-",FALSE)</f>
        <v>-</v>
      </c>
      <c r="AC592" t="str">
        <f t="shared" si="107"/>
        <v>-</v>
      </c>
      <c r="AD592" t="str">
        <f t="shared" si="108"/>
        <v>-</v>
      </c>
      <c r="AE592" t="b">
        <f t="shared" si="109"/>
        <v>1</v>
      </c>
    </row>
    <row r="593" spans="1:31" x14ac:dyDescent="0.25">
      <c r="A593">
        <v>2</v>
      </c>
      <c r="B593">
        <v>274</v>
      </c>
      <c r="C593">
        <v>261</v>
      </c>
      <c r="D593" s="11" t="s">
        <v>149</v>
      </c>
      <c r="E593" t="s">
        <v>410</v>
      </c>
      <c r="F593" t="s">
        <v>208</v>
      </c>
      <c r="G593" s="11" t="s">
        <v>506</v>
      </c>
      <c r="H593">
        <v>1</v>
      </c>
      <c r="I593" s="11" t="s">
        <v>427</v>
      </c>
      <c r="J593" t="s">
        <v>507</v>
      </c>
      <c r="K593" t="s">
        <v>267</v>
      </c>
      <c r="L593" s="11" t="s">
        <v>39</v>
      </c>
      <c r="M593" s="11" t="s">
        <v>39</v>
      </c>
      <c r="N593" s="11" t="s">
        <v>39</v>
      </c>
      <c r="O593" s="11" t="s">
        <v>39</v>
      </c>
      <c r="P593" t="s">
        <v>9</v>
      </c>
      <c r="Q593">
        <v>240</v>
      </c>
      <c r="R593">
        <v>0</v>
      </c>
      <c r="S593">
        <v>0</v>
      </c>
      <c r="T593" t="str">
        <f t="shared" si="99"/>
        <v>-</v>
      </c>
      <c r="U593" t="str">
        <f t="shared" si="100"/>
        <v>-</v>
      </c>
      <c r="V593" t="str">
        <f t="shared" si="101"/>
        <v>-</v>
      </c>
      <c r="W593" t="str">
        <f t="shared" si="102"/>
        <v>-</v>
      </c>
      <c r="X593" t="str">
        <f t="shared" si="103"/>
        <v>-</v>
      </c>
      <c r="Y593" t="str">
        <f t="shared" si="104"/>
        <v>-</v>
      </c>
      <c r="Z593" t="str">
        <f t="shared" si="105"/>
        <v>-</v>
      </c>
      <c r="AA593" t="str">
        <f t="shared" si="106"/>
        <v>-</v>
      </c>
      <c r="AB593" t="str">
        <f>IF(_xlfn.IFNA(VLOOKUP(P593,Set_Ref!$B$6:$B$1048576,1,FALSE),"")&lt;&gt;"","-",FALSE)</f>
        <v>-</v>
      </c>
      <c r="AC593" t="str">
        <f t="shared" si="107"/>
        <v>-</v>
      </c>
      <c r="AD593" t="str">
        <f t="shared" si="108"/>
        <v>-</v>
      </c>
      <c r="AE593" t="b">
        <f t="shared" si="109"/>
        <v>1</v>
      </c>
    </row>
    <row r="594" spans="1:31" x14ac:dyDescent="0.25">
      <c r="A594">
        <v>2</v>
      </c>
      <c r="B594">
        <v>275</v>
      </c>
      <c r="C594">
        <v>261</v>
      </c>
      <c r="D594" s="11" t="s">
        <v>149</v>
      </c>
      <c r="E594" t="s">
        <v>410</v>
      </c>
      <c r="F594" t="s">
        <v>208</v>
      </c>
      <c r="G594" s="11" t="s">
        <v>506</v>
      </c>
      <c r="H594">
        <v>1</v>
      </c>
      <c r="I594" s="11" t="s">
        <v>427</v>
      </c>
      <c r="J594" t="s">
        <v>507</v>
      </c>
      <c r="K594" t="s">
        <v>267</v>
      </c>
      <c r="L594" s="11" t="s">
        <v>39</v>
      </c>
      <c r="M594" s="11" t="s">
        <v>39</v>
      </c>
      <c r="N594" s="11" t="s">
        <v>39</v>
      </c>
      <c r="O594" s="11" t="s">
        <v>39</v>
      </c>
      <c r="P594" t="s">
        <v>9</v>
      </c>
      <c r="Q594">
        <v>270</v>
      </c>
      <c r="R594">
        <v>0</v>
      </c>
      <c r="S594">
        <v>0</v>
      </c>
      <c r="T594" t="str">
        <f t="shared" si="99"/>
        <v>-</v>
      </c>
      <c r="U594" t="str">
        <f t="shared" si="100"/>
        <v>-</v>
      </c>
      <c r="V594" t="str">
        <f t="shared" si="101"/>
        <v>-</v>
      </c>
      <c r="W594" t="str">
        <f t="shared" si="102"/>
        <v>-</v>
      </c>
      <c r="X594" t="str">
        <f t="shared" si="103"/>
        <v>-</v>
      </c>
      <c r="Y594" t="str">
        <f t="shared" si="104"/>
        <v>-</v>
      </c>
      <c r="Z594" t="str">
        <f t="shared" si="105"/>
        <v>-</v>
      </c>
      <c r="AA594" t="str">
        <f t="shared" si="106"/>
        <v>-</v>
      </c>
      <c r="AB594" t="str">
        <f>IF(_xlfn.IFNA(VLOOKUP(P594,Set_Ref!$B$6:$B$1048576,1,FALSE),"")&lt;&gt;"","-",FALSE)</f>
        <v>-</v>
      </c>
      <c r="AC594" t="str">
        <f t="shared" si="107"/>
        <v>-</v>
      </c>
      <c r="AD594" t="str">
        <f t="shared" si="108"/>
        <v>-</v>
      </c>
      <c r="AE594" t="b">
        <f t="shared" si="109"/>
        <v>1</v>
      </c>
    </row>
    <row r="595" spans="1:31" x14ac:dyDescent="0.25">
      <c r="A595">
        <v>2</v>
      </c>
      <c r="B595">
        <v>276</v>
      </c>
      <c r="C595">
        <v>261</v>
      </c>
      <c r="D595" s="11" t="s">
        <v>149</v>
      </c>
      <c r="E595" t="s">
        <v>410</v>
      </c>
      <c r="F595" t="s">
        <v>208</v>
      </c>
      <c r="G595" s="11" t="s">
        <v>506</v>
      </c>
      <c r="H595">
        <v>1</v>
      </c>
      <c r="I595" s="11" t="s">
        <v>427</v>
      </c>
      <c r="J595" t="s">
        <v>507</v>
      </c>
      <c r="K595" t="s">
        <v>267</v>
      </c>
      <c r="L595" s="11" t="s">
        <v>39</v>
      </c>
      <c r="M595" s="11" t="s">
        <v>39</v>
      </c>
      <c r="N595" s="11" t="s">
        <v>39</v>
      </c>
      <c r="O595" s="11" t="s">
        <v>39</v>
      </c>
      <c r="P595" t="s">
        <v>9</v>
      </c>
      <c r="Q595">
        <v>110</v>
      </c>
      <c r="R595">
        <v>0</v>
      </c>
      <c r="S595">
        <v>0</v>
      </c>
      <c r="T595" t="str">
        <f t="shared" si="99"/>
        <v>-</v>
      </c>
      <c r="U595" t="str">
        <f t="shared" si="100"/>
        <v>-</v>
      </c>
      <c r="V595" t="str">
        <f t="shared" si="101"/>
        <v>-</v>
      </c>
      <c r="W595" t="str">
        <f t="shared" si="102"/>
        <v>-</v>
      </c>
      <c r="X595" t="str">
        <f t="shared" si="103"/>
        <v>-</v>
      </c>
      <c r="Y595" t="str">
        <f t="shared" si="104"/>
        <v>-</v>
      </c>
      <c r="Z595" t="str">
        <f t="shared" si="105"/>
        <v>-</v>
      </c>
      <c r="AA595" t="str">
        <f t="shared" si="106"/>
        <v>-</v>
      </c>
      <c r="AB595" t="str">
        <f>IF(_xlfn.IFNA(VLOOKUP(P595,Set_Ref!$B$6:$B$1048576,1,FALSE),"")&lt;&gt;"","-",FALSE)</f>
        <v>-</v>
      </c>
      <c r="AC595" t="str">
        <f t="shared" si="107"/>
        <v>-</v>
      </c>
      <c r="AD595" t="str">
        <f t="shared" si="108"/>
        <v>-</v>
      </c>
      <c r="AE595" t="b">
        <f t="shared" si="109"/>
        <v>1</v>
      </c>
    </row>
    <row r="596" spans="1:31" x14ac:dyDescent="0.25">
      <c r="A596">
        <v>2</v>
      </c>
      <c r="B596">
        <v>277</v>
      </c>
      <c r="C596">
        <v>261</v>
      </c>
      <c r="D596" s="11" t="s">
        <v>149</v>
      </c>
      <c r="E596" t="s">
        <v>410</v>
      </c>
      <c r="F596" t="s">
        <v>208</v>
      </c>
      <c r="G596" s="11" t="s">
        <v>506</v>
      </c>
      <c r="H596">
        <v>1</v>
      </c>
      <c r="I596" s="11" t="s">
        <v>427</v>
      </c>
      <c r="J596" t="s">
        <v>507</v>
      </c>
      <c r="K596" t="s">
        <v>267</v>
      </c>
      <c r="L596" s="11" t="s">
        <v>39</v>
      </c>
      <c r="M596" s="11" t="s">
        <v>39</v>
      </c>
      <c r="N596" s="11" t="s">
        <v>39</v>
      </c>
      <c r="O596" s="11" t="s">
        <v>39</v>
      </c>
      <c r="P596" t="s">
        <v>9</v>
      </c>
      <c r="Q596">
        <v>44</v>
      </c>
      <c r="R596">
        <v>0</v>
      </c>
      <c r="S596">
        <v>0</v>
      </c>
      <c r="T596" t="str">
        <f t="shared" si="99"/>
        <v>-</v>
      </c>
      <c r="U596" t="str">
        <f t="shared" si="100"/>
        <v>-</v>
      </c>
      <c r="V596" t="str">
        <f t="shared" si="101"/>
        <v>-</v>
      </c>
      <c r="W596" t="str">
        <f t="shared" si="102"/>
        <v>-</v>
      </c>
      <c r="X596" t="str">
        <f t="shared" si="103"/>
        <v>-</v>
      </c>
      <c r="Y596" t="str">
        <f t="shared" si="104"/>
        <v>-</v>
      </c>
      <c r="Z596" t="str">
        <f t="shared" si="105"/>
        <v>-</v>
      </c>
      <c r="AA596" t="str">
        <f t="shared" si="106"/>
        <v>-</v>
      </c>
      <c r="AB596" t="str">
        <f>IF(_xlfn.IFNA(VLOOKUP(P596,Set_Ref!$B$6:$B$1048576,1,FALSE),"")&lt;&gt;"","-",FALSE)</f>
        <v>-</v>
      </c>
      <c r="AC596" t="str">
        <f t="shared" si="107"/>
        <v>-</v>
      </c>
      <c r="AD596" t="str">
        <f t="shared" si="108"/>
        <v>-</v>
      </c>
      <c r="AE596" t="b">
        <f t="shared" si="109"/>
        <v>1</v>
      </c>
    </row>
    <row r="597" spans="1:31" x14ac:dyDescent="0.25">
      <c r="A597">
        <v>2</v>
      </c>
      <c r="B597">
        <v>278</v>
      </c>
      <c r="C597">
        <v>261</v>
      </c>
      <c r="D597" s="11" t="s">
        <v>149</v>
      </c>
      <c r="E597" t="s">
        <v>411</v>
      </c>
      <c r="F597" t="s">
        <v>209</v>
      </c>
      <c r="G597" s="11" t="s">
        <v>508</v>
      </c>
      <c r="H597">
        <v>1</v>
      </c>
      <c r="I597" s="11" t="s">
        <v>427</v>
      </c>
      <c r="J597" t="s">
        <v>298</v>
      </c>
      <c r="K597" t="s">
        <v>237</v>
      </c>
      <c r="L597" s="11" t="s">
        <v>39</v>
      </c>
      <c r="M597" s="11" t="s">
        <v>39</v>
      </c>
      <c r="N597" s="11" t="s">
        <v>39</v>
      </c>
      <c r="O597" s="11" t="s">
        <v>39</v>
      </c>
      <c r="P597" t="s">
        <v>9</v>
      </c>
      <c r="Q597">
        <v>30</v>
      </c>
      <c r="R597">
        <v>0</v>
      </c>
      <c r="S597">
        <v>0</v>
      </c>
      <c r="T597" t="str">
        <f t="shared" si="99"/>
        <v>-</v>
      </c>
      <c r="U597" t="str">
        <f t="shared" si="100"/>
        <v>-</v>
      </c>
      <c r="V597" t="str">
        <f t="shared" si="101"/>
        <v>-</v>
      </c>
      <c r="W597" t="str">
        <f t="shared" si="102"/>
        <v>-</v>
      </c>
      <c r="X597" t="str">
        <f t="shared" si="103"/>
        <v>-</v>
      </c>
      <c r="Y597" t="str">
        <f t="shared" si="104"/>
        <v>-</v>
      </c>
      <c r="Z597" t="str">
        <f t="shared" si="105"/>
        <v>-</v>
      </c>
      <c r="AA597" t="str">
        <f t="shared" si="106"/>
        <v>-</v>
      </c>
      <c r="AB597" t="str">
        <f>IF(_xlfn.IFNA(VLOOKUP(P597,Set_Ref!$B$6:$B$1048576,1,FALSE),"")&lt;&gt;"","-",FALSE)</f>
        <v>-</v>
      </c>
      <c r="AC597" t="str">
        <f t="shared" si="107"/>
        <v>-</v>
      </c>
      <c r="AD597" t="str">
        <f t="shared" si="108"/>
        <v>-</v>
      </c>
      <c r="AE597" t="b">
        <f t="shared" si="109"/>
        <v>1</v>
      </c>
    </row>
    <row r="598" spans="1:31" x14ac:dyDescent="0.25">
      <c r="A598">
        <v>2</v>
      </c>
      <c r="B598">
        <v>279</v>
      </c>
      <c r="C598">
        <v>261</v>
      </c>
      <c r="D598" s="11" t="s">
        <v>149</v>
      </c>
      <c r="E598" t="s">
        <v>412</v>
      </c>
      <c r="F598" t="s">
        <v>209</v>
      </c>
      <c r="G598" s="11" t="s">
        <v>509</v>
      </c>
      <c r="H598">
        <v>1</v>
      </c>
      <c r="I598" s="11" t="s">
        <v>427</v>
      </c>
      <c r="J598" t="s">
        <v>413</v>
      </c>
      <c r="K598" t="s">
        <v>268</v>
      </c>
      <c r="L598" s="11" t="s">
        <v>39</v>
      </c>
      <c r="M598" s="11" t="s">
        <v>39</v>
      </c>
      <c r="N598" s="11" t="s">
        <v>39</v>
      </c>
      <c r="O598" s="11" t="s">
        <v>39</v>
      </c>
      <c r="P598" t="s">
        <v>9</v>
      </c>
      <c r="Q598">
        <v>200</v>
      </c>
      <c r="R598">
        <v>0</v>
      </c>
      <c r="S598">
        <v>0</v>
      </c>
      <c r="T598" t="str">
        <f t="shared" si="99"/>
        <v>-</v>
      </c>
      <c r="U598" t="str">
        <f t="shared" si="100"/>
        <v>-</v>
      </c>
      <c r="V598" t="str">
        <f t="shared" si="101"/>
        <v>-</v>
      </c>
      <c r="W598" t="str">
        <f t="shared" si="102"/>
        <v>-</v>
      </c>
      <c r="X598" t="str">
        <f t="shared" si="103"/>
        <v>-</v>
      </c>
      <c r="Y598" t="str">
        <f t="shared" si="104"/>
        <v>-</v>
      </c>
      <c r="Z598" t="str">
        <f t="shared" si="105"/>
        <v>-</v>
      </c>
      <c r="AA598" t="str">
        <f t="shared" si="106"/>
        <v>-</v>
      </c>
      <c r="AB598" t="str">
        <f>IF(_xlfn.IFNA(VLOOKUP(P598,Set_Ref!$B$6:$B$1048576,1,FALSE),"")&lt;&gt;"","-",FALSE)</f>
        <v>-</v>
      </c>
      <c r="AC598" t="str">
        <f t="shared" si="107"/>
        <v>-</v>
      </c>
      <c r="AD598" t="str">
        <f t="shared" si="108"/>
        <v>-</v>
      </c>
      <c r="AE598" t="b">
        <f t="shared" si="109"/>
        <v>1</v>
      </c>
    </row>
    <row r="599" spans="1:31" x14ac:dyDescent="0.25">
      <c r="A599">
        <v>2</v>
      </c>
      <c r="B599">
        <v>280</v>
      </c>
      <c r="C599">
        <v>261</v>
      </c>
      <c r="D599" s="11" t="s">
        <v>149</v>
      </c>
      <c r="E599" t="s">
        <v>414</v>
      </c>
      <c r="F599" t="s">
        <v>210</v>
      </c>
      <c r="G599" s="11" t="s">
        <v>510</v>
      </c>
      <c r="H599">
        <v>1</v>
      </c>
      <c r="I599" s="11" t="s">
        <v>427</v>
      </c>
      <c r="J599" t="s">
        <v>511</v>
      </c>
      <c r="K599" t="s">
        <v>237</v>
      </c>
      <c r="L599" s="11" t="s">
        <v>39</v>
      </c>
      <c r="M599" s="11" t="s">
        <v>39</v>
      </c>
      <c r="N599" s="11" t="s">
        <v>39</v>
      </c>
      <c r="O599" s="11" t="s">
        <v>39</v>
      </c>
      <c r="P599" t="s">
        <v>9</v>
      </c>
      <c r="Q599">
        <v>180</v>
      </c>
      <c r="R599">
        <v>0</v>
      </c>
      <c r="S599">
        <v>0</v>
      </c>
      <c r="T599" t="str">
        <f t="shared" si="99"/>
        <v>-</v>
      </c>
      <c r="U599" t="str">
        <f t="shared" si="100"/>
        <v>-</v>
      </c>
      <c r="V599" t="str">
        <f t="shared" si="101"/>
        <v>-</v>
      </c>
      <c r="W599" t="str">
        <f t="shared" si="102"/>
        <v>-</v>
      </c>
      <c r="X599" t="str">
        <f t="shared" si="103"/>
        <v>-</v>
      </c>
      <c r="Y599" t="str">
        <f t="shared" si="104"/>
        <v>-</v>
      </c>
      <c r="Z599" t="str">
        <f t="shared" si="105"/>
        <v>-</v>
      </c>
      <c r="AA599" t="str">
        <f t="shared" si="106"/>
        <v>-</v>
      </c>
      <c r="AB599" t="str">
        <f>IF(_xlfn.IFNA(VLOOKUP(P599,Set_Ref!$B$6:$B$1048576,1,FALSE),"")&lt;&gt;"","-",FALSE)</f>
        <v>-</v>
      </c>
      <c r="AC599" t="str">
        <f t="shared" si="107"/>
        <v>-</v>
      </c>
      <c r="AD599" t="str">
        <f t="shared" si="108"/>
        <v>-</v>
      </c>
      <c r="AE599" t="b">
        <f t="shared" si="109"/>
        <v>1</v>
      </c>
    </row>
    <row r="600" spans="1:31" x14ac:dyDescent="0.25">
      <c r="A600">
        <v>2</v>
      </c>
      <c r="B600">
        <v>281</v>
      </c>
      <c r="C600">
        <v>261</v>
      </c>
      <c r="D600" s="11" t="s">
        <v>149</v>
      </c>
      <c r="E600" t="s">
        <v>414</v>
      </c>
      <c r="F600" t="s">
        <v>210</v>
      </c>
      <c r="G600" s="11" t="s">
        <v>510</v>
      </c>
      <c r="H600">
        <v>1</v>
      </c>
      <c r="I600" s="11" t="s">
        <v>427</v>
      </c>
      <c r="J600" t="s">
        <v>511</v>
      </c>
      <c r="K600" t="s">
        <v>237</v>
      </c>
      <c r="L600" s="11" t="s">
        <v>39</v>
      </c>
      <c r="M600" s="11" t="s">
        <v>39</v>
      </c>
      <c r="N600" s="11" t="s">
        <v>39</v>
      </c>
      <c r="O600" s="11" t="s">
        <v>39</v>
      </c>
      <c r="P600" t="s">
        <v>9</v>
      </c>
      <c r="Q600">
        <v>100</v>
      </c>
      <c r="R600">
        <v>0</v>
      </c>
      <c r="S600">
        <v>0</v>
      </c>
      <c r="T600" t="str">
        <f t="shared" si="99"/>
        <v>-</v>
      </c>
      <c r="U600" t="str">
        <f t="shared" si="100"/>
        <v>-</v>
      </c>
      <c r="V600" t="str">
        <f t="shared" si="101"/>
        <v>-</v>
      </c>
      <c r="W600" t="str">
        <f t="shared" si="102"/>
        <v>-</v>
      </c>
      <c r="X600" t="str">
        <f t="shared" si="103"/>
        <v>-</v>
      </c>
      <c r="Y600" t="str">
        <f t="shared" si="104"/>
        <v>-</v>
      </c>
      <c r="Z600" t="str">
        <f t="shared" si="105"/>
        <v>-</v>
      </c>
      <c r="AA600" t="str">
        <f t="shared" si="106"/>
        <v>-</v>
      </c>
      <c r="AB600" t="str">
        <f>IF(_xlfn.IFNA(VLOOKUP(P600,Set_Ref!$B$6:$B$1048576,1,FALSE),"")&lt;&gt;"","-",FALSE)</f>
        <v>-</v>
      </c>
      <c r="AC600" t="str">
        <f t="shared" si="107"/>
        <v>-</v>
      </c>
      <c r="AD600" t="str">
        <f t="shared" si="108"/>
        <v>-</v>
      </c>
      <c r="AE600" t="b">
        <f t="shared" si="109"/>
        <v>1</v>
      </c>
    </row>
    <row r="601" spans="1:31" x14ac:dyDescent="0.25">
      <c r="A601">
        <v>2</v>
      </c>
      <c r="B601">
        <v>282</v>
      </c>
      <c r="C601">
        <v>261</v>
      </c>
      <c r="D601" s="11" t="s">
        <v>149</v>
      </c>
      <c r="E601" t="s">
        <v>414</v>
      </c>
      <c r="F601" t="s">
        <v>210</v>
      </c>
      <c r="G601" s="11" t="s">
        <v>510</v>
      </c>
      <c r="H601">
        <v>1</v>
      </c>
      <c r="I601" s="11" t="s">
        <v>427</v>
      </c>
      <c r="J601" t="s">
        <v>511</v>
      </c>
      <c r="K601" t="s">
        <v>237</v>
      </c>
      <c r="L601" s="11" t="s">
        <v>39</v>
      </c>
      <c r="M601" s="11" t="s">
        <v>39</v>
      </c>
      <c r="N601" s="11" t="s">
        <v>39</v>
      </c>
      <c r="O601" s="11" t="s">
        <v>39</v>
      </c>
      <c r="P601" t="s">
        <v>9</v>
      </c>
      <c r="Q601">
        <v>18</v>
      </c>
      <c r="R601">
        <v>0</v>
      </c>
      <c r="S601">
        <v>0</v>
      </c>
      <c r="T601" t="str">
        <f t="shared" si="99"/>
        <v>-</v>
      </c>
      <c r="U601" t="str">
        <f t="shared" si="100"/>
        <v>-</v>
      </c>
      <c r="V601" t="str">
        <f t="shared" si="101"/>
        <v>-</v>
      </c>
      <c r="W601" t="str">
        <f t="shared" si="102"/>
        <v>-</v>
      </c>
      <c r="X601" t="str">
        <f t="shared" si="103"/>
        <v>-</v>
      </c>
      <c r="Y601" t="str">
        <f t="shared" si="104"/>
        <v>-</v>
      </c>
      <c r="Z601" t="str">
        <f t="shared" si="105"/>
        <v>-</v>
      </c>
      <c r="AA601" t="str">
        <f t="shared" si="106"/>
        <v>-</v>
      </c>
      <c r="AB601" t="str">
        <f>IF(_xlfn.IFNA(VLOOKUP(P601,Set_Ref!$B$6:$B$1048576,1,FALSE),"")&lt;&gt;"","-",FALSE)</f>
        <v>-</v>
      </c>
      <c r="AC601" t="str">
        <f t="shared" si="107"/>
        <v>-</v>
      </c>
      <c r="AD601" t="str">
        <f t="shared" si="108"/>
        <v>-</v>
      </c>
      <c r="AE601" t="b">
        <f t="shared" si="109"/>
        <v>1</v>
      </c>
    </row>
    <row r="602" spans="1:31" x14ac:dyDescent="0.25">
      <c r="A602">
        <v>2</v>
      </c>
      <c r="B602">
        <v>283</v>
      </c>
      <c r="C602">
        <v>261</v>
      </c>
      <c r="D602" s="11" t="s">
        <v>149</v>
      </c>
      <c r="E602" t="s">
        <v>414</v>
      </c>
      <c r="F602" t="s">
        <v>210</v>
      </c>
      <c r="G602" s="11" t="s">
        <v>510</v>
      </c>
      <c r="H602">
        <v>1</v>
      </c>
      <c r="I602" s="11" t="s">
        <v>427</v>
      </c>
      <c r="J602" t="s">
        <v>511</v>
      </c>
      <c r="K602" t="s">
        <v>237</v>
      </c>
      <c r="L602" s="11" t="s">
        <v>39</v>
      </c>
      <c r="M602" s="11" t="s">
        <v>39</v>
      </c>
      <c r="N602" s="11" t="s">
        <v>39</v>
      </c>
      <c r="O602" s="11" t="s">
        <v>39</v>
      </c>
      <c r="P602" t="s">
        <v>9</v>
      </c>
      <c r="Q602">
        <v>60</v>
      </c>
      <c r="R602">
        <v>0</v>
      </c>
      <c r="S602">
        <v>0</v>
      </c>
      <c r="T602" t="str">
        <f t="shared" si="99"/>
        <v>-</v>
      </c>
      <c r="U602" t="str">
        <f t="shared" si="100"/>
        <v>-</v>
      </c>
      <c r="V602" t="str">
        <f t="shared" si="101"/>
        <v>-</v>
      </c>
      <c r="W602" t="str">
        <f t="shared" si="102"/>
        <v>-</v>
      </c>
      <c r="X602" t="str">
        <f t="shared" si="103"/>
        <v>-</v>
      </c>
      <c r="Y602" t="str">
        <f t="shared" si="104"/>
        <v>-</v>
      </c>
      <c r="Z602" t="str">
        <f t="shared" si="105"/>
        <v>-</v>
      </c>
      <c r="AA602" t="str">
        <f t="shared" si="106"/>
        <v>-</v>
      </c>
      <c r="AB602" t="str">
        <f>IF(_xlfn.IFNA(VLOOKUP(P602,Set_Ref!$B$6:$B$1048576,1,FALSE),"")&lt;&gt;"","-",FALSE)</f>
        <v>-</v>
      </c>
      <c r="AC602" t="str">
        <f t="shared" si="107"/>
        <v>-</v>
      </c>
      <c r="AD602" t="str">
        <f t="shared" si="108"/>
        <v>-</v>
      </c>
      <c r="AE602" t="b">
        <f t="shared" si="109"/>
        <v>1</v>
      </c>
    </row>
    <row r="603" spans="1:31" x14ac:dyDescent="0.25">
      <c r="A603">
        <v>2</v>
      </c>
      <c r="B603">
        <v>284</v>
      </c>
      <c r="C603">
        <v>261</v>
      </c>
      <c r="D603" s="11" t="s">
        <v>149</v>
      </c>
      <c r="E603" t="s">
        <v>414</v>
      </c>
      <c r="F603" t="s">
        <v>210</v>
      </c>
      <c r="G603" s="11" t="s">
        <v>510</v>
      </c>
      <c r="H603">
        <v>1</v>
      </c>
      <c r="I603" s="11" t="s">
        <v>427</v>
      </c>
      <c r="J603" t="s">
        <v>511</v>
      </c>
      <c r="K603" t="s">
        <v>237</v>
      </c>
      <c r="L603" s="11" t="s">
        <v>39</v>
      </c>
      <c r="M603" s="11" t="s">
        <v>39</v>
      </c>
      <c r="N603" s="11" t="s">
        <v>39</v>
      </c>
      <c r="O603" s="11" t="s">
        <v>39</v>
      </c>
      <c r="P603" t="s">
        <v>9</v>
      </c>
      <c r="Q603">
        <v>40</v>
      </c>
      <c r="R603">
        <v>0</v>
      </c>
      <c r="S603">
        <v>0</v>
      </c>
      <c r="T603" t="str">
        <f t="shared" si="99"/>
        <v>-</v>
      </c>
      <c r="U603" t="str">
        <f t="shared" si="100"/>
        <v>-</v>
      </c>
      <c r="V603" t="str">
        <f t="shared" si="101"/>
        <v>-</v>
      </c>
      <c r="W603" t="str">
        <f t="shared" si="102"/>
        <v>-</v>
      </c>
      <c r="X603" t="str">
        <f t="shared" si="103"/>
        <v>-</v>
      </c>
      <c r="Y603" t="str">
        <f t="shared" si="104"/>
        <v>-</v>
      </c>
      <c r="Z603" t="str">
        <f t="shared" si="105"/>
        <v>-</v>
      </c>
      <c r="AA603" t="str">
        <f t="shared" si="106"/>
        <v>-</v>
      </c>
      <c r="AB603" t="str">
        <f>IF(_xlfn.IFNA(VLOOKUP(P603,Set_Ref!$B$6:$B$1048576,1,FALSE),"")&lt;&gt;"","-",FALSE)</f>
        <v>-</v>
      </c>
      <c r="AC603" t="str">
        <f t="shared" si="107"/>
        <v>-</v>
      </c>
      <c r="AD603" t="str">
        <f t="shared" si="108"/>
        <v>-</v>
      </c>
      <c r="AE603" t="b">
        <f t="shared" si="109"/>
        <v>1</v>
      </c>
    </row>
    <row r="604" spans="1:31" x14ac:dyDescent="0.25">
      <c r="A604">
        <v>2</v>
      </c>
      <c r="B604">
        <v>285</v>
      </c>
      <c r="C604">
        <v>261</v>
      </c>
      <c r="D604" s="11" t="s">
        <v>149</v>
      </c>
      <c r="E604" t="s">
        <v>414</v>
      </c>
      <c r="F604" t="s">
        <v>210</v>
      </c>
      <c r="G604" s="11" t="s">
        <v>510</v>
      </c>
      <c r="H604">
        <v>2</v>
      </c>
      <c r="I604" s="11" t="s">
        <v>178</v>
      </c>
      <c r="J604" t="s">
        <v>322</v>
      </c>
      <c r="K604" t="s">
        <v>248</v>
      </c>
      <c r="L604" s="11" t="s">
        <v>39</v>
      </c>
      <c r="M604" s="11" t="s">
        <v>39</v>
      </c>
      <c r="N604" s="11" t="s">
        <v>39</v>
      </c>
      <c r="O604" s="11" t="s">
        <v>39</v>
      </c>
      <c r="P604" t="s">
        <v>38</v>
      </c>
      <c r="Q604">
        <v>0.95</v>
      </c>
      <c r="R604">
        <v>0</v>
      </c>
      <c r="S604">
        <v>0</v>
      </c>
      <c r="T604" t="str">
        <f t="shared" si="99"/>
        <v>-</v>
      </c>
      <c r="U604" t="str">
        <f t="shared" si="100"/>
        <v>-</v>
      </c>
      <c r="V604" t="str">
        <f t="shared" si="101"/>
        <v>-</v>
      </c>
      <c r="W604" t="str">
        <f t="shared" si="102"/>
        <v>-</v>
      </c>
      <c r="X604" t="str">
        <f t="shared" si="103"/>
        <v>-</v>
      </c>
      <c r="Y604" t="str">
        <f t="shared" si="104"/>
        <v>-</v>
      </c>
      <c r="Z604" t="str">
        <f t="shared" si="105"/>
        <v>-</v>
      </c>
      <c r="AA604" t="str">
        <f t="shared" si="106"/>
        <v>-</v>
      </c>
      <c r="AB604" t="str">
        <f>IF(_xlfn.IFNA(VLOOKUP(P604,Set_Ref!$B$6:$B$1048576,1,FALSE),"")&lt;&gt;"","-",FALSE)</f>
        <v>-</v>
      </c>
      <c r="AC604" t="str">
        <f t="shared" si="107"/>
        <v>-</v>
      </c>
      <c r="AD604" t="str">
        <f t="shared" si="108"/>
        <v>-</v>
      </c>
      <c r="AE604" t="b">
        <f t="shared" si="109"/>
        <v>1</v>
      </c>
    </row>
    <row r="605" spans="1:31" x14ac:dyDescent="0.25">
      <c r="A605">
        <v>2</v>
      </c>
      <c r="B605">
        <v>286</v>
      </c>
      <c r="C605">
        <v>261</v>
      </c>
      <c r="D605" s="11" t="s">
        <v>149</v>
      </c>
      <c r="E605" t="s">
        <v>414</v>
      </c>
      <c r="F605" t="s">
        <v>210</v>
      </c>
      <c r="G605" s="11" t="s">
        <v>510</v>
      </c>
      <c r="H605">
        <v>1</v>
      </c>
      <c r="I605" s="11" t="s">
        <v>427</v>
      </c>
      <c r="J605" t="s">
        <v>511</v>
      </c>
      <c r="K605" t="s">
        <v>237</v>
      </c>
      <c r="L605" s="11" t="s">
        <v>39</v>
      </c>
      <c r="M605" s="11" t="s">
        <v>39</v>
      </c>
      <c r="N605" s="11" t="s">
        <v>39</v>
      </c>
      <c r="O605" s="11" t="s">
        <v>39</v>
      </c>
      <c r="P605" t="s">
        <v>9</v>
      </c>
      <c r="Q605">
        <v>39</v>
      </c>
      <c r="R605">
        <v>0</v>
      </c>
      <c r="S605">
        <v>0</v>
      </c>
      <c r="T605" t="str">
        <f t="shared" si="99"/>
        <v>-</v>
      </c>
      <c r="U605" t="str">
        <f t="shared" si="100"/>
        <v>-</v>
      </c>
      <c r="V605" t="str">
        <f t="shared" si="101"/>
        <v>-</v>
      </c>
      <c r="W605" t="str">
        <f t="shared" si="102"/>
        <v>-</v>
      </c>
      <c r="X605" t="str">
        <f t="shared" si="103"/>
        <v>-</v>
      </c>
      <c r="Y605" t="str">
        <f t="shared" si="104"/>
        <v>-</v>
      </c>
      <c r="Z605" t="str">
        <f t="shared" si="105"/>
        <v>-</v>
      </c>
      <c r="AA605" t="str">
        <f t="shared" si="106"/>
        <v>-</v>
      </c>
      <c r="AB605" t="str">
        <f>IF(_xlfn.IFNA(VLOOKUP(P605,Set_Ref!$B$6:$B$1048576,1,FALSE),"")&lt;&gt;"","-",FALSE)</f>
        <v>-</v>
      </c>
      <c r="AC605" t="str">
        <f t="shared" si="107"/>
        <v>-</v>
      </c>
      <c r="AD605" t="str">
        <f t="shared" si="108"/>
        <v>-</v>
      </c>
      <c r="AE605" t="b">
        <f t="shared" si="109"/>
        <v>1</v>
      </c>
    </row>
    <row r="606" spans="1:31" x14ac:dyDescent="0.25">
      <c r="A606">
        <v>2</v>
      </c>
      <c r="B606">
        <v>287</v>
      </c>
      <c r="C606">
        <v>261</v>
      </c>
      <c r="D606" s="11" t="s">
        <v>149</v>
      </c>
      <c r="E606" t="s">
        <v>414</v>
      </c>
      <c r="F606" t="s">
        <v>210</v>
      </c>
      <c r="G606" s="11" t="s">
        <v>510</v>
      </c>
      <c r="H606">
        <v>1</v>
      </c>
      <c r="I606" s="11" t="s">
        <v>427</v>
      </c>
      <c r="J606" t="s">
        <v>511</v>
      </c>
      <c r="K606" t="s">
        <v>237</v>
      </c>
      <c r="L606" s="11" t="s">
        <v>39</v>
      </c>
      <c r="M606" s="11" t="s">
        <v>39</v>
      </c>
      <c r="N606" s="11" t="s">
        <v>39</v>
      </c>
      <c r="O606" s="11" t="s">
        <v>39</v>
      </c>
      <c r="P606" t="s">
        <v>9</v>
      </c>
      <c r="Q606">
        <v>10</v>
      </c>
      <c r="R606">
        <v>0</v>
      </c>
      <c r="S606">
        <v>0</v>
      </c>
      <c r="T606" t="str">
        <f t="shared" si="99"/>
        <v>-</v>
      </c>
      <c r="U606" t="str">
        <f t="shared" si="100"/>
        <v>-</v>
      </c>
      <c r="V606" t="str">
        <f t="shared" si="101"/>
        <v>-</v>
      </c>
      <c r="W606" t="str">
        <f t="shared" si="102"/>
        <v>-</v>
      </c>
      <c r="X606" t="str">
        <f t="shared" si="103"/>
        <v>-</v>
      </c>
      <c r="Y606" t="str">
        <f t="shared" si="104"/>
        <v>-</v>
      </c>
      <c r="Z606" t="str">
        <f t="shared" si="105"/>
        <v>-</v>
      </c>
      <c r="AA606" t="str">
        <f t="shared" si="106"/>
        <v>-</v>
      </c>
      <c r="AB606" t="str">
        <f>IF(_xlfn.IFNA(VLOOKUP(P606,Set_Ref!$B$6:$B$1048576,1,FALSE),"")&lt;&gt;"","-",FALSE)</f>
        <v>-</v>
      </c>
      <c r="AC606" t="str">
        <f t="shared" si="107"/>
        <v>-</v>
      </c>
      <c r="AD606" t="str">
        <f t="shared" si="108"/>
        <v>-</v>
      </c>
      <c r="AE606" t="b">
        <f t="shared" si="109"/>
        <v>1</v>
      </c>
    </row>
    <row r="607" spans="1:31" x14ac:dyDescent="0.25">
      <c r="A607">
        <v>2</v>
      </c>
      <c r="B607">
        <v>288</v>
      </c>
      <c r="C607">
        <v>261</v>
      </c>
      <c r="D607" s="11" t="s">
        <v>149</v>
      </c>
      <c r="E607" t="s">
        <v>416</v>
      </c>
      <c r="F607" t="s">
        <v>210</v>
      </c>
      <c r="G607" s="11" t="s">
        <v>512</v>
      </c>
      <c r="H607">
        <v>1</v>
      </c>
      <c r="I607" s="11" t="s">
        <v>427</v>
      </c>
      <c r="J607" t="s">
        <v>295</v>
      </c>
      <c r="K607" t="s">
        <v>237</v>
      </c>
      <c r="L607" s="11" t="s">
        <v>39</v>
      </c>
      <c r="M607" s="11" t="s">
        <v>39</v>
      </c>
      <c r="N607" s="11" t="s">
        <v>39</v>
      </c>
      <c r="O607" s="11" t="s">
        <v>39</v>
      </c>
      <c r="P607" t="s">
        <v>9</v>
      </c>
      <c r="Q607">
        <v>1</v>
      </c>
      <c r="R607">
        <v>0</v>
      </c>
      <c r="S607">
        <v>0</v>
      </c>
      <c r="T607" t="str">
        <f t="shared" si="99"/>
        <v>-</v>
      </c>
      <c r="U607" t="str">
        <f t="shared" si="100"/>
        <v>-</v>
      </c>
      <c r="V607" t="str">
        <f t="shared" si="101"/>
        <v>-</v>
      </c>
      <c r="W607" t="str">
        <f t="shared" si="102"/>
        <v>-</v>
      </c>
      <c r="X607" t="str">
        <f t="shared" si="103"/>
        <v>-</v>
      </c>
      <c r="Y607" t="str">
        <f t="shared" si="104"/>
        <v>-</v>
      </c>
      <c r="Z607" t="str">
        <f t="shared" si="105"/>
        <v>-</v>
      </c>
      <c r="AA607" t="str">
        <f t="shared" si="106"/>
        <v>-</v>
      </c>
      <c r="AB607" t="str">
        <f>IF(_xlfn.IFNA(VLOOKUP(P607,Set_Ref!$B$6:$B$1048576,1,FALSE),"")&lt;&gt;"","-",FALSE)</f>
        <v>-</v>
      </c>
      <c r="AC607" t="str">
        <f t="shared" si="107"/>
        <v>-</v>
      </c>
      <c r="AD607" t="str">
        <f t="shared" si="108"/>
        <v>-</v>
      </c>
      <c r="AE607" t="b">
        <f t="shared" si="109"/>
        <v>1</v>
      </c>
    </row>
    <row r="608" spans="1:31" x14ac:dyDescent="0.25">
      <c r="A608">
        <v>2</v>
      </c>
      <c r="B608">
        <v>289</v>
      </c>
      <c r="C608">
        <v>261</v>
      </c>
      <c r="D608" s="11" t="s">
        <v>149</v>
      </c>
      <c r="E608" t="s">
        <v>417</v>
      </c>
      <c r="F608" t="s">
        <v>211</v>
      </c>
      <c r="G608" s="11" t="s">
        <v>513</v>
      </c>
      <c r="H608">
        <v>1</v>
      </c>
      <c r="I608" s="11" t="s">
        <v>177</v>
      </c>
      <c r="J608" t="s">
        <v>324</v>
      </c>
      <c r="K608" t="s">
        <v>250</v>
      </c>
      <c r="L608" s="11" t="s">
        <v>39</v>
      </c>
      <c r="M608" s="11" t="s">
        <v>39</v>
      </c>
      <c r="N608" s="11" t="s">
        <v>39</v>
      </c>
      <c r="O608" s="11" t="s">
        <v>39</v>
      </c>
      <c r="P608" t="s">
        <v>9</v>
      </c>
      <c r="Q608">
        <v>10</v>
      </c>
      <c r="R608">
        <v>0</v>
      </c>
      <c r="S608">
        <v>0</v>
      </c>
      <c r="T608" t="str">
        <f t="shared" si="99"/>
        <v>-</v>
      </c>
      <c r="U608" t="str">
        <f t="shared" si="100"/>
        <v>-</v>
      </c>
      <c r="V608" t="str">
        <f t="shared" si="101"/>
        <v>-</v>
      </c>
      <c r="W608" t="str">
        <f t="shared" si="102"/>
        <v>-</v>
      </c>
      <c r="X608" t="str">
        <f t="shared" si="103"/>
        <v>-</v>
      </c>
      <c r="Y608" t="str">
        <f t="shared" si="104"/>
        <v>-</v>
      </c>
      <c r="Z608" t="str">
        <f t="shared" si="105"/>
        <v>-</v>
      </c>
      <c r="AA608" t="str">
        <f t="shared" si="106"/>
        <v>-</v>
      </c>
      <c r="AB608" t="str">
        <f>IF(_xlfn.IFNA(VLOOKUP(P608,Set_Ref!$B$6:$B$1048576,1,FALSE),"")&lt;&gt;"","-",FALSE)</f>
        <v>-</v>
      </c>
      <c r="AC608" t="str">
        <f t="shared" si="107"/>
        <v>-</v>
      </c>
      <c r="AD608" t="str">
        <f t="shared" si="108"/>
        <v>-</v>
      </c>
      <c r="AE608" t="b">
        <f t="shared" si="109"/>
        <v>1</v>
      </c>
    </row>
    <row r="609" spans="1:31" x14ac:dyDescent="0.25">
      <c r="A609">
        <v>2</v>
      </c>
      <c r="B609">
        <v>290</v>
      </c>
      <c r="C609">
        <v>261</v>
      </c>
      <c r="D609" s="11" t="s">
        <v>149</v>
      </c>
      <c r="E609" t="s">
        <v>418</v>
      </c>
      <c r="F609" t="s">
        <v>211</v>
      </c>
      <c r="G609" s="11" t="s">
        <v>514</v>
      </c>
      <c r="H609">
        <v>1</v>
      </c>
      <c r="I609" s="11" t="s">
        <v>498</v>
      </c>
      <c r="J609" t="s">
        <v>401</v>
      </c>
      <c r="K609" t="s">
        <v>263</v>
      </c>
      <c r="L609" s="11" t="s">
        <v>39</v>
      </c>
      <c r="M609" s="11" t="s">
        <v>39</v>
      </c>
      <c r="N609" s="11" t="s">
        <v>39</v>
      </c>
      <c r="O609" s="11" t="s">
        <v>39</v>
      </c>
      <c r="P609" t="s">
        <v>38</v>
      </c>
      <c r="Q609">
        <v>14</v>
      </c>
      <c r="R609">
        <v>0</v>
      </c>
      <c r="S609">
        <v>0</v>
      </c>
      <c r="T609" t="str">
        <f t="shared" si="99"/>
        <v>-</v>
      </c>
      <c r="U609" t="str">
        <f t="shared" si="100"/>
        <v>-</v>
      </c>
      <c r="V609" t="str">
        <f t="shared" si="101"/>
        <v>-</v>
      </c>
      <c r="W609" t="str">
        <f t="shared" si="102"/>
        <v>-</v>
      </c>
      <c r="X609" t="str">
        <f t="shared" si="103"/>
        <v>-</v>
      </c>
      <c r="Y609" t="str">
        <f t="shared" si="104"/>
        <v>-</v>
      </c>
      <c r="Z609" t="str">
        <f t="shared" si="105"/>
        <v>-</v>
      </c>
      <c r="AA609" t="str">
        <f t="shared" si="106"/>
        <v>-</v>
      </c>
      <c r="AB609" t="str">
        <f>IF(_xlfn.IFNA(VLOOKUP(P609,Set_Ref!$B$6:$B$1048576,1,FALSE),"")&lt;&gt;"","-",FALSE)</f>
        <v>-</v>
      </c>
      <c r="AC609" t="str">
        <f t="shared" si="107"/>
        <v>-</v>
      </c>
      <c r="AD609" t="str">
        <f t="shared" si="108"/>
        <v>-</v>
      </c>
      <c r="AE609" t="b">
        <f t="shared" si="109"/>
        <v>1</v>
      </c>
    </row>
    <row r="610" spans="1:31" x14ac:dyDescent="0.25">
      <c r="A610">
        <v>2</v>
      </c>
      <c r="B610">
        <v>291</v>
      </c>
      <c r="C610">
        <v>261</v>
      </c>
      <c r="D610" s="11" t="s">
        <v>149</v>
      </c>
      <c r="E610" t="s">
        <v>419</v>
      </c>
      <c r="F610" t="s">
        <v>173</v>
      </c>
      <c r="G610" s="11" t="s">
        <v>515</v>
      </c>
      <c r="H610">
        <v>1</v>
      </c>
      <c r="I610" s="11" t="s">
        <v>427</v>
      </c>
      <c r="J610" t="s">
        <v>280</v>
      </c>
      <c r="K610" t="s">
        <v>220</v>
      </c>
      <c r="L610" s="11" t="s">
        <v>39</v>
      </c>
      <c r="M610" s="11" t="s">
        <v>39</v>
      </c>
      <c r="N610" s="11" t="s">
        <v>39</v>
      </c>
      <c r="O610" s="11" t="s">
        <v>39</v>
      </c>
      <c r="P610" t="s">
        <v>9</v>
      </c>
      <c r="Q610">
        <v>144</v>
      </c>
      <c r="R610">
        <v>0</v>
      </c>
      <c r="S610">
        <v>0</v>
      </c>
      <c r="T610" t="str">
        <f t="shared" si="99"/>
        <v>-</v>
      </c>
      <c r="U610" t="str">
        <f t="shared" si="100"/>
        <v>-</v>
      </c>
      <c r="V610" t="str">
        <f t="shared" si="101"/>
        <v>-</v>
      </c>
      <c r="W610" t="str">
        <f t="shared" si="102"/>
        <v>-</v>
      </c>
      <c r="X610" t="str">
        <f t="shared" si="103"/>
        <v>-</v>
      </c>
      <c r="Y610" t="str">
        <f t="shared" si="104"/>
        <v>-</v>
      </c>
      <c r="Z610" t="str">
        <f t="shared" si="105"/>
        <v>-</v>
      </c>
      <c r="AA610" t="str">
        <f t="shared" si="106"/>
        <v>-</v>
      </c>
      <c r="AB610" t="str">
        <f>IF(_xlfn.IFNA(VLOOKUP(P610,Set_Ref!$B$6:$B$1048576,1,FALSE),"")&lt;&gt;"","-",FALSE)</f>
        <v>-</v>
      </c>
      <c r="AC610" t="str">
        <f t="shared" si="107"/>
        <v>-</v>
      </c>
      <c r="AD610" t="str">
        <f t="shared" si="108"/>
        <v>-</v>
      </c>
      <c r="AE610" t="b">
        <f t="shared" si="109"/>
        <v>1</v>
      </c>
    </row>
    <row r="611" spans="1:31" x14ac:dyDescent="0.25">
      <c r="A611">
        <v>2</v>
      </c>
      <c r="B611">
        <v>292</v>
      </c>
      <c r="C611">
        <v>261</v>
      </c>
      <c r="D611" s="11" t="s">
        <v>149</v>
      </c>
      <c r="E611" t="s">
        <v>420</v>
      </c>
      <c r="F611" t="s">
        <v>173</v>
      </c>
      <c r="G611" s="11" t="s">
        <v>516</v>
      </c>
      <c r="H611">
        <v>1</v>
      </c>
      <c r="I611" s="11" t="s">
        <v>427</v>
      </c>
      <c r="J611" t="s">
        <v>517</v>
      </c>
      <c r="K611" t="s">
        <v>267</v>
      </c>
      <c r="L611" s="11" t="s">
        <v>39</v>
      </c>
      <c r="M611" s="11" t="s">
        <v>39</v>
      </c>
      <c r="N611" s="11" t="s">
        <v>39</v>
      </c>
      <c r="O611" s="11" t="s">
        <v>39</v>
      </c>
      <c r="P611" t="s">
        <v>9</v>
      </c>
      <c r="Q611">
        <v>30</v>
      </c>
      <c r="R611">
        <v>0</v>
      </c>
      <c r="S611">
        <v>0</v>
      </c>
      <c r="T611" t="str">
        <f t="shared" si="99"/>
        <v>-</v>
      </c>
      <c r="U611" t="str">
        <f t="shared" si="100"/>
        <v>-</v>
      </c>
      <c r="V611" t="str">
        <f t="shared" si="101"/>
        <v>-</v>
      </c>
      <c r="W611" t="str">
        <f t="shared" si="102"/>
        <v>-</v>
      </c>
      <c r="X611" t="str">
        <f t="shared" si="103"/>
        <v>-</v>
      </c>
      <c r="Y611" t="str">
        <f t="shared" si="104"/>
        <v>-</v>
      </c>
      <c r="Z611" t="str">
        <f t="shared" si="105"/>
        <v>-</v>
      </c>
      <c r="AA611" t="str">
        <f t="shared" si="106"/>
        <v>-</v>
      </c>
      <c r="AB611" t="str">
        <f>IF(_xlfn.IFNA(VLOOKUP(P611,Set_Ref!$B$6:$B$1048576,1,FALSE),"")&lt;&gt;"","-",FALSE)</f>
        <v>-</v>
      </c>
      <c r="AC611" t="str">
        <f t="shared" si="107"/>
        <v>-</v>
      </c>
      <c r="AD611" t="str">
        <f t="shared" si="108"/>
        <v>-</v>
      </c>
      <c r="AE611" t="b">
        <f t="shared" si="109"/>
        <v>1</v>
      </c>
    </row>
    <row r="612" spans="1:31" x14ac:dyDescent="0.25">
      <c r="A612">
        <v>2</v>
      </c>
      <c r="B612">
        <v>293</v>
      </c>
      <c r="C612">
        <v>261</v>
      </c>
      <c r="D612" s="11" t="s">
        <v>149</v>
      </c>
      <c r="E612" t="s">
        <v>420</v>
      </c>
      <c r="F612" t="s">
        <v>173</v>
      </c>
      <c r="G612" s="11" t="s">
        <v>516</v>
      </c>
      <c r="H612">
        <v>1</v>
      </c>
      <c r="I612" s="11" t="s">
        <v>427</v>
      </c>
      <c r="J612" t="s">
        <v>517</v>
      </c>
      <c r="K612" t="s">
        <v>267</v>
      </c>
      <c r="L612" s="11" t="s">
        <v>39</v>
      </c>
      <c r="M612" s="11" t="s">
        <v>39</v>
      </c>
      <c r="N612" s="11" t="s">
        <v>39</v>
      </c>
      <c r="O612" s="11" t="s">
        <v>39</v>
      </c>
      <c r="P612" t="s">
        <v>9</v>
      </c>
      <c r="Q612">
        <v>70</v>
      </c>
      <c r="R612">
        <v>0</v>
      </c>
      <c r="S612">
        <v>0</v>
      </c>
      <c r="T612" t="str">
        <f t="shared" si="99"/>
        <v>-</v>
      </c>
      <c r="U612" t="str">
        <f t="shared" si="100"/>
        <v>-</v>
      </c>
      <c r="V612" t="str">
        <f t="shared" si="101"/>
        <v>-</v>
      </c>
      <c r="W612" t="str">
        <f t="shared" si="102"/>
        <v>-</v>
      </c>
      <c r="X612" t="str">
        <f t="shared" si="103"/>
        <v>-</v>
      </c>
      <c r="Y612" t="str">
        <f t="shared" si="104"/>
        <v>-</v>
      </c>
      <c r="Z612" t="str">
        <f t="shared" si="105"/>
        <v>-</v>
      </c>
      <c r="AA612" t="str">
        <f t="shared" si="106"/>
        <v>-</v>
      </c>
      <c r="AB612" t="str">
        <f>IF(_xlfn.IFNA(VLOOKUP(P612,Set_Ref!$B$6:$B$1048576,1,FALSE),"")&lt;&gt;"","-",FALSE)</f>
        <v>-</v>
      </c>
      <c r="AC612" t="str">
        <f t="shared" si="107"/>
        <v>-</v>
      </c>
      <c r="AD612" t="str">
        <f t="shared" si="108"/>
        <v>-</v>
      </c>
      <c r="AE612" t="b">
        <f t="shared" si="109"/>
        <v>1</v>
      </c>
    </row>
    <row r="613" spans="1:31" x14ac:dyDescent="0.25">
      <c r="A613">
        <v>2</v>
      </c>
      <c r="B613">
        <v>294</v>
      </c>
      <c r="C613">
        <v>261</v>
      </c>
      <c r="D613" s="11" t="s">
        <v>149</v>
      </c>
      <c r="E613" t="s">
        <v>420</v>
      </c>
      <c r="F613" t="s">
        <v>173</v>
      </c>
      <c r="G613" s="11" t="s">
        <v>516</v>
      </c>
      <c r="H613">
        <v>1</v>
      </c>
      <c r="I613" s="11" t="s">
        <v>427</v>
      </c>
      <c r="J613" t="s">
        <v>517</v>
      </c>
      <c r="K613" t="s">
        <v>267</v>
      </c>
      <c r="L613" s="11" t="s">
        <v>39</v>
      </c>
      <c r="M613" s="11" t="s">
        <v>39</v>
      </c>
      <c r="N613" s="11" t="s">
        <v>39</v>
      </c>
      <c r="O613" s="11" t="s">
        <v>39</v>
      </c>
      <c r="P613" t="s">
        <v>9</v>
      </c>
      <c r="Q613">
        <v>120</v>
      </c>
      <c r="R613">
        <v>0</v>
      </c>
      <c r="S613">
        <v>0</v>
      </c>
      <c r="T613" t="str">
        <f t="shared" si="99"/>
        <v>-</v>
      </c>
      <c r="U613" t="str">
        <f t="shared" si="100"/>
        <v>-</v>
      </c>
      <c r="V613" t="str">
        <f t="shared" si="101"/>
        <v>-</v>
      </c>
      <c r="W613" t="str">
        <f t="shared" si="102"/>
        <v>-</v>
      </c>
      <c r="X613" t="str">
        <f t="shared" si="103"/>
        <v>-</v>
      </c>
      <c r="Y613" t="str">
        <f t="shared" si="104"/>
        <v>-</v>
      </c>
      <c r="Z613" t="str">
        <f t="shared" si="105"/>
        <v>-</v>
      </c>
      <c r="AA613" t="str">
        <f t="shared" si="106"/>
        <v>-</v>
      </c>
      <c r="AB613" t="str">
        <f>IF(_xlfn.IFNA(VLOOKUP(P613,Set_Ref!$B$6:$B$1048576,1,FALSE),"")&lt;&gt;"","-",FALSE)</f>
        <v>-</v>
      </c>
      <c r="AC613" t="str">
        <f t="shared" si="107"/>
        <v>-</v>
      </c>
      <c r="AD613" t="str">
        <f t="shared" si="108"/>
        <v>-</v>
      </c>
      <c r="AE613" t="b">
        <f t="shared" si="109"/>
        <v>1</v>
      </c>
    </row>
    <row r="614" spans="1:31" x14ac:dyDescent="0.25">
      <c r="A614">
        <v>2</v>
      </c>
      <c r="B614">
        <v>295</v>
      </c>
      <c r="C614">
        <v>261</v>
      </c>
      <c r="D614" s="11" t="s">
        <v>149</v>
      </c>
      <c r="E614" t="s">
        <v>420</v>
      </c>
      <c r="F614" t="s">
        <v>173</v>
      </c>
      <c r="G614" s="11" t="s">
        <v>516</v>
      </c>
      <c r="H614">
        <v>1</v>
      </c>
      <c r="I614" s="11" t="s">
        <v>427</v>
      </c>
      <c r="J614" t="s">
        <v>517</v>
      </c>
      <c r="K614" t="s">
        <v>267</v>
      </c>
      <c r="L614" s="11" t="s">
        <v>39</v>
      </c>
      <c r="M614" s="11" t="s">
        <v>39</v>
      </c>
      <c r="N614" s="11" t="s">
        <v>39</v>
      </c>
      <c r="O614" s="11" t="s">
        <v>39</v>
      </c>
      <c r="P614" t="s">
        <v>9</v>
      </c>
      <c r="Q614">
        <v>150</v>
      </c>
      <c r="R614">
        <v>0</v>
      </c>
      <c r="S614">
        <v>0</v>
      </c>
      <c r="T614" t="str">
        <f t="shared" si="99"/>
        <v>-</v>
      </c>
      <c r="U614" t="str">
        <f t="shared" si="100"/>
        <v>-</v>
      </c>
      <c r="V614" t="str">
        <f t="shared" si="101"/>
        <v>-</v>
      </c>
      <c r="W614" t="str">
        <f t="shared" si="102"/>
        <v>-</v>
      </c>
      <c r="X614" t="str">
        <f t="shared" si="103"/>
        <v>-</v>
      </c>
      <c r="Y614" t="str">
        <f t="shared" si="104"/>
        <v>-</v>
      </c>
      <c r="Z614" t="str">
        <f t="shared" si="105"/>
        <v>-</v>
      </c>
      <c r="AA614" t="str">
        <f t="shared" si="106"/>
        <v>-</v>
      </c>
      <c r="AB614" t="str">
        <f>IF(_xlfn.IFNA(VLOOKUP(P614,Set_Ref!$B$6:$B$1048576,1,FALSE),"")&lt;&gt;"","-",FALSE)</f>
        <v>-</v>
      </c>
      <c r="AC614" t="str">
        <f t="shared" si="107"/>
        <v>-</v>
      </c>
      <c r="AD614" t="str">
        <f t="shared" si="108"/>
        <v>-</v>
      </c>
      <c r="AE614" t="b">
        <f t="shared" si="109"/>
        <v>1</v>
      </c>
    </row>
    <row r="615" spans="1:31" x14ac:dyDescent="0.25">
      <c r="A615">
        <v>2</v>
      </c>
      <c r="B615">
        <v>296</v>
      </c>
      <c r="C615">
        <v>261</v>
      </c>
      <c r="D615" s="11" t="s">
        <v>149</v>
      </c>
      <c r="E615" t="s">
        <v>420</v>
      </c>
      <c r="F615" t="s">
        <v>173</v>
      </c>
      <c r="G615" s="11" t="s">
        <v>516</v>
      </c>
      <c r="H615">
        <v>1</v>
      </c>
      <c r="I615" s="11" t="s">
        <v>427</v>
      </c>
      <c r="J615" t="s">
        <v>517</v>
      </c>
      <c r="K615" t="s">
        <v>267</v>
      </c>
      <c r="L615" s="11" t="s">
        <v>39</v>
      </c>
      <c r="M615" s="11" t="s">
        <v>39</v>
      </c>
      <c r="N615" s="11" t="s">
        <v>39</v>
      </c>
      <c r="O615" s="11" t="s">
        <v>39</v>
      </c>
      <c r="P615" t="s">
        <v>9</v>
      </c>
      <c r="Q615">
        <v>150</v>
      </c>
      <c r="R615">
        <v>0</v>
      </c>
      <c r="S615">
        <v>0</v>
      </c>
      <c r="T615" t="str">
        <f t="shared" si="99"/>
        <v>-</v>
      </c>
      <c r="U615" t="str">
        <f t="shared" si="100"/>
        <v>-</v>
      </c>
      <c r="V615" t="str">
        <f t="shared" si="101"/>
        <v>-</v>
      </c>
      <c r="W615" t="str">
        <f t="shared" si="102"/>
        <v>-</v>
      </c>
      <c r="X615" t="str">
        <f t="shared" si="103"/>
        <v>-</v>
      </c>
      <c r="Y615" t="str">
        <f t="shared" si="104"/>
        <v>-</v>
      </c>
      <c r="Z615" t="str">
        <f t="shared" si="105"/>
        <v>-</v>
      </c>
      <c r="AA615" t="str">
        <f t="shared" si="106"/>
        <v>-</v>
      </c>
      <c r="AB615" t="str">
        <f>IF(_xlfn.IFNA(VLOOKUP(P615,Set_Ref!$B$6:$B$1048576,1,FALSE),"")&lt;&gt;"","-",FALSE)</f>
        <v>-</v>
      </c>
      <c r="AC615" t="str">
        <f t="shared" si="107"/>
        <v>-</v>
      </c>
      <c r="AD615" t="str">
        <f t="shared" si="108"/>
        <v>-</v>
      </c>
      <c r="AE615" t="b">
        <f t="shared" si="109"/>
        <v>1</v>
      </c>
    </row>
    <row r="616" spans="1:31" x14ac:dyDescent="0.25">
      <c r="A616">
        <v>2</v>
      </c>
      <c r="B616">
        <v>297</v>
      </c>
      <c r="C616">
        <v>261</v>
      </c>
      <c r="D616" s="11" t="s">
        <v>149</v>
      </c>
      <c r="E616" t="s">
        <v>420</v>
      </c>
      <c r="F616" t="s">
        <v>173</v>
      </c>
      <c r="G616" s="11" t="s">
        <v>516</v>
      </c>
      <c r="H616">
        <v>1</v>
      </c>
      <c r="I616" s="11" t="s">
        <v>427</v>
      </c>
      <c r="J616" t="s">
        <v>517</v>
      </c>
      <c r="K616" t="s">
        <v>267</v>
      </c>
      <c r="L616" s="11" t="s">
        <v>39</v>
      </c>
      <c r="M616" s="11" t="s">
        <v>39</v>
      </c>
      <c r="N616" s="11" t="s">
        <v>39</v>
      </c>
      <c r="O616" s="11" t="s">
        <v>39</v>
      </c>
      <c r="P616" t="s">
        <v>9</v>
      </c>
      <c r="Q616">
        <v>120</v>
      </c>
      <c r="R616">
        <v>0</v>
      </c>
      <c r="S616">
        <v>0</v>
      </c>
      <c r="T616" t="str">
        <f t="shared" si="99"/>
        <v>-</v>
      </c>
      <c r="U616" t="str">
        <f t="shared" si="100"/>
        <v>-</v>
      </c>
      <c r="V616" t="str">
        <f t="shared" si="101"/>
        <v>-</v>
      </c>
      <c r="W616" t="str">
        <f t="shared" si="102"/>
        <v>-</v>
      </c>
      <c r="X616" t="str">
        <f t="shared" si="103"/>
        <v>-</v>
      </c>
      <c r="Y616" t="str">
        <f t="shared" si="104"/>
        <v>-</v>
      </c>
      <c r="Z616" t="str">
        <f t="shared" si="105"/>
        <v>-</v>
      </c>
      <c r="AA616" t="str">
        <f t="shared" si="106"/>
        <v>-</v>
      </c>
      <c r="AB616" t="str">
        <f>IF(_xlfn.IFNA(VLOOKUP(P616,Set_Ref!$B$6:$B$1048576,1,FALSE),"")&lt;&gt;"","-",FALSE)</f>
        <v>-</v>
      </c>
      <c r="AC616" t="str">
        <f t="shared" si="107"/>
        <v>-</v>
      </c>
      <c r="AD616" t="str">
        <f t="shared" si="108"/>
        <v>-</v>
      </c>
      <c r="AE616" t="b">
        <f t="shared" si="109"/>
        <v>1</v>
      </c>
    </row>
    <row r="617" spans="1:31" x14ac:dyDescent="0.25">
      <c r="A617">
        <v>2</v>
      </c>
      <c r="B617">
        <v>298</v>
      </c>
      <c r="C617">
        <v>261</v>
      </c>
      <c r="D617" s="11" t="s">
        <v>149</v>
      </c>
      <c r="E617" t="s">
        <v>420</v>
      </c>
      <c r="F617" t="s">
        <v>173</v>
      </c>
      <c r="G617" s="11" t="s">
        <v>516</v>
      </c>
      <c r="H617">
        <v>1</v>
      </c>
      <c r="I617" s="11" t="s">
        <v>427</v>
      </c>
      <c r="J617" t="s">
        <v>517</v>
      </c>
      <c r="K617" t="s">
        <v>267</v>
      </c>
      <c r="L617" s="11" t="s">
        <v>39</v>
      </c>
      <c r="M617" s="11" t="s">
        <v>39</v>
      </c>
      <c r="N617" s="11" t="s">
        <v>39</v>
      </c>
      <c r="O617" s="11" t="s">
        <v>39</v>
      </c>
      <c r="P617" t="s">
        <v>9</v>
      </c>
      <c r="Q617">
        <v>90</v>
      </c>
      <c r="R617">
        <v>0</v>
      </c>
      <c r="S617">
        <v>0</v>
      </c>
      <c r="T617" t="str">
        <f t="shared" si="99"/>
        <v>-</v>
      </c>
      <c r="U617" t="str">
        <f t="shared" si="100"/>
        <v>-</v>
      </c>
      <c r="V617" t="str">
        <f t="shared" si="101"/>
        <v>-</v>
      </c>
      <c r="W617" t="str">
        <f t="shared" si="102"/>
        <v>-</v>
      </c>
      <c r="X617" t="str">
        <f t="shared" si="103"/>
        <v>-</v>
      </c>
      <c r="Y617" t="str">
        <f t="shared" si="104"/>
        <v>-</v>
      </c>
      <c r="Z617" t="str">
        <f t="shared" si="105"/>
        <v>-</v>
      </c>
      <c r="AA617" t="str">
        <f t="shared" si="106"/>
        <v>-</v>
      </c>
      <c r="AB617" t="str">
        <f>IF(_xlfn.IFNA(VLOOKUP(P617,Set_Ref!$B$6:$B$1048576,1,FALSE),"")&lt;&gt;"","-",FALSE)</f>
        <v>-</v>
      </c>
      <c r="AC617" t="str">
        <f t="shared" si="107"/>
        <v>-</v>
      </c>
      <c r="AD617" t="str">
        <f t="shared" si="108"/>
        <v>-</v>
      </c>
      <c r="AE617" t="b">
        <f t="shared" si="109"/>
        <v>1</v>
      </c>
    </row>
    <row r="618" spans="1:31" x14ac:dyDescent="0.25">
      <c r="A618">
        <v>2</v>
      </c>
      <c r="B618">
        <v>299</v>
      </c>
      <c r="C618">
        <v>261</v>
      </c>
      <c r="D618" s="11" t="s">
        <v>149</v>
      </c>
      <c r="E618" t="s">
        <v>420</v>
      </c>
      <c r="F618" t="s">
        <v>173</v>
      </c>
      <c r="G618" s="11" t="s">
        <v>516</v>
      </c>
      <c r="H618">
        <v>1</v>
      </c>
      <c r="I618" s="11" t="s">
        <v>427</v>
      </c>
      <c r="J618" t="s">
        <v>517</v>
      </c>
      <c r="K618" t="s">
        <v>267</v>
      </c>
      <c r="L618" s="11" t="s">
        <v>39</v>
      </c>
      <c r="M618" s="11" t="s">
        <v>39</v>
      </c>
      <c r="N618" s="11" t="s">
        <v>39</v>
      </c>
      <c r="O618" s="11" t="s">
        <v>39</v>
      </c>
      <c r="P618" t="s">
        <v>9</v>
      </c>
      <c r="Q618">
        <v>80</v>
      </c>
      <c r="R618">
        <v>0</v>
      </c>
      <c r="S618">
        <v>0</v>
      </c>
      <c r="T618" t="str">
        <f t="shared" si="99"/>
        <v>-</v>
      </c>
      <c r="U618" t="str">
        <f t="shared" si="100"/>
        <v>-</v>
      </c>
      <c r="V618" t="str">
        <f t="shared" si="101"/>
        <v>-</v>
      </c>
      <c r="W618" t="str">
        <f t="shared" si="102"/>
        <v>-</v>
      </c>
      <c r="X618" t="str">
        <f t="shared" si="103"/>
        <v>-</v>
      </c>
      <c r="Y618" t="str">
        <f t="shared" si="104"/>
        <v>-</v>
      </c>
      <c r="Z618" t="str">
        <f t="shared" si="105"/>
        <v>-</v>
      </c>
      <c r="AA618" t="str">
        <f t="shared" si="106"/>
        <v>-</v>
      </c>
      <c r="AB618" t="str">
        <f>IF(_xlfn.IFNA(VLOOKUP(P618,Set_Ref!$B$6:$B$1048576,1,FALSE),"")&lt;&gt;"","-",FALSE)</f>
        <v>-</v>
      </c>
      <c r="AC618" t="str">
        <f t="shared" si="107"/>
        <v>-</v>
      </c>
      <c r="AD618" t="str">
        <f t="shared" si="108"/>
        <v>-</v>
      </c>
      <c r="AE618" t="b">
        <f t="shared" si="109"/>
        <v>1</v>
      </c>
    </row>
    <row r="619" spans="1:31" x14ac:dyDescent="0.25">
      <c r="A619">
        <v>2</v>
      </c>
      <c r="B619">
        <v>300</v>
      </c>
      <c r="C619">
        <v>261</v>
      </c>
      <c r="D619" s="11" t="s">
        <v>149</v>
      </c>
      <c r="E619" t="s">
        <v>420</v>
      </c>
      <c r="F619" t="s">
        <v>173</v>
      </c>
      <c r="G619" s="11" t="s">
        <v>516</v>
      </c>
      <c r="H619">
        <v>1</v>
      </c>
      <c r="I619" s="11" t="s">
        <v>427</v>
      </c>
      <c r="J619" t="s">
        <v>517</v>
      </c>
      <c r="K619" t="s">
        <v>267</v>
      </c>
      <c r="L619" s="11" t="s">
        <v>39</v>
      </c>
      <c r="M619" s="11" t="s">
        <v>39</v>
      </c>
      <c r="N619" s="11" t="s">
        <v>39</v>
      </c>
      <c r="O619" s="11" t="s">
        <v>39</v>
      </c>
      <c r="P619" t="s">
        <v>9</v>
      </c>
      <c r="Q619">
        <v>40</v>
      </c>
      <c r="R619">
        <v>0</v>
      </c>
      <c r="S619">
        <v>0</v>
      </c>
      <c r="T619" t="str">
        <f t="shared" si="99"/>
        <v>-</v>
      </c>
      <c r="U619" t="str">
        <f t="shared" si="100"/>
        <v>-</v>
      </c>
      <c r="V619" t="str">
        <f t="shared" si="101"/>
        <v>-</v>
      </c>
      <c r="W619" t="str">
        <f t="shared" si="102"/>
        <v>-</v>
      </c>
      <c r="X619" t="str">
        <f t="shared" si="103"/>
        <v>-</v>
      </c>
      <c r="Y619" t="str">
        <f t="shared" si="104"/>
        <v>-</v>
      </c>
      <c r="Z619" t="str">
        <f t="shared" si="105"/>
        <v>-</v>
      </c>
      <c r="AA619" t="str">
        <f t="shared" si="106"/>
        <v>-</v>
      </c>
      <c r="AB619" t="str">
        <f>IF(_xlfn.IFNA(VLOOKUP(P619,Set_Ref!$B$6:$B$1048576,1,FALSE),"")&lt;&gt;"","-",FALSE)</f>
        <v>-</v>
      </c>
      <c r="AC619" t="str">
        <f t="shared" si="107"/>
        <v>-</v>
      </c>
      <c r="AD619" t="str">
        <f t="shared" si="108"/>
        <v>-</v>
      </c>
      <c r="AE619" t="b">
        <f t="shared" si="109"/>
        <v>1</v>
      </c>
    </row>
    <row r="620" spans="1:31" x14ac:dyDescent="0.25">
      <c r="A620">
        <v>2</v>
      </c>
      <c r="B620">
        <v>301</v>
      </c>
      <c r="C620">
        <v>261</v>
      </c>
      <c r="D620" s="11" t="s">
        <v>149</v>
      </c>
      <c r="E620" t="s">
        <v>421</v>
      </c>
      <c r="F620" t="s">
        <v>212</v>
      </c>
      <c r="G620" s="11" t="s">
        <v>518</v>
      </c>
      <c r="H620">
        <v>1</v>
      </c>
      <c r="I620" s="11" t="s">
        <v>427</v>
      </c>
      <c r="J620" t="s">
        <v>519</v>
      </c>
      <c r="K620" t="s">
        <v>267</v>
      </c>
      <c r="L620" s="11" t="s">
        <v>39</v>
      </c>
      <c r="M620" s="11" t="s">
        <v>39</v>
      </c>
      <c r="N620" s="11" t="s">
        <v>39</v>
      </c>
      <c r="O620" s="11" t="s">
        <v>39</v>
      </c>
      <c r="P620" t="s">
        <v>9</v>
      </c>
      <c r="Q620">
        <v>20</v>
      </c>
      <c r="R620">
        <v>0</v>
      </c>
      <c r="S620">
        <v>0</v>
      </c>
      <c r="T620" t="str">
        <f t="shared" si="99"/>
        <v>-</v>
      </c>
      <c r="U620" t="str">
        <f t="shared" si="100"/>
        <v>-</v>
      </c>
      <c r="V620" t="str">
        <f t="shared" si="101"/>
        <v>-</v>
      </c>
      <c r="W620" t="str">
        <f t="shared" si="102"/>
        <v>-</v>
      </c>
      <c r="X620" t="str">
        <f t="shared" si="103"/>
        <v>-</v>
      </c>
      <c r="Y620" t="str">
        <f t="shared" si="104"/>
        <v>-</v>
      </c>
      <c r="Z620" t="str">
        <f t="shared" si="105"/>
        <v>-</v>
      </c>
      <c r="AA620" t="str">
        <f t="shared" si="106"/>
        <v>-</v>
      </c>
      <c r="AB620" t="str">
        <f>IF(_xlfn.IFNA(VLOOKUP(P620,Set_Ref!$B$6:$B$1048576,1,FALSE),"")&lt;&gt;"","-",FALSE)</f>
        <v>-</v>
      </c>
      <c r="AC620" t="str">
        <f t="shared" si="107"/>
        <v>-</v>
      </c>
      <c r="AD620" t="str">
        <f t="shared" si="108"/>
        <v>-</v>
      </c>
      <c r="AE620" t="b">
        <f t="shared" si="109"/>
        <v>1</v>
      </c>
    </row>
    <row r="621" spans="1:31" x14ac:dyDescent="0.25">
      <c r="A621">
        <v>2</v>
      </c>
      <c r="B621">
        <v>302</v>
      </c>
      <c r="C621">
        <v>261</v>
      </c>
      <c r="D621" s="11" t="s">
        <v>149</v>
      </c>
      <c r="E621" t="s">
        <v>421</v>
      </c>
      <c r="F621" t="s">
        <v>212</v>
      </c>
      <c r="G621" s="11" t="s">
        <v>518</v>
      </c>
      <c r="H621">
        <v>1</v>
      </c>
      <c r="I621" s="11" t="s">
        <v>427</v>
      </c>
      <c r="J621" t="s">
        <v>519</v>
      </c>
      <c r="K621" t="s">
        <v>267</v>
      </c>
      <c r="L621" s="11" t="s">
        <v>39</v>
      </c>
      <c r="M621" s="11" t="s">
        <v>39</v>
      </c>
      <c r="N621" s="11" t="s">
        <v>39</v>
      </c>
      <c r="O621" s="11" t="s">
        <v>39</v>
      </c>
      <c r="P621" t="s">
        <v>9</v>
      </c>
      <c r="Q621">
        <v>40</v>
      </c>
      <c r="R621">
        <v>0</v>
      </c>
      <c r="S621">
        <v>0</v>
      </c>
      <c r="T621" t="str">
        <f t="shared" si="99"/>
        <v>-</v>
      </c>
      <c r="U621" t="str">
        <f t="shared" si="100"/>
        <v>-</v>
      </c>
      <c r="V621" t="str">
        <f t="shared" si="101"/>
        <v>-</v>
      </c>
      <c r="W621" t="str">
        <f t="shared" si="102"/>
        <v>-</v>
      </c>
      <c r="X621" t="str">
        <f t="shared" si="103"/>
        <v>-</v>
      </c>
      <c r="Y621" t="str">
        <f t="shared" si="104"/>
        <v>-</v>
      </c>
      <c r="Z621" t="str">
        <f t="shared" si="105"/>
        <v>-</v>
      </c>
      <c r="AA621" t="str">
        <f t="shared" si="106"/>
        <v>-</v>
      </c>
      <c r="AB621" t="str">
        <f>IF(_xlfn.IFNA(VLOOKUP(P621,Set_Ref!$B$6:$B$1048576,1,FALSE),"")&lt;&gt;"","-",FALSE)</f>
        <v>-</v>
      </c>
      <c r="AC621" t="str">
        <f t="shared" si="107"/>
        <v>-</v>
      </c>
      <c r="AD621" t="str">
        <f t="shared" si="108"/>
        <v>-</v>
      </c>
      <c r="AE621" t="b">
        <f t="shared" si="109"/>
        <v>1</v>
      </c>
    </row>
    <row r="622" spans="1:31" x14ac:dyDescent="0.25">
      <c r="A622">
        <v>2</v>
      </c>
      <c r="B622">
        <v>303</v>
      </c>
      <c r="C622">
        <v>261</v>
      </c>
      <c r="D622" s="11" t="s">
        <v>149</v>
      </c>
      <c r="E622" t="s">
        <v>421</v>
      </c>
      <c r="F622" t="s">
        <v>212</v>
      </c>
      <c r="G622" s="11" t="s">
        <v>518</v>
      </c>
      <c r="H622">
        <v>1</v>
      </c>
      <c r="I622" s="11" t="s">
        <v>427</v>
      </c>
      <c r="J622" t="s">
        <v>519</v>
      </c>
      <c r="K622" t="s">
        <v>267</v>
      </c>
      <c r="L622" s="11" t="s">
        <v>39</v>
      </c>
      <c r="M622" s="11" t="s">
        <v>39</v>
      </c>
      <c r="N622" s="11" t="s">
        <v>39</v>
      </c>
      <c r="O622" s="11" t="s">
        <v>39</v>
      </c>
      <c r="P622" t="s">
        <v>9</v>
      </c>
      <c r="Q622">
        <v>70</v>
      </c>
      <c r="R622">
        <v>0</v>
      </c>
      <c r="S622">
        <v>0</v>
      </c>
      <c r="T622" t="str">
        <f t="shared" si="99"/>
        <v>-</v>
      </c>
      <c r="U622" t="str">
        <f t="shared" si="100"/>
        <v>-</v>
      </c>
      <c r="V622" t="str">
        <f t="shared" si="101"/>
        <v>-</v>
      </c>
      <c r="W622" t="str">
        <f t="shared" si="102"/>
        <v>-</v>
      </c>
      <c r="X622" t="str">
        <f t="shared" si="103"/>
        <v>-</v>
      </c>
      <c r="Y622" t="str">
        <f t="shared" si="104"/>
        <v>-</v>
      </c>
      <c r="Z622" t="str">
        <f t="shared" si="105"/>
        <v>-</v>
      </c>
      <c r="AA622" t="str">
        <f t="shared" si="106"/>
        <v>-</v>
      </c>
      <c r="AB622" t="str">
        <f>IF(_xlfn.IFNA(VLOOKUP(P622,Set_Ref!$B$6:$B$1048576,1,FALSE),"")&lt;&gt;"","-",FALSE)</f>
        <v>-</v>
      </c>
      <c r="AC622" t="str">
        <f t="shared" si="107"/>
        <v>-</v>
      </c>
      <c r="AD622" t="str">
        <f t="shared" si="108"/>
        <v>-</v>
      </c>
      <c r="AE622" t="b">
        <f t="shared" si="109"/>
        <v>1</v>
      </c>
    </row>
    <row r="623" spans="1:31" x14ac:dyDescent="0.25">
      <c r="A623">
        <v>2</v>
      </c>
      <c r="B623">
        <v>304</v>
      </c>
      <c r="C623">
        <v>261</v>
      </c>
      <c r="D623" s="11" t="s">
        <v>149</v>
      </c>
      <c r="E623" t="s">
        <v>421</v>
      </c>
      <c r="F623" t="s">
        <v>212</v>
      </c>
      <c r="G623" s="11" t="s">
        <v>518</v>
      </c>
      <c r="H623">
        <v>1</v>
      </c>
      <c r="I623" s="11" t="s">
        <v>427</v>
      </c>
      <c r="J623" t="s">
        <v>519</v>
      </c>
      <c r="K623" t="s">
        <v>267</v>
      </c>
      <c r="L623" s="11" t="s">
        <v>39</v>
      </c>
      <c r="M623" s="11" t="s">
        <v>39</v>
      </c>
      <c r="N623" s="11" t="s">
        <v>39</v>
      </c>
      <c r="O623" s="11" t="s">
        <v>39</v>
      </c>
      <c r="P623" t="s">
        <v>9</v>
      </c>
      <c r="Q623">
        <v>50</v>
      </c>
      <c r="R623">
        <v>0</v>
      </c>
      <c r="S623">
        <v>0</v>
      </c>
      <c r="T623" t="str">
        <f t="shared" si="99"/>
        <v>-</v>
      </c>
      <c r="U623" t="str">
        <f t="shared" si="100"/>
        <v>-</v>
      </c>
      <c r="V623" t="str">
        <f t="shared" si="101"/>
        <v>-</v>
      </c>
      <c r="W623" t="str">
        <f t="shared" si="102"/>
        <v>-</v>
      </c>
      <c r="X623" t="str">
        <f t="shared" si="103"/>
        <v>-</v>
      </c>
      <c r="Y623" t="str">
        <f t="shared" si="104"/>
        <v>-</v>
      </c>
      <c r="Z623" t="str">
        <f t="shared" si="105"/>
        <v>-</v>
      </c>
      <c r="AA623" t="str">
        <f t="shared" si="106"/>
        <v>-</v>
      </c>
      <c r="AB623" t="str">
        <f>IF(_xlfn.IFNA(VLOOKUP(P623,Set_Ref!$B$6:$B$1048576,1,FALSE),"")&lt;&gt;"","-",FALSE)</f>
        <v>-</v>
      </c>
      <c r="AC623" t="str">
        <f t="shared" si="107"/>
        <v>-</v>
      </c>
      <c r="AD623" t="str">
        <f t="shared" si="108"/>
        <v>-</v>
      </c>
      <c r="AE623" t="b">
        <f t="shared" si="109"/>
        <v>1</v>
      </c>
    </row>
    <row r="624" spans="1:31" x14ac:dyDescent="0.25">
      <c r="A624">
        <v>2</v>
      </c>
      <c r="B624">
        <v>305</v>
      </c>
      <c r="C624">
        <v>261</v>
      </c>
      <c r="D624" s="11" t="s">
        <v>149</v>
      </c>
      <c r="E624" t="s">
        <v>421</v>
      </c>
      <c r="F624" t="s">
        <v>212</v>
      </c>
      <c r="G624" s="11" t="s">
        <v>518</v>
      </c>
      <c r="H624">
        <v>1</v>
      </c>
      <c r="I624" s="11" t="s">
        <v>427</v>
      </c>
      <c r="J624" t="s">
        <v>519</v>
      </c>
      <c r="K624" t="s">
        <v>267</v>
      </c>
      <c r="L624" s="11" t="s">
        <v>39</v>
      </c>
      <c r="M624" s="11" t="s">
        <v>39</v>
      </c>
      <c r="N624" s="11" t="s">
        <v>39</v>
      </c>
      <c r="O624" s="11" t="s">
        <v>39</v>
      </c>
      <c r="P624" t="s">
        <v>9</v>
      </c>
      <c r="Q624">
        <v>10</v>
      </c>
      <c r="R624">
        <v>0</v>
      </c>
      <c r="S624">
        <v>0</v>
      </c>
      <c r="T624" t="str">
        <f t="shared" si="99"/>
        <v>-</v>
      </c>
      <c r="U624" t="str">
        <f t="shared" si="100"/>
        <v>-</v>
      </c>
      <c r="V624" t="str">
        <f t="shared" si="101"/>
        <v>-</v>
      </c>
      <c r="W624" t="str">
        <f t="shared" si="102"/>
        <v>-</v>
      </c>
      <c r="X624" t="str">
        <f t="shared" si="103"/>
        <v>-</v>
      </c>
      <c r="Y624" t="str">
        <f t="shared" si="104"/>
        <v>-</v>
      </c>
      <c r="Z624" t="str">
        <f t="shared" si="105"/>
        <v>-</v>
      </c>
      <c r="AA624" t="str">
        <f t="shared" si="106"/>
        <v>-</v>
      </c>
      <c r="AB624" t="str">
        <f>IF(_xlfn.IFNA(VLOOKUP(P624,Set_Ref!$B$6:$B$1048576,1,FALSE),"")&lt;&gt;"","-",FALSE)</f>
        <v>-</v>
      </c>
      <c r="AC624" t="str">
        <f t="shared" si="107"/>
        <v>-</v>
      </c>
      <c r="AD624" t="str">
        <f t="shared" si="108"/>
        <v>-</v>
      </c>
      <c r="AE624" t="b">
        <f t="shared" si="109"/>
        <v>1</v>
      </c>
    </row>
    <row r="625" spans="1:31" x14ac:dyDescent="0.25">
      <c r="A625">
        <v>2</v>
      </c>
      <c r="B625">
        <v>306</v>
      </c>
      <c r="C625">
        <v>261</v>
      </c>
      <c r="D625" s="11" t="s">
        <v>149</v>
      </c>
      <c r="E625" t="s">
        <v>421</v>
      </c>
      <c r="F625" t="s">
        <v>212</v>
      </c>
      <c r="G625" s="11" t="s">
        <v>518</v>
      </c>
      <c r="H625">
        <v>1</v>
      </c>
      <c r="I625" s="11" t="s">
        <v>427</v>
      </c>
      <c r="J625" t="s">
        <v>519</v>
      </c>
      <c r="K625" t="s">
        <v>267</v>
      </c>
      <c r="L625" s="11" t="s">
        <v>39</v>
      </c>
      <c r="M625" s="11" t="s">
        <v>39</v>
      </c>
      <c r="N625" s="11" t="s">
        <v>39</v>
      </c>
      <c r="O625" s="11" t="s">
        <v>39</v>
      </c>
      <c r="P625" t="s">
        <v>9</v>
      </c>
      <c r="Q625">
        <v>10</v>
      </c>
      <c r="R625">
        <v>0</v>
      </c>
      <c r="S625">
        <v>0</v>
      </c>
      <c r="T625" t="str">
        <f t="shared" si="99"/>
        <v>-</v>
      </c>
      <c r="U625" t="str">
        <f t="shared" si="100"/>
        <v>-</v>
      </c>
      <c r="V625" t="str">
        <f t="shared" si="101"/>
        <v>-</v>
      </c>
      <c r="W625" t="str">
        <f t="shared" si="102"/>
        <v>-</v>
      </c>
      <c r="X625" t="str">
        <f t="shared" si="103"/>
        <v>-</v>
      </c>
      <c r="Y625" t="str">
        <f t="shared" si="104"/>
        <v>-</v>
      </c>
      <c r="Z625" t="str">
        <f t="shared" si="105"/>
        <v>-</v>
      </c>
      <c r="AA625" t="str">
        <f t="shared" si="106"/>
        <v>-</v>
      </c>
      <c r="AB625" t="str">
        <f>IF(_xlfn.IFNA(VLOOKUP(P625,Set_Ref!$B$6:$B$1048576,1,FALSE),"")&lt;&gt;"","-",FALSE)</f>
        <v>-</v>
      </c>
      <c r="AC625" t="str">
        <f t="shared" si="107"/>
        <v>-</v>
      </c>
      <c r="AD625" t="str">
        <f t="shared" si="108"/>
        <v>-</v>
      </c>
      <c r="AE625" t="b">
        <f t="shared" si="109"/>
        <v>1</v>
      </c>
    </row>
    <row r="626" spans="1:31" x14ac:dyDescent="0.25">
      <c r="A626">
        <v>2</v>
      </c>
      <c r="B626">
        <v>307</v>
      </c>
      <c r="C626">
        <v>261</v>
      </c>
      <c r="D626" s="11" t="s">
        <v>149</v>
      </c>
      <c r="E626" t="s">
        <v>421</v>
      </c>
      <c r="F626" t="s">
        <v>212</v>
      </c>
      <c r="G626" s="11" t="s">
        <v>518</v>
      </c>
      <c r="H626">
        <v>1</v>
      </c>
      <c r="I626" s="11" t="s">
        <v>427</v>
      </c>
      <c r="J626" t="s">
        <v>519</v>
      </c>
      <c r="K626" t="s">
        <v>267</v>
      </c>
      <c r="L626" s="11" t="s">
        <v>39</v>
      </c>
      <c r="M626" s="11" t="s">
        <v>39</v>
      </c>
      <c r="N626" s="11" t="s">
        <v>39</v>
      </c>
      <c r="O626" s="11" t="s">
        <v>39</v>
      </c>
      <c r="P626" t="s">
        <v>9</v>
      </c>
      <c r="Q626">
        <v>10</v>
      </c>
      <c r="R626">
        <v>0</v>
      </c>
      <c r="S626">
        <v>0</v>
      </c>
      <c r="T626" t="str">
        <f t="shared" si="99"/>
        <v>-</v>
      </c>
      <c r="U626" t="str">
        <f t="shared" si="100"/>
        <v>-</v>
      </c>
      <c r="V626" t="str">
        <f t="shared" si="101"/>
        <v>-</v>
      </c>
      <c r="W626" t="str">
        <f t="shared" si="102"/>
        <v>-</v>
      </c>
      <c r="X626" t="str">
        <f t="shared" si="103"/>
        <v>-</v>
      </c>
      <c r="Y626" t="str">
        <f t="shared" si="104"/>
        <v>-</v>
      </c>
      <c r="Z626" t="str">
        <f t="shared" si="105"/>
        <v>-</v>
      </c>
      <c r="AA626" t="str">
        <f t="shared" si="106"/>
        <v>-</v>
      </c>
      <c r="AB626" t="str">
        <f>IF(_xlfn.IFNA(VLOOKUP(P626,Set_Ref!$B$6:$B$1048576,1,FALSE),"")&lt;&gt;"","-",FALSE)</f>
        <v>-</v>
      </c>
      <c r="AC626" t="str">
        <f t="shared" si="107"/>
        <v>-</v>
      </c>
      <c r="AD626" t="str">
        <f t="shared" si="108"/>
        <v>-</v>
      </c>
      <c r="AE626" t="b">
        <f t="shared" si="109"/>
        <v>1</v>
      </c>
    </row>
    <row r="627" spans="1:31" x14ac:dyDescent="0.25">
      <c r="A627">
        <v>2</v>
      </c>
      <c r="B627">
        <v>308</v>
      </c>
      <c r="C627">
        <v>261</v>
      </c>
      <c r="D627" s="11" t="s">
        <v>149</v>
      </c>
      <c r="E627" t="s">
        <v>421</v>
      </c>
      <c r="F627" t="s">
        <v>212</v>
      </c>
      <c r="G627" s="11" t="s">
        <v>518</v>
      </c>
      <c r="H627">
        <v>1</v>
      </c>
      <c r="I627" s="11" t="s">
        <v>427</v>
      </c>
      <c r="J627" t="s">
        <v>519</v>
      </c>
      <c r="K627" t="s">
        <v>267</v>
      </c>
      <c r="L627" s="11" t="s">
        <v>39</v>
      </c>
      <c r="M627" s="11" t="s">
        <v>39</v>
      </c>
      <c r="N627" s="11" t="s">
        <v>39</v>
      </c>
      <c r="O627" s="11" t="s">
        <v>39</v>
      </c>
      <c r="P627" t="s">
        <v>9</v>
      </c>
      <c r="Q627">
        <v>20</v>
      </c>
      <c r="R627">
        <v>0</v>
      </c>
      <c r="S627">
        <v>0</v>
      </c>
      <c r="T627" t="str">
        <f t="shared" si="99"/>
        <v>-</v>
      </c>
      <c r="U627" t="str">
        <f t="shared" si="100"/>
        <v>-</v>
      </c>
      <c r="V627" t="str">
        <f t="shared" si="101"/>
        <v>-</v>
      </c>
      <c r="W627" t="str">
        <f t="shared" si="102"/>
        <v>-</v>
      </c>
      <c r="X627" t="str">
        <f t="shared" si="103"/>
        <v>-</v>
      </c>
      <c r="Y627" t="str">
        <f t="shared" si="104"/>
        <v>-</v>
      </c>
      <c r="Z627" t="str">
        <f t="shared" si="105"/>
        <v>-</v>
      </c>
      <c r="AA627" t="str">
        <f t="shared" si="106"/>
        <v>-</v>
      </c>
      <c r="AB627" t="str">
        <f>IF(_xlfn.IFNA(VLOOKUP(P627,Set_Ref!$B$6:$B$1048576,1,FALSE),"")&lt;&gt;"","-",FALSE)</f>
        <v>-</v>
      </c>
      <c r="AC627" t="str">
        <f t="shared" si="107"/>
        <v>-</v>
      </c>
      <c r="AD627" t="str">
        <f t="shared" si="108"/>
        <v>-</v>
      </c>
      <c r="AE627" t="b">
        <f t="shared" si="109"/>
        <v>1</v>
      </c>
    </row>
    <row r="628" spans="1:31" x14ac:dyDescent="0.25">
      <c r="A628">
        <v>2</v>
      </c>
      <c r="B628">
        <v>309</v>
      </c>
      <c r="C628">
        <v>261</v>
      </c>
      <c r="D628" s="11" t="s">
        <v>149</v>
      </c>
      <c r="E628" t="s">
        <v>421</v>
      </c>
      <c r="F628" t="s">
        <v>212</v>
      </c>
      <c r="G628" s="11" t="s">
        <v>518</v>
      </c>
      <c r="H628">
        <v>1</v>
      </c>
      <c r="I628" s="11" t="s">
        <v>427</v>
      </c>
      <c r="J628" t="s">
        <v>519</v>
      </c>
      <c r="K628" t="s">
        <v>267</v>
      </c>
      <c r="L628" s="11" t="s">
        <v>39</v>
      </c>
      <c r="M628" s="11" t="s">
        <v>39</v>
      </c>
      <c r="N628" s="11" t="s">
        <v>39</v>
      </c>
      <c r="O628" s="11" t="s">
        <v>39</v>
      </c>
      <c r="P628" t="s">
        <v>9</v>
      </c>
      <c r="Q628">
        <v>100</v>
      </c>
      <c r="R628">
        <v>0</v>
      </c>
      <c r="S628">
        <v>0</v>
      </c>
      <c r="T628" t="str">
        <f t="shared" si="99"/>
        <v>-</v>
      </c>
      <c r="U628" t="str">
        <f t="shared" si="100"/>
        <v>-</v>
      </c>
      <c r="V628" t="str">
        <f t="shared" si="101"/>
        <v>-</v>
      </c>
      <c r="W628" t="str">
        <f t="shared" si="102"/>
        <v>-</v>
      </c>
      <c r="X628" t="str">
        <f t="shared" si="103"/>
        <v>-</v>
      </c>
      <c r="Y628" t="str">
        <f t="shared" si="104"/>
        <v>-</v>
      </c>
      <c r="Z628" t="str">
        <f t="shared" si="105"/>
        <v>-</v>
      </c>
      <c r="AA628" t="str">
        <f t="shared" si="106"/>
        <v>-</v>
      </c>
      <c r="AB628" t="str">
        <f>IF(_xlfn.IFNA(VLOOKUP(P628,Set_Ref!$B$6:$B$1048576,1,FALSE),"")&lt;&gt;"","-",FALSE)</f>
        <v>-</v>
      </c>
      <c r="AC628" t="str">
        <f t="shared" si="107"/>
        <v>-</v>
      </c>
      <c r="AD628" t="str">
        <f t="shared" si="108"/>
        <v>-</v>
      </c>
      <c r="AE628" t="b">
        <f t="shared" si="109"/>
        <v>1</v>
      </c>
    </row>
    <row r="629" spans="1:31" x14ac:dyDescent="0.25">
      <c r="A629">
        <v>2</v>
      </c>
      <c r="B629">
        <v>310</v>
      </c>
      <c r="C629">
        <v>261</v>
      </c>
      <c r="D629" s="11" t="s">
        <v>149</v>
      </c>
      <c r="E629" t="s">
        <v>421</v>
      </c>
      <c r="F629" t="s">
        <v>212</v>
      </c>
      <c r="G629" s="11" t="s">
        <v>518</v>
      </c>
      <c r="H629">
        <v>1</v>
      </c>
      <c r="I629" s="11" t="s">
        <v>427</v>
      </c>
      <c r="J629" t="s">
        <v>519</v>
      </c>
      <c r="K629" t="s">
        <v>267</v>
      </c>
      <c r="L629" s="11" t="s">
        <v>39</v>
      </c>
      <c r="M629" s="11" t="s">
        <v>39</v>
      </c>
      <c r="N629" s="11" t="s">
        <v>39</v>
      </c>
      <c r="O629" s="11" t="s">
        <v>39</v>
      </c>
      <c r="P629" t="s">
        <v>9</v>
      </c>
      <c r="Q629">
        <v>140</v>
      </c>
      <c r="R629">
        <v>0</v>
      </c>
      <c r="S629">
        <v>0</v>
      </c>
      <c r="T629" t="str">
        <f t="shared" si="99"/>
        <v>-</v>
      </c>
      <c r="U629" t="str">
        <f t="shared" si="100"/>
        <v>-</v>
      </c>
      <c r="V629" t="str">
        <f t="shared" si="101"/>
        <v>-</v>
      </c>
      <c r="W629" t="str">
        <f t="shared" si="102"/>
        <v>-</v>
      </c>
      <c r="X629" t="str">
        <f t="shared" si="103"/>
        <v>-</v>
      </c>
      <c r="Y629" t="str">
        <f t="shared" si="104"/>
        <v>-</v>
      </c>
      <c r="Z629" t="str">
        <f t="shared" si="105"/>
        <v>-</v>
      </c>
      <c r="AA629" t="str">
        <f t="shared" si="106"/>
        <v>-</v>
      </c>
      <c r="AB629" t="str">
        <f>IF(_xlfn.IFNA(VLOOKUP(P629,Set_Ref!$B$6:$B$1048576,1,FALSE),"")&lt;&gt;"","-",FALSE)</f>
        <v>-</v>
      </c>
      <c r="AC629" t="str">
        <f t="shared" si="107"/>
        <v>-</v>
      </c>
      <c r="AD629" t="str">
        <f t="shared" si="108"/>
        <v>-</v>
      </c>
      <c r="AE629" t="b">
        <f t="shared" si="109"/>
        <v>1</v>
      </c>
    </row>
    <row r="630" spans="1:31" x14ac:dyDescent="0.25">
      <c r="A630">
        <v>2</v>
      </c>
      <c r="B630">
        <v>311</v>
      </c>
      <c r="C630">
        <v>261</v>
      </c>
      <c r="D630" s="11" t="s">
        <v>149</v>
      </c>
      <c r="E630" t="s">
        <v>421</v>
      </c>
      <c r="F630" t="s">
        <v>212</v>
      </c>
      <c r="G630" s="11" t="s">
        <v>518</v>
      </c>
      <c r="H630">
        <v>1</v>
      </c>
      <c r="I630" s="11" t="s">
        <v>427</v>
      </c>
      <c r="J630" t="s">
        <v>519</v>
      </c>
      <c r="K630" t="s">
        <v>267</v>
      </c>
      <c r="L630" s="11" t="s">
        <v>39</v>
      </c>
      <c r="M630" s="11" t="s">
        <v>39</v>
      </c>
      <c r="N630" s="11" t="s">
        <v>39</v>
      </c>
      <c r="O630" s="11" t="s">
        <v>39</v>
      </c>
      <c r="P630" t="s">
        <v>9</v>
      </c>
      <c r="Q630">
        <v>40</v>
      </c>
      <c r="R630">
        <v>0</v>
      </c>
      <c r="S630">
        <v>0</v>
      </c>
      <c r="T630" t="str">
        <f t="shared" si="99"/>
        <v>-</v>
      </c>
      <c r="U630" t="str">
        <f t="shared" si="100"/>
        <v>-</v>
      </c>
      <c r="V630" t="str">
        <f t="shared" si="101"/>
        <v>-</v>
      </c>
      <c r="W630" t="str">
        <f t="shared" si="102"/>
        <v>-</v>
      </c>
      <c r="X630" t="str">
        <f t="shared" si="103"/>
        <v>-</v>
      </c>
      <c r="Y630" t="str">
        <f t="shared" si="104"/>
        <v>-</v>
      </c>
      <c r="Z630" t="str">
        <f t="shared" si="105"/>
        <v>-</v>
      </c>
      <c r="AA630" t="str">
        <f t="shared" si="106"/>
        <v>-</v>
      </c>
      <c r="AB630" t="str">
        <f>IF(_xlfn.IFNA(VLOOKUP(P630,Set_Ref!$B$6:$B$1048576,1,FALSE),"")&lt;&gt;"","-",FALSE)</f>
        <v>-</v>
      </c>
      <c r="AC630" t="str">
        <f t="shared" si="107"/>
        <v>-</v>
      </c>
      <c r="AD630" t="str">
        <f t="shared" si="108"/>
        <v>-</v>
      </c>
      <c r="AE630" t="b">
        <f t="shared" si="109"/>
        <v>1</v>
      </c>
    </row>
    <row r="631" spans="1:31" x14ac:dyDescent="0.25">
      <c r="A631">
        <v>2</v>
      </c>
      <c r="B631">
        <v>312</v>
      </c>
      <c r="C631">
        <v>261</v>
      </c>
      <c r="D631" s="11" t="s">
        <v>149</v>
      </c>
      <c r="E631" t="s">
        <v>421</v>
      </c>
      <c r="F631" t="s">
        <v>212</v>
      </c>
      <c r="G631" s="11" t="s">
        <v>518</v>
      </c>
      <c r="H631">
        <v>1</v>
      </c>
      <c r="I631" s="11" t="s">
        <v>427</v>
      </c>
      <c r="J631" t="s">
        <v>519</v>
      </c>
      <c r="K631" t="s">
        <v>267</v>
      </c>
      <c r="L631" s="11" t="s">
        <v>39</v>
      </c>
      <c r="M631" s="11" t="s">
        <v>39</v>
      </c>
      <c r="N631" s="11" t="s">
        <v>39</v>
      </c>
      <c r="O631" s="11" t="s">
        <v>39</v>
      </c>
      <c r="P631" t="s">
        <v>9</v>
      </c>
      <c r="Q631">
        <v>30</v>
      </c>
      <c r="R631">
        <v>0</v>
      </c>
      <c r="S631">
        <v>0</v>
      </c>
      <c r="T631" t="str">
        <f t="shared" si="99"/>
        <v>-</v>
      </c>
      <c r="U631" t="str">
        <f t="shared" si="100"/>
        <v>-</v>
      </c>
      <c r="V631" t="str">
        <f t="shared" si="101"/>
        <v>-</v>
      </c>
      <c r="W631" t="str">
        <f t="shared" si="102"/>
        <v>-</v>
      </c>
      <c r="X631" t="str">
        <f t="shared" si="103"/>
        <v>-</v>
      </c>
      <c r="Y631" t="str">
        <f t="shared" si="104"/>
        <v>-</v>
      </c>
      <c r="Z631" t="str">
        <f t="shared" si="105"/>
        <v>-</v>
      </c>
      <c r="AA631" t="str">
        <f t="shared" si="106"/>
        <v>-</v>
      </c>
      <c r="AB631" t="str">
        <f>IF(_xlfn.IFNA(VLOOKUP(P631,Set_Ref!$B$6:$B$1048576,1,FALSE),"")&lt;&gt;"","-",FALSE)</f>
        <v>-</v>
      </c>
      <c r="AC631" t="str">
        <f t="shared" si="107"/>
        <v>-</v>
      </c>
      <c r="AD631" t="str">
        <f t="shared" si="108"/>
        <v>-</v>
      </c>
      <c r="AE631" t="b">
        <f t="shared" si="109"/>
        <v>1</v>
      </c>
    </row>
    <row r="632" spans="1:31" x14ac:dyDescent="0.25">
      <c r="A632">
        <v>2</v>
      </c>
      <c r="B632">
        <v>313</v>
      </c>
      <c r="C632">
        <v>261</v>
      </c>
      <c r="D632" s="11" t="s">
        <v>149</v>
      </c>
      <c r="E632" t="s">
        <v>421</v>
      </c>
      <c r="F632" t="s">
        <v>212</v>
      </c>
      <c r="G632" s="11" t="s">
        <v>518</v>
      </c>
      <c r="H632">
        <v>1</v>
      </c>
      <c r="I632" s="11" t="s">
        <v>427</v>
      </c>
      <c r="J632" t="s">
        <v>519</v>
      </c>
      <c r="K632" t="s">
        <v>267</v>
      </c>
      <c r="L632" s="11" t="s">
        <v>39</v>
      </c>
      <c r="M632" s="11" t="s">
        <v>39</v>
      </c>
      <c r="N632" s="11" t="s">
        <v>39</v>
      </c>
      <c r="O632" s="11" t="s">
        <v>39</v>
      </c>
      <c r="P632" t="s">
        <v>9</v>
      </c>
      <c r="Q632">
        <v>10</v>
      </c>
      <c r="R632">
        <v>0</v>
      </c>
      <c r="S632">
        <v>0</v>
      </c>
      <c r="T632" t="str">
        <f t="shared" si="99"/>
        <v>-</v>
      </c>
      <c r="U632" t="str">
        <f t="shared" si="100"/>
        <v>-</v>
      </c>
      <c r="V632" t="str">
        <f t="shared" si="101"/>
        <v>-</v>
      </c>
      <c r="W632" t="str">
        <f t="shared" si="102"/>
        <v>-</v>
      </c>
      <c r="X632" t="str">
        <f t="shared" si="103"/>
        <v>-</v>
      </c>
      <c r="Y632" t="str">
        <f t="shared" si="104"/>
        <v>-</v>
      </c>
      <c r="Z632" t="str">
        <f t="shared" si="105"/>
        <v>-</v>
      </c>
      <c r="AA632" t="str">
        <f t="shared" si="106"/>
        <v>-</v>
      </c>
      <c r="AB632" t="str">
        <f>IF(_xlfn.IFNA(VLOOKUP(P632,Set_Ref!$B$6:$B$1048576,1,FALSE),"")&lt;&gt;"","-",FALSE)</f>
        <v>-</v>
      </c>
      <c r="AC632" t="str">
        <f t="shared" si="107"/>
        <v>-</v>
      </c>
      <c r="AD632" t="str">
        <f t="shared" si="108"/>
        <v>-</v>
      </c>
      <c r="AE632" t="b">
        <f t="shared" si="109"/>
        <v>1</v>
      </c>
    </row>
    <row r="633" spans="1:31" x14ac:dyDescent="0.25">
      <c r="A633">
        <v>2</v>
      </c>
      <c r="B633">
        <v>314</v>
      </c>
      <c r="C633">
        <v>261</v>
      </c>
      <c r="D633" s="11" t="s">
        <v>149</v>
      </c>
      <c r="E633" t="s">
        <v>422</v>
      </c>
      <c r="F633" t="s">
        <v>174</v>
      </c>
      <c r="G633" s="11" t="s">
        <v>520</v>
      </c>
      <c r="H633">
        <v>1</v>
      </c>
      <c r="I633" s="11" t="s">
        <v>427</v>
      </c>
      <c r="J633" t="s">
        <v>521</v>
      </c>
      <c r="K633" t="s">
        <v>237</v>
      </c>
      <c r="L633" s="11" t="s">
        <v>39</v>
      </c>
      <c r="M633" s="11" t="s">
        <v>39</v>
      </c>
      <c r="N633" s="11" t="s">
        <v>39</v>
      </c>
      <c r="O633" s="11" t="s">
        <v>39</v>
      </c>
      <c r="P633" t="s">
        <v>9</v>
      </c>
      <c r="Q633">
        <v>2</v>
      </c>
      <c r="R633">
        <v>0</v>
      </c>
      <c r="S633">
        <v>0</v>
      </c>
      <c r="T633" t="str">
        <f t="shared" si="99"/>
        <v>-</v>
      </c>
      <c r="U633" t="str">
        <f t="shared" si="100"/>
        <v>-</v>
      </c>
      <c r="V633" t="str">
        <f t="shared" si="101"/>
        <v>-</v>
      </c>
      <c r="W633" t="str">
        <f t="shared" si="102"/>
        <v>-</v>
      </c>
      <c r="X633" t="str">
        <f t="shared" si="103"/>
        <v>-</v>
      </c>
      <c r="Y633" t="str">
        <f t="shared" si="104"/>
        <v>-</v>
      </c>
      <c r="Z633" t="str">
        <f t="shared" si="105"/>
        <v>-</v>
      </c>
      <c r="AA633" t="str">
        <f t="shared" si="106"/>
        <v>-</v>
      </c>
      <c r="AB633" t="str">
        <f>IF(_xlfn.IFNA(VLOOKUP(P633,Set_Ref!$B$6:$B$1048576,1,FALSE),"")&lt;&gt;"","-",FALSE)</f>
        <v>-</v>
      </c>
      <c r="AC633" t="str">
        <f t="shared" si="107"/>
        <v>-</v>
      </c>
      <c r="AD633" t="str">
        <f t="shared" si="108"/>
        <v>-</v>
      </c>
      <c r="AE633" t="b">
        <f t="shared" si="109"/>
        <v>1</v>
      </c>
    </row>
    <row r="634" spans="1:31" x14ac:dyDescent="0.25">
      <c r="A634">
        <v>2</v>
      </c>
      <c r="B634">
        <v>315</v>
      </c>
      <c r="C634">
        <v>261</v>
      </c>
      <c r="D634" s="11" t="s">
        <v>149</v>
      </c>
      <c r="E634" t="s">
        <v>422</v>
      </c>
      <c r="F634" t="s">
        <v>174</v>
      </c>
      <c r="G634" s="11" t="s">
        <v>520</v>
      </c>
      <c r="H634">
        <v>1</v>
      </c>
      <c r="I634" s="11" t="s">
        <v>427</v>
      </c>
      <c r="J634" t="s">
        <v>521</v>
      </c>
      <c r="K634" t="s">
        <v>237</v>
      </c>
      <c r="L634" s="11" t="s">
        <v>39</v>
      </c>
      <c r="M634" s="11" t="s">
        <v>39</v>
      </c>
      <c r="N634" s="11" t="s">
        <v>39</v>
      </c>
      <c r="O634" s="11" t="s">
        <v>39</v>
      </c>
      <c r="P634" t="s">
        <v>9</v>
      </c>
      <c r="Q634">
        <v>22</v>
      </c>
      <c r="R634">
        <v>0</v>
      </c>
      <c r="S634">
        <v>0</v>
      </c>
      <c r="T634" t="str">
        <f t="shared" si="99"/>
        <v>-</v>
      </c>
      <c r="U634" t="str">
        <f t="shared" si="100"/>
        <v>-</v>
      </c>
      <c r="V634" t="str">
        <f t="shared" si="101"/>
        <v>-</v>
      </c>
      <c r="W634" t="str">
        <f t="shared" si="102"/>
        <v>-</v>
      </c>
      <c r="X634" t="str">
        <f t="shared" si="103"/>
        <v>-</v>
      </c>
      <c r="Y634" t="str">
        <f t="shared" si="104"/>
        <v>-</v>
      </c>
      <c r="Z634" t="str">
        <f t="shared" si="105"/>
        <v>-</v>
      </c>
      <c r="AA634" t="str">
        <f t="shared" si="106"/>
        <v>-</v>
      </c>
      <c r="AB634" t="str">
        <f>IF(_xlfn.IFNA(VLOOKUP(P634,Set_Ref!$B$6:$B$1048576,1,FALSE),"")&lt;&gt;"","-",FALSE)</f>
        <v>-</v>
      </c>
      <c r="AC634" t="str">
        <f t="shared" si="107"/>
        <v>-</v>
      </c>
      <c r="AD634" t="str">
        <f t="shared" si="108"/>
        <v>-</v>
      </c>
      <c r="AE634" t="b">
        <f t="shared" si="109"/>
        <v>1</v>
      </c>
    </row>
    <row r="635" spans="1:31" x14ac:dyDescent="0.25">
      <c r="A635">
        <v>2</v>
      </c>
      <c r="B635">
        <v>316</v>
      </c>
      <c r="C635">
        <v>261</v>
      </c>
      <c r="D635" s="11" t="s">
        <v>149</v>
      </c>
      <c r="E635" t="s">
        <v>423</v>
      </c>
      <c r="F635" t="s">
        <v>174</v>
      </c>
      <c r="G635" s="11" t="s">
        <v>522</v>
      </c>
      <c r="H635">
        <v>1</v>
      </c>
      <c r="I635" s="11" t="s">
        <v>427</v>
      </c>
      <c r="J635" t="s">
        <v>424</v>
      </c>
      <c r="K635" t="s">
        <v>237</v>
      </c>
      <c r="L635" s="11" t="s">
        <v>39</v>
      </c>
      <c r="M635" s="11" t="s">
        <v>39</v>
      </c>
      <c r="N635" s="11" t="s">
        <v>39</v>
      </c>
      <c r="O635" s="11" t="s">
        <v>39</v>
      </c>
      <c r="P635" t="s">
        <v>9</v>
      </c>
      <c r="Q635">
        <v>10</v>
      </c>
      <c r="R635">
        <v>0</v>
      </c>
      <c r="S635">
        <v>0</v>
      </c>
      <c r="T635" t="str">
        <f t="shared" si="99"/>
        <v>-</v>
      </c>
      <c r="U635" t="str">
        <f t="shared" si="100"/>
        <v>-</v>
      </c>
      <c r="V635" t="str">
        <f t="shared" si="101"/>
        <v>-</v>
      </c>
      <c r="W635" t="str">
        <f t="shared" si="102"/>
        <v>-</v>
      </c>
      <c r="X635" t="str">
        <f t="shared" si="103"/>
        <v>-</v>
      </c>
      <c r="Y635" t="str">
        <f t="shared" si="104"/>
        <v>-</v>
      </c>
      <c r="Z635" t="str">
        <f t="shared" si="105"/>
        <v>-</v>
      </c>
      <c r="AA635" t="str">
        <f t="shared" si="106"/>
        <v>-</v>
      </c>
      <c r="AB635" t="str">
        <f>IF(_xlfn.IFNA(VLOOKUP(P635,Set_Ref!$B$6:$B$1048576,1,FALSE),"")&lt;&gt;"","-",FALSE)</f>
        <v>-</v>
      </c>
      <c r="AC635" t="str">
        <f t="shared" si="107"/>
        <v>-</v>
      </c>
      <c r="AD635" t="str">
        <f t="shared" si="108"/>
        <v>-</v>
      </c>
      <c r="AE635" t="b">
        <f t="shared" si="109"/>
        <v>1</v>
      </c>
    </row>
    <row r="636" spans="1:31" x14ac:dyDescent="0.25">
      <c r="A636">
        <v>2</v>
      </c>
      <c r="B636">
        <v>317</v>
      </c>
      <c r="C636">
        <v>261</v>
      </c>
      <c r="D636" s="11" t="s">
        <v>149</v>
      </c>
      <c r="E636" t="s">
        <v>425</v>
      </c>
      <c r="F636" t="s">
        <v>213</v>
      </c>
      <c r="G636" s="11" t="s">
        <v>523</v>
      </c>
      <c r="H636">
        <v>1</v>
      </c>
      <c r="I636" s="11" t="s">
        <v>427</v>
      </c>
      <c r="J636" t="s">
        <v>415</v>
      </c>
      <c r="K636" t="s">
        <v>237</v>
      </c>
      <c r="L636" s="11" t="s">
        <v>39</v>
      </c>
      <c r="M636" s="11" t="s">
        <v>39</v>
      </c>
      <c r="N636" s="11" t="s">
        <v>39</v>
      </c>
      <c r="O636" s="11" t="s">
        <v>39</v>
      </c>
      <c r="P636" t="s">
        <v>9</v>
      </c>
      <c r="Q636">
        <v>61</v>
      </c>
      <c r="R636">
        <v>0</v>
      </c>
      <c r="S636">
        <v>0</v>
      </c>
      <c r="T636" t="str">
        <f t="shared" si="99"/>
        <v>-</v>
      </c>
      <c r="U636" t="str">
        <f t="shared" si="100"/>
        <v>-</v>
      </c>
      <c r="V636" t="str">
        <f t="shared" si="101"/>
        <v>-</v>
      </c>
      <c r="W636" t="str">
        <f t="shared" si="102"/>
        <v>-</v>
      </c>
      <c r="X636" t="str">
        <f t="shared" si="103"/>
        <v>-</v>
      </c>
      <c r="Y636" t="str">
        <f t="shared" si="104"/>
        <v>-</v>
      </c>
      <c r="Z636" t="str">
        <f t="shared" si="105"/>
        <v>-</v>
      </c>
      <c r="AA636" t="str">
        <f t="shared" si="106"/>
        <v>-</v>
      </c>
      <c r="AB636" t="str">
        <f>IF(_xlfn.IFNA(VLOOKUP(P636,Set_Ref!$B$6:$B$1048576,1,FALSE),"")&lt;&gt;"","-",FALSE)</f>
        <v>-</v>
      </c>
      <c r="AC636" t="str">
        <f t="shared" si="107"/>
        <v>-</v>
      </c>
      <c r="AD636" t="str">
        <f t="shared" si="108"/>
        <v>-</v>
      </c>
      <c r="AE636" t="b">
        <f t="shared" si="109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1C879EBD-5C37-4E93-8A43-E2690376C722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Summary</vt:lpstr>
      <vt:lpstr>Set_Def</vt:lpstr>
      <vt:lpstr>Set_Cach</vt:lpstr>
      <vt:lpstr>Set_Ref</vt:lpstr>
      <vt:lpstr>Field_Barang</vt:lpstr>
      <vt:lpstr>Field_BahanBaku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suci ratna dewi</cp:lastModifiedBy>
  <cp:lastPrinted>2023-07-14T03:21:57Z</cp:lastPrinted>
  <dcterms:created xsi:type="dcterms:W3CDTF">2023-04-11T02:47:24Z</dcterms:created>
  <dcterms:modified xsi:type="dcterms:W3CDTF">2024-10-29T10:05:23Z</dcterms:modified>
</cp:coreProperties>
</file>