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path file\MACRO_RPA - Pembuatan Dokumen di CEISA 4.0\BC 27K\PEMINDAHTANGANAN\Backup\New folder (6)\"/>
    </mc:Choice>
  </mc:AlternateContent>
  <xr:revisionPtr revIDLastSave="0" documentId="13_ncr:1_{949A2C1F-D4AA-43D7-9CD0-EDF5C95A02D2}" xr6:coauthVersionLast="47" xr6:coauthVersionMax="47" xr10:uidLastSave="{00000000-0000-0000-0000-000000000000}"/>
  <bookViews>
    <workbookView xWindow="-120" yWindow="-120" windowWidth="20640" windowHeight="11160" tabRatio="625" xr2:uid="{2CCE3C95-2940-4053-8BE7-2A6EFE1350AC}"/>
  </bookViews>
  <sheets>
    <sheet name="(MENU)" sheetId="2" r:id="rId1"/>
    <sheet name="Ref_Default" sheetId="4" r:id="rId2"/>
    <sheet name="Ref_UOM" sheetId="3" state="hidden" r:id="rId3"/>
    <sheet name="CC1" sheetId="3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" i="36" l="1"/>
</calcChain>
</file>

<file path=xl/sharedStrings.xml><?xml version="1.0" encoding="utf-8"?>
<sst xmlns="http://schemas.openxmlformats.org/spreadsheetml/2006/main" count="250" uniqueCount="179">
  <si>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</si>
  <si>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</si>
  <si>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</si>
  <si>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</si>
  <si>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</si>
  <si>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</si>
  <si>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</si>
  <si>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Invoice</t>
    </r>
    <r>
      <rPr>
        <sz val="11"/>
        <color theme="4" tint="-0.499984740745262"/>
        <rFont val="Calibri"/>
        <family val="2"/>
        <scheme val="minor"/>
      </rPr>
      <t>)</t>
    </r>
  </si>
  <si>
    <t>\\10.8.0.35\Bersama\path file\MACRO_RPA - Pembuatan Dokumen di CEISA 4.0\BC 27K\PEMINDAHTANGANAN\Macro\Temp\Temp_DokBC27_Ceisa.xlsx</t>
  </si>
  <si>
    <t>KODE DOKUMEN</t>
  </si>
  <si>
    <t>KODE KANTOR</t>
  </si>
  <si>
    <t>27</t>
  </si>
  <si>
    <t>050500</t>
  </si>
  <si>
    <t>KODE KANTOR TUJUAN</t>
  </si>
  <si>
    <t>050700</t>
  </si>
  <si>
    <t>KODE TUJUAN PENGIRIMAN</t>
  </si>
  <si>
    <t>KOTA PERNYATAAN</t>
  </si>
  <si>
    <t>NAMA PERNYATAAN</t>
  </si>
  <si>
    <t>JABATAN PERNYATAAN</t>
  </si>
  <si>
    <t>KODE VALUTA</t>
  </si>
  <si>
    <t>BANDUNG</t>
  </si>
  <si>
    <t>NUNUNG HALIMAH</t>
  </si>
  <si>
    <t>KUASA DIREKSI</t>
  </si>
  <si>
    <t>TARIF PPN PAJAK</t>
  </si>
  <si>
    <t>MEREK</t>
  </si>
  <si>
    <t>TIPE</t>
  </si>
  <si>
    <t>UKURAN</t>
  </si>
  <si>
    <t>SPESIFIKASI LAIN</t>
  </si>
  <si>
    <t>YRD</t>
  </si>
  <si>
    <t>SERI</t>
  </si>
  <si>
    <t>380</t>
  </si>
  <si>
    <t>217</t>
  </si>
  <si>
    <t>640</t>
  </si>
  <si>
    <t>315</t>
  </si>
  <si>
    <t>KODE ENTITAS</t>
  </si>
  <si>
    <t>KODE JENIS IDENTITAS</t>
  </si>
  <si>
    <t>NOMOR IDENTITAS</t>
  </si>
  <si>
    <t>NAMA ENTITAS</t>
  </si>
  <si>
    <t>ALAMAT ENTITAS</t>
  </si>
  <si>
    <t>NIB ENTITAS</t>
  </si>
  <si>
    <t>KODE JENIS API</t>
  </si>
  <si>
    <t>KODE STATUS</t>
  </si>
  <si>
    <t>NOMOR IJIN ENTITAS</t>
  </si>
  <si>
    <t>TANGGAL IJIN ENTITAS</t>
  </si>
  <si>
    <t>3</t>
  </si>
  <si>
    <t>5</t>
  </si>
  <si>
    <t>315608729423000</t>
  </si>
  <si>
    <t>GISTEX GARMEN INDONESIA</t>
  </si>
  <si>
    <t>JL.PANYAWUNGAN KM 19, CILEUNYI WETAN, CILEUNYI, KABUPATEN BANDUNG, JAWA BARAT</t>
  </si>
  <si>
    <t>8120101803719</t>
  </si>
  <si>
    <t>KEP-523/WBC.09/2022</t>
  </si>
  <si>
    <t>2022-07-29</t>
  </si>
  <si>
    <t>7</t>
  </si>
  <si>
    <t>02</t>
  </si>
  <si>
    <t>LAINNYA</t>
  </si>
  <si>
    <t>KEP-520/WBC.09/2022</t>
  </si>
  <si>
    <t>2022-07-28</t>
  </si>
  <si>
    <t>8</t>
  </si>
  <si>
    <t>BLOK PAJAGAN RT 01 / RW 01 DESA SINARJATI KECAMATAN DAWUAN KABUPATEN MAJALENGKA JAWA BARAT</t>
  </si>
  <si>
    <t>KEP-1/MK.4/WBC.09/2024</t>
  </si>
  <si>
    <t>2023-01-04</t>
  </si>
  <si>
    <t>FILED</t>
  </si>
  <si>
    <t>VALUE</t>
  </si>
  <si>
    <t>NOTE</t>
  </si>
  <si>
    <t>BC.27 KELUAR</t>
  </si>
  <si>
    <t>KODE KANTOR KPBC BANDUNG</t>
  </si>
  <si>
    <t>KODE KANTOR KPBC CIREBON</t>
  </si>
  <si>
    <t>KAWASAN BERIKAT</t>
  </si>
  <si>
    <t>NON PENYERAHAN</t>
  </si>
  <si>
    <r>
      <t>KODE JENIS TPB (</t>
    </r>
    <r>
      <rPr>
        <i/>
        <sz val="12"/>
        <color rgb="FF000000"/>
        <rFont val="Calibri"/>
        <family val="2"/>
      </rPr>
      <t>Jenis TPB Asal</t>
    </r>
    <r>
      <rPr>
        <sz val="12"/>
        <color indexed="8"/>
        <rFont val="Calibri"/>
        <family val="2"/>
      </rPr>
      <t>)</t>
    </r>
  </si>
  <si>
    <r>
      <t>KODE TUJUAN TPB</t>
    </r>
    <r>
      <rPr>
        <i/>
        <sz val="12"/>
        <color rgb="FF000000"/>
        <rFont val="Calibri"/>
        <family val="2"/>
      </rPr>
      <t xml:space="preserve"> (Jenis TPB Tujuan)</t>
    </r>
  </si>
  <si>
    <r>
      <t>INPUT DATA  (</t>
    </r>
    <r>
      <rPr>
        <i/>
        <sz val="9"/>
        <color theme="4" tint="-0.499984740745262"/>
        <rFont val="Calibri"/>
        <family val="2"/>
        <scheme val="minor"/>
      </rPr>
      <t>Input No AJU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</si>
  <si>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template Dokumen Ceisa 4.0</t>
    </r>
    <r>
      <rPr>
        <sz val="11"/>
        <color theme="4" tint="-0.499984740745262"/>
        <rFont val="Calibri"/>
        <family val="2"/>
        <scheme val="minor"/>
      </rPr>
      <t>)</t>
    </r>
  </si>
  <si>
    <t>INVOICE</t>
  </si>
  <si>
    <t>PACKING LIST</t>
  </si>
  <si>
    <t>DELIVERY ORDER (SURAT JALAN)</t>
  </si>
  <si>
    <t>KONTRAK</t>
  </si>
  <si>
    <t>EX BAHAN BAKU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</si>
  <si>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Surat Jalan</t>
    </r>
    <r>
      <rPr>
        <sz val="11"/>
        <color theme="4" tint="-0.499984740745262"/>
        <rFont val="Calibri"/>
        <family val="2"/>
        <scheme val="minor"/>
      </rPr>
      <t>)</t>
    </r>
  </si>
  <si>
    <t>tidak ada merek</t>
  </si>
  <si>
    <t>tidak ada tipe</t>
  </si>
  <si>
    <t>tidak ada ukuran</t>
  </si>
  <si>
    <t>tidak ada spesifikasi</t>
  </si>
  <si>
    <t>\\10.8.0.35\Bersama\DATA SHARING PART 2\INVOICE TRANSFER BAHAN BAKU DAN JADI\2024\15 FABRIC SUMI GM2\BPB PEMINDAHTANGANAN KE GM2 KK 019.pdf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</si>
  <si>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File Asal Bahan Baku</t>
    </r>
    <r>
      <rPr>
        <sz val="11"/>
        <color theme="4" tint="-0.499984740745262"/>
        <rFont val="Calibri"/>
        <family val="2"/>
        <scheme val="minor"/>
      </rPr>
      <t>)</t>
    </r>
  </si>
  <si>
    <r>
      <t>HEADER (</t>
    </r>
    <r>
      <rPr>
        <sz val="11"/>
        <color rgb="FFFF0000"/>
        <rFont val="Calibri"/>
        <family val="2"/>
        <scheme val="minor"/>
      </rPr>
      <t>URUTAN JGN DIUBAH</t>
    </r>
    <r>
      <rPr>
        <b/>
        <sz val="11"/>
        <color theme="1"/>
        <rFont val="Calibri"/>
        <family val="2"/>
        <scheme val="minor"/>
      </rPr>
      <t>)</t>
    </r>
  </si>
  <si>
    <r>
      <t>DOKUMEN (</t>
    </r>
    <r>
      <rPr>
        <sz val="11"/>
        <color rgb="FFFF0000"/>
        <rFont val="Calibri"/>
        <family val="2"/>
        <scheme val="minor"/>
      </rPr>
      <t>URUTAN JGN DIUBAH</t>
    </r>
    <r>
      <rPr>
        <b/>
        <sz val="11"/>
        <color theme="1"/>
        <rFont val="Calibri"/>
        <family val="2"/>
        <scheme val="minor"/>
      </rPr>
      <t>)</t>
    </r>
  </si>
  <si>
    <t>00002731560820240418000065</t>
  </si>
  <si>
    <t>\\10.8.0.35\rpa$\RPA Excel Template\Accounting Finance\Santy\Kurs Dolar\Kurs Per Bulan\Kurs Dolar.xlsx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</si>
  <si>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Check Kurs</t>
    </r>
    <r>
      <rPr>
        <sz val="11"/>
        <color theme="4" tint="-0.499984740745262"/>
        <rFont val="Calibri"/>
        <family val="2"/>
        <scheme val="minor"/>
      </rPr>
      <t>)</t>
    </r>
  </si>
  <si>
    <r>
      <t>BARANG (</t>
    </r>
    <r>
      <rPr>
        <sz val="11"/>
        <color rgb="FFFF0000"/>
        <rFont val="Calibri"/>
        <family val="2"/>
        <scheme val="minor"/>
      </rPr>
      <t>URUTAN JGN DIUBAH</t>
    </r>
    <r>
      <rPr>
        <b/>
        <sz val="11"/>
        <color theme="1"/>
        <rFont val="Calibri"/>
        <family val="2"/>
        <scheme val="minor"/>
      </rPr>
      <t>)</t>
    </r>
  </si>
  <si>
    <r>
      <t>BARANG (</t>
    </r>
    <r>
      <rPr>
        <b/>
        <sz val="11"/>
        <color rgb="FFFF0000"/>
        <rFont val="Calibri"/>
        <family val="2"/>
        <scheme val="minor"/>
      </rPr>
      <t>HATI-HATI</t>
    </r>
    <r>
      <rPr>
        <b/>
        <sz val="11"/>
        <color theme="1"/>
        <rFont val="Calibri"/>
        <family val="2"/>
        <scheme val="minor"/>
      </rPr>
      <t>)</t>
    </r>
  </si>
  <si>
    <t>NAMA PENGANGKUT</t>
  </si>
  <si>
    <t>NOMOR PENGANGKUT</t>
  </si>
  <si>
    <t>BOX</t>
  </si>
  <si>
    <t>tidak ada nomor pengangkut</t>
  </si>
  <si>
    <t>box biasa</t>
  </si>
  <si>
    <r>
      <t>PENGANGKUT (</t>
    </r>
    <r>
      <rPr>
        <sz val="11"/>
        <color rgb="FFFF0000"/>
        <rFont val="Calibri"/>
        <family val="2"/>
        <scheme val="minor"/>
      </rPr>
      <t>URUTAN JGN DIUBAH</t>
    </r>
    <r>
      <rPr>
        <b/>
        <sz val="11"/>
        <color theme="1"/>
        <rFont val="Calibri"/>
        <family val="2"/>
        <scheme val="minor"/>
      </rPr>
      <t>)</t>
    </r>
  </si>
  <si>
    <t>TRANSFORM SATUAN TRANSAKSI</t>
  </si>
  <si>
    <t>JDE</t>
  </si>
  <si>
    <t>TPB</t>
  </si>
  <si>
    <t>MT</t>
  </si>
  <si>
    <t>MTR</t>
  </si>
  <si>
    <t>ROLL</t>
  </si>
  <si>
    <t>RO</t>
  </si>
  <si>
    <t>PC</t>
  </si>
  <si>
    <t>PCE</t>
  </si>
  <si>
    <t>PA</t>
  </si>
  <si>
    <t>PK</t>
  </si>
  <si>
    <t>GR</t>
  </si>
  <si>
    <t>GRO</t>
  </si>
  <si>
    <t>KG</t>
  </si>
  <si>
    <t>KGM</t>
  </si>
  <si>
    <t>DZ</t>
  </si>
  <si>
    <t>DZN</t>
  </si>
  <si>
    <t>RM</t>
  </si>
  <si>
    <t>LT</t>
  </si>
  <si>
    <t>LTR</t>
  </si>
  <si>
    <t>UNIT</t>
  </si>
  <si>
    <t>MA</t>
  </si>
  <si>
    <t>GM</t>
  </si>
  <si>
    <t>GRM</t>
  </si>
  <si>
    <t>ST</t>
  </si>
  <si>
    <t>SET</t>
  </si>
  <si>
    <t>BO</t>
  </si>
  <si>
    <t>BX</t>
  </si>
  <si>
    <t>CO</t>
  </si>
  <si>
    <t>CJ</t>
  </si>
  <si>
    <t>YD</t>
  </si>
  <si>
    <t>PACK</t>
  </si>
  <si>
    <t>RL</t>
  </si>
  <si>
    <t>RE</t>
  </si>
  <si>
    <t>REEL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</si>
  <si>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</si>
  <si>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</si>
  <si>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</si>
  <si>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</si>
  <si>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</si>
  <si>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</si>
  <si>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</si>
  <si>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</si>
  <si>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</si>
  <si>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</si>
  <si>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HARGA PEROLEHAN</t>
  </si>
  <si>
    <t>KODE DOKUMEN ASAL</t>
  </si>
  <si>
    <t>KODE KANTOR ASAL</t>
  </si>
  <si>
    <t>KODE ASAL BAHAN BAKU</t>
  </si>
  <si>
    <t>\\10.8.0.35\Bersama\DATA SHARING PART 2\INVOICE TRANSFER BAHAN BAKU DAN JADI\2024\16 FABRIC TINI GM2\INV 016 GM2 FABRIC MIYAMORI.xls</t>
  </si>
  <si>
    <t>\\10.8.0.35\Bersama\DATA SHARING PART 2\INVOICE TRANSFER BAHAN BAKU DAN JADI\2024\16 FABRIC TINI GM2\PEMINDAHTANGANAN KE GM2 KK 007.pdf</t>
  </si>
  <si>
    <t>NOMOR DOKUMEN</t>
  </si>
  <si>
    <t>TANGGAL DOKUMEN</t>
  </si>
  <si>
    <t>016/GGI/01/TRF/V/2024</t>
  </si>
  <si>
    <t>SERI BARANG</t>
  </si>
  <si>
    <t>HS</t>
  </si>
  <si>
    <t>KODE BARANG</t>
  </si>
  <si>
    <t>URAIAN</t>
  </si>
  <si>
    <t>KODE SATUAN</t>
  </si>
  <si>
    <t>JUMLAH SATUAN</t>
  </si>
  <si>
    <t>NETTO</t>
  </si>
  <si>
    <t>CIF</t>
  </si>
  <si>
    <t>BRUTO</t>
  </si>
  <si>
    <t>TOTAL CIF</t>
  </si>
  <si>
    <t>100%POLY BENTLEY A1,HKC1352A02T439, 142-143CM, COL FB, MIY</t>
  </si>
  <si>
    <t>IDR</t>
  </si>
  <si>
    <t>JML KMSN</t>
  </si>
  <si>
    <t>00005/PAKB/GG/IV/2024</t>
  </si>
  <si>
    <t>007/FABRIC/GGICLN/V/2024</t>
  </si>
  <si>
    <t>2024-06-30</t>
  </si>
  <si>
    <t>16113</t>
  </si>
  <si>
    <t>NOMOR DAFTAR ASAL</t>
  </si>
  <si>
    <t>TANGGAL DAFTAR ASAL</t>
  </si>
  <si>
    <t>NOMOR AJU ASAL</t>
  </si>
  <si>
    <t>SERI BARANG ASAL</t>
  </si>
  <si>
    <t>NDPBM</t>
  </si>
  <si>
    <t>HARGA PENYERAHAN</t>
  </si>
  <si>
    <t>2022-02-04</t>
  </si>
  <si>
    <t>05054000520520220204000580</t>
  </si>
  <si>
    <t>2024-05-24</t>
  </si>
  <si>
    <t>2024-04-17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</si>
</sst>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i/>
      <sz val="12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9F1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4" fillId="0" borderId="0"/>
  </cellStyleXfs>
  <cellXfs count="36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0" fillId="3" borderId="0" xfId="0" applyFont="1" applyFill="1" applyAlignment="1">
      <alignment horizontal="left" vertical="center"/>
    </xf>
    <xf numFmtId="0" fontId="1" fillId="0" borderId="0" xfId="0" applyFont="1" applyAlignment="1">
      <alignment horizontal="center"/>
    </xf>
    <xf numFmtId="15" fontId="0" fillId="0" borderId="0" xfId="0" applyNumberFormat="1" applyAlignment="1">
      <alignment horizontal="left"/>
    </xf>
    <xf numFmtId="0" fontId="0" fillId="4" borderId="0" xfId="0" applyFill="1"/>
    <xf numFmtId="0" fontId="0" fillId="0" borderId="0" xfId="0" applyAlignment="1">
      <alignment horizontal="center"/>
    </xf>
    <xf numFmtId="164" fontId="15" fillId="0" borderId="0" xfId="2" applyNumberFormat="1" applyFont="1"/>
    <xf numFmtId="164" fontId="16" fillId="0" borderId="0" xfId="0" applyNumberFormat="1" applyFont="1"/>
    <xf numFmtId="0" fontId="13" fillId="5" borderId="0" xfId="0" applyFont="1" applyFill="1" applyAlignment="1">
      <alignment horizontal="center"/>
    </xf>
    <xf numFmtId="0" fontId="18" fillId="0" borderId="0" xfId="0" applyFont="1"/>
    <xf numFmtId="49" fontId="0" fillId="0" borderId="0" xfId="0" applyNumberFormat="1"/>
    <xf numFmtId="0" fontId="11" fillId="6" borderId="0" xfId="0" applyFont="1" applyFill="1" applyAlignment="1">
      <alignment horizontal="left"/>
    </xf>
    <xf numFmtId="0" fontId="1" fillId="6" borderId="0" xfId="0" applyFont="1" applyFill="1"/>
    <xf numFmtId="0" fontId="2" fillId="6" borderId="0" xfId="1" applyFill="1"/>
    <xf numFmtId="0" fontId="0" fillId="6" borderId="0" xfId="0" applyFill="1"/>
    <xf numFmtId="0" fontId="21" fillId="0" borderId="0" xfId="0" applyFont="1"/>
    <xf numFmtId="0" fontId="13" fillId="7" borderId="8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10" fillId="3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center"/>
    </xf>
    <xf numFmtId="49" fontId="0" fillId="0" borderId="0" xfId="0" quotePrefix="1" applyNumberFormat="1"/>
  </cellXfs>
  <cellStyles count="3">
    <cellStyle name="Hyperlink" xfId="1" builtinId="8"/>
    <cellStyle name="Normal" xfId="0" builtinId="0"/>
    <cellStyle name="Normal 2" xfId="2" xr:uid="{81406CE2-45FF-4979-8198-6E4841B25CB6}"/>
  </cellStyles>
  <dxfs count="0"/>
  <tableStyles count="0" defaultTableStyle="TableStyleMedium2" defaultPivotStyle="PivotStyleLight16"/>
  <colors>
    <mruColors>
      <color rgb="FFC9F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 macro="[0]!OPE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4</xdr:col>
      <xdr:colOff>617884</xdr:colOff>
      <xdr:row>1</xdr:row>
      <xdr:rowOff>228600</xdr:rowOff>
    </xdr:from>
    <xdr:to>
      <xdr:col>4</xdr:col>
      <xdr:colOff>2819401</xdr:colOff>
      <xdr:row>6</xdr:row>
      <xdr:rowOff>200025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447059" y="381000"/>
          <a:ext cx="2201517" cy="876300"/>
          <a:chOff x="7700923" y="185659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00923" y="185659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OpenMainMenu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870101" y="266589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../../../../../../DATA%20SHARING%20PART%202/INVOICE%20TRANSFER%20BAHAN%20BAKU%20DAN%20JADI/2024/15%20FABRIC%20SUMI%20GM2/BPB%20PEMINDAHTANGANAN%20KE%20GM2%20KK%20019.pdf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Temp/Temp_DokBC27_Ceisa.xlsx" TargetMode="External"/><Relationship Id="rId1" Type="http://schemas.openxmlformats.org/officeDocument/2006/relationships/hyperlink" Target="../Bahan/INV%20015%20GM2%20FABRIC%20ADIDAS.xls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file:///\\10.8.0.35\rpa$\RPA%20Excel%20Template\Accounting%20Finance\Santy\Kurs%20Dolar\Kurs%20Per%20Bulan\Kurs%20Dolar.xlsx" TargetMode="External"/><Relationship Id="rId4" Type="http://schemas.openxmlformats.org/officeDocument/2006/relationships/hyperlink" Target="../Backup/Bahan/DATA%20DOK%20ADIDAS%20015.xls" TargetMode="External"/><Relationship Id="rId9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4"/>
  <sheetViews>
    <sheetView showGridLines="0" tabSelected="1" zoomScaleNormal="100" workbookViewId="0">
      <selection activeCell="C2" sqref="C2:F9"/>
    </sheetView>
  </sheetViews>
  <sheetFormatPr defaultRowHeight="15" x14ac:dyDescent="0.25"/>
  <cols>
    <col min="1" max="1" width="36.140625" customWidth="1"/>
    <col min="2" max="2" width="1.7109375" customWidth="1"/>
    <col min="3" max="3" width="34.5703125" customWidth="1"/>
    <col min="4" max="4" width="3" hidden="1" customWidth="1"/>
    <col min="5" max="5" width="46.28515625" customWidth="1"/>
    <col min="6" max="6" width="35.85546875" customWidth="1"/>
    <col min="7" max="7" width="1.7109375" customWidth="1"/>
    <col min="8" max="8" width="39.42578125" customWidth="1"/>
  </cols>
  <sheetData>
    <row r="1" spans="1:8" ht="12" customHeight="1" x14ac:dyDescent="0.25">
      <c r="C1" s="30" t="s">
        <v>5</v>
      </c>
      <c r="D1" s="30"/>
      <c r="E1" s="30"/>
      <c r="F1" s="30"/>
      <c r="G1" s="1"/>
    </row>
    <row r="2" spans="1:8" ht="26.25" customHeight="1" x14ac:dyDescent="0.25">
      <c r="C2" s="27" t="s">
        <v>6</v>
      </c>
      <c r="D2" s="27"/>
      <c r="E2" s="27"/>
      <c r="F2" s="27"/>
      <c r="G2" s="2" t="s">
        <v>0</v>
      </c>
    </row>
    <row r="3" spans="1:8" ht="12" customHeight="1" x14ac:dyDescent="0.25">
      <c r="C3" s="28"/>
      <c r="D3" s="28"/>
      <c r="E3" s="28"/>
      <c r="F3" s="28"/>
      <c r="G3" s="2"/>
    </row>
    <row r="4" spans="1:8" ht="12" customHeight="1" x14ac:dyDescent="0.25">
      <c r="C4" s="28"/>
      <c r="D4" s="28"/>
      <c r="E4" s="28"/>
      <c r="F4" s="28"/>
      <c r="G4" s="2"/>
    </row>
    <row r="5" spans="1:8" ht="18" customHeight="1" x14ac:dyDescent="0.25">
      <c r="B5" s="3"/>
      <c r="C5" s="28"/>
      <c r="D5" s="28"/>
      <c r="E5" s="28"/>
      <c r="F5" s="28"/>
      <c r="G5" s="4"/>
    </row>
    <row r="6" spans="1:8" ht="3" customHeight="1" x14ac:dyDescent="0.25">
      <c r="A6" s="13"/>
      <c r="C6" s="28"/>
      <c r="D6" s="28"/>
      <c r="E6" s="28"/>
      <c r="F6" s="28"/>
      <c r="H6" s="13"/>
    </row>
    <row r="7" spans="1:8" ht="18" customHeight="1" x14ac:dyDescent="0.25">
      <c r="B7" s="5"/>
      <c r="C7" s="28"/>
      <c r="D7" s="28"/>
      <c r="E7" s="28"/>
      <c r="F7" s="28"/>
      <c r="G7" s="6"/>
    </row>
    <row r="8" spans="1:8" ht="12" customHeight="1" x14ac:dyDescent="0.25">
      <c r="C8" s="28"/>
      <c r="D8" s="28"/>
      <c r="E8" s="28"/>
      <c r="F8" s="28"/>
      <c r="G8" s="2"/>
    </row>
    <row r="9" spans="1:8" ht="6.75" customHeight="1" x14ac:dyDescent="0.25">
      <c r="A9" s="31"/>
      <c r="B9" s="31"/>
      <c r="C9" s="29"/>
      <c r="D9" s="29"/>
      <c r="E9" s="29"/>
      <c r="F9" s="29"/>
      <c r="G9" s="2"/>
    </row>
    <row r="10" spans="1:8" ht="18" customHeight="1" x14ac:dyDescent="0.25">
      <c r="A10" s="31"/>
      <c r="B10" s="31"/>
      <c r="C10" s="32" t="s">
        <v>4</v>
      </c>
      <c r="D10" s="32"/>
      <c r="E10" s="32"/>
      <c r="F10" s="32"/>
      <c r="G10" s="2"/>
    </row>
    <row r="11" spans="1:8" ht="15.75" x14ac:dyDescent="0.25">
      <c r="C11" s="7" t="s">
        <v>1</v>
      </c>
      <c r="D11" s="33" t="s">
        <v>2</v>
      </c>
      <c r="E11" s="33"/>
      <c r="F11" s="10" t="s">
        <v>3</v>
      </c>
      <c r="G11" s="2"/>
    </row>
    <row r="12" spans="1:8" x14ac:dyDescent="0.25">
      <c r="C12" s="9" t="s">
        <v>71</v>
      </c>
      <c r="D12" s="2" t="s">
        <v>0</v>
      </c>
      <c r="E12" s="19" t="s">
        <v>87</v>
      </c>
      <c r="F12" s="19"/>
      <c r="G12" s="2" t="s">
        <v>0</v>
      </c>
    </row>
    <row r="13" spans="1:8" x14ac:dyDescent="0.25">
      <c r="C13" s="9" t="s">
        <v>7</v>
      </c>
      <c r="D13" s="11" t="s">
        <v>0</v>
      </c>
      <c r="E13" s="8" t="s">
        <v>147</v>
      </c>
      <c r="G13" s="2" t="s">
        <v>0</v>
      </c>
    </row>
    <row r="14" spans="1:8" x14ac:dyDescent="0.25">
      <c r="C14" s="9" t="s">
        <v>78</v>
      </c>
      <c r="D14" s="2"/>
      <c r="E14" s="8" t="s">
        <v>83</v>
      </c>
      <c r="G14" s="2" t="s">
        <v>0</v>
      </c>
    </row>
    <row r="15" spans="1:8" x14ac:dyDescent="0.25">
      <c r="C15" s="9" t="s">
        <v>84</v>
      </c>
      <c r="D15" s="21"/>
      <c r="E15" s="8" t="s">
        <v>148</v>
      </c>
      <c r="F15" s="23"/>
      <c r="G15" s="2" t="s">
        <v>0</v>
      </c>
    </row>
    <row r="16" spans="1:8" x14ac:dyDescent="0.25">
      <c r="C16" s="9" t="s">
        <v>89</v>
      </c>
      <c r="D16" s="21"/>
      <c r="E16" s="8" t="s">
        <v>88</v>
      </c>
      <c r="F16" s="23"/>
      <c r="G16" s="2" t="s">
        <v>0</v>
      </c>
    </row>
    <row r="17" spans="3:7" x14ac:dyDescent="0.25">
      <c r="C17" s="20" t="s">
        <v>72</v>
      </c>
      <c r="D17" s="21"/>
      <c r="E17" s="22" t="s">
        <v>8</v>
      </c>
      <c r="F17" s="23"/>
      <c r="G17" s="2" t="s">
        <v>0</v>
      </c>
    </row>
    <row r="18" spans="3:7" x14ac:dyDescent="0.25">
      <c r="C18" s="20"/>
      <c r="D18" s="21"/>
      <c r="E18" s="22"/>
      <c r="F18" s="23"/>
      <c r="G18" s="2"/>
    </row>
    <row r="19" spans="3:7" x14ac:dyDescent="0.25">
      <c r="C19" s="9"/>
      <c r="D19" s="9"/>
      <c r="E19" s="12"/>
      <c r="F19" s="19"/>
      <c r="G19" s="2" t="s">
        <v>0</v>
      </c>
    </row>
    <row r="20" spans="3:7" ht="1.5" customHeight="1" x14ac:dyDescent="0.25">
      <c r="C20" s="26"/>
      <c r="D20" s="26"/>
      <c r="E20" s="26"/>
      <c r="F20" s="26"/>
      <c r="G20" s="2"/>
    </row>
    <row r="21" spans="3:7" x14ac:dyDescent="0.25">
      <c r="G21" s="2"/>
    </row>
    <row r="22" spans="3:7" x14ac:dyDescent="0.25">
      <c r="G22" s="2"/>
    </row>
    <row r="23" spans="3:7" x14ac:dyDescent="0.25">
      <c r="C23" s="9"/>
      <c r="D23" s="2"/>
      <c r="G23" s="2" t="s">
        <v>0</v>
      </c>
    </row>
    <row r="24" spans="3:7" x14ac:dyDescent="0.25">
      <c r="G24" s="2"/>
    </row>
    <row r="25" spans="3:7" x14ac:dyDescent="0.25">
      <c r="G25" s="2"/>
    </row>
    <row r="26" spans="3:7" x14ac:dyDescent="0.25">
      <c r="G26" s="2"/>
    </row>
    <row r="27" spans="3:7" x14ac:dyDescent="0.25">
      <c r="G27" s="2"/>
    </row>
    <row r="28" spans="3:7" x14ac:dyDescent="0.25">
      <c r="G28" s="2"/>
    </row>
    <row r="29" spans="3:7" x14ac:dyDescent="0.25">
      <c r="G29" s="2"/>
    </row>
    <row r="30" spans="3:7" x14ac:dyDescent="0.25">
      <c r="G30" s="2"/>
    </row>
    <row r="31" spans="3:7" x14ac:dyDescent="0.25">
      <c r="G31" s="2"/>
    </row>
    <row r="32" spans="3:7" x14ac:dyDescent="0.25">
      <c r="G32" s="2"/>
    </row>
    <row r="33" spans="7:7" x14ac:dyDescent="0.25">
      <c r="G33" s="2"/>
    </row>
    <row r="34" spans="7:7" x14ac:dyDescent="0.25">
      <c r="G34" s="2"/>
    </row>
  </sheetData>
  <mergeCells count="6">
    <mergeCell ref="C20:F20"/>
    <mergeCell ref="C2:F9"/>
    <mergeCell ref="C1:F1"/>
    <mergeCell ref="A9:B10"/>
    <mergeCell ref="C10:F10"/>
    <mergeCell ref="D11:E11"/>
  </mergeCells>
  <hyperlinks>
    <hyperlink ref="E13" r:id="rId1" display="\\10.8.0.35\Bersama\path file\MACRO_RPA - Pembuatan Dokumen di CEISA 4.0\BC 27K\PEMINDAHTANGANAN\Backup\Bahan\INV 015 GM2 FABRIC ADIDAS.xls" xr:uid="{BAE8CCAE-5556-4EBA-A156-C613290639F4}"/>
    <hyperlink ref="E17" r:id="rId2" xr:uid="{3E9DA8D4-16F7-4695-BC1C-5DB1A5202DD7}"/>
    <hyperlink ref="E14" r:id="rId3" xr:uid="{2F0BC611-CB2D-4A63-A9EC-5D75D8A7E700}"/>
    <hyperlink ref="E15" r:id="rId4" display="\\10.8.0.35\Bersama\path file\MACRO_RPA - Pembuatan Dokumen di CEISA 4.0\BC 27K\PEMINDAHTANGANAN\Backup\Bahan\DATA DOK ADIDAS 015.xls" xr:uid="{B6EC38FB-43D7-40F1-A5B0-AB9EA52AD9D7}"/>
    <hyperlink ref="E16" r:id="rId5" xr:uid="{A23720B6-CFBF-4136-9C62-D91E98DB088A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2050" r:id="rId8" name="btn_OpenMainMenu">
          <controlPr defaultSize="0" autoLine="0" r:id="rId9">
            <anchor moveWithCells="1">
              <from>
                <xdr:col>4</xdr:col>
                <xdr:colOff>838200</xdr:colOff>
                <xdr:row>2</xdr:row>
                <xdr:rowOff>57150</xdr:rowOff>
              </from>
              <to>
                <xdr:col>4</xdr:col>
                <xdr:colOff>2600325</xdr:colOff>
                <xdr:row>5</xdr:row>
                <xdr:rowOff>19050</xdr:rowOff>
              </to>
            </anchor>
          </controlPr>
        </control>
      </mc:Choice>
      <mc:Fallback>
        <control shapeId="2050" r:id="rId8" name="btn_OpenMainMen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02EB-AC17-4981-A058-A7C0072FA426}">
  <sheetPr codeName="Sheet2"/>
  <dimension ref="A1:AE15"/>
  <sheetViews>
    <sheetView workbookViewId="0">
      <selection activeCell="C9" sqref="C9"/>
    </sheetView>
  </sheetViews>
  <sheetFormatPr defaultRowHeight="15" x14ac:dyDescent="0.25"/>
  <cols>
    <col min="1" max="1" width="37.140625" bestFit="1" customWidth="1"/>
    <col min="2" max="2" width="18.140625" bestFit="1" customWidth="1"/>
    <col min="3" max="3" width="28.85546875" bestFit="1" customWidth="1"/>
    <col min="4" max="4" width="2.5703125" customWidth="1"/>
    <col min="5" max="5" width="4.7109375" style="14" bestFit="1" customWidth="1"/>
    <col min="6" max="6" width="16" bestFit="1" customWidth="1"/>
    <col min="7" max="7" width="29.85546875" bestFit="1" customWidth="1"/>
    <col min="8" max="8" width="3" customWidth="1"/>
    <col min="9" max="9" width="18.5703125" bestFit="1" customWidth="1"/>
    <col min="10" max="10" width="6.85546875" bestFit="1" customWidth="1"/>
    <col min="11" max="11" width="19.42578125" bestFit="1" customWidth="1"/>
    <col min="12" max="12" width="6.5703125" customWidth="1"/>
    <col min="13" max="13" width="5.5703125" customWidth="1"/>
    <col min="14" max="14" width="15.28515625" bestFit="1" customWidth="1"/>
    <col min="15" max="15" width="23.28515625" bestFit="1" customWidth="1"/>
    <col min="16" max="16" width="20" bestFit="1" customWidth="1"/>
    <col min="17" max="17" width="26.28515625" bestFit="1" customWidth="1"/>
    <col min="18" max="18" width="56.140625" customWidth="1"/>
    <col min="19" max="19" width="14.140625" bestFit="1" customWidth="1"/>
    <col min="20" max="20" width="16.140625" bestFit="1" customWidth="1"/>
    <col min="21" max="21" width="14.5703125" bestFit="1" customWidth="1"/>
    <col min="22" max="22" width="24.85546875" customWidth="1"/>
    <col min="23" max="23" width="23.5703125" bestFit="1" customWidth="1"/>
    <col min="24" max="24" width="7" customWidth="1"/>
    <col min="25" max="25" width="21.140625" bestFit="1" customWidth="1"/>
    <col min="27" max="27" width="27.85546875" bestFit="1" customWidth="1"/>
    <col min="28" max="28" width="6.85546875" customWidth="1"/>
    <col min="29" max="29" width="23.28515625" bestFit="1" customWidth="1"/>
    <col min="31" max="31" width="27.85546875" bestFit="1" customWidth="1"/>
  </cols>
  <sheetData>
    <row r="1" spans="1:31" x14ac:dyDescent="0.25">
      <c r="A1" s="34" t="s">
        <v>85</v>
      </c>
      <c r="B1" s="34"/>
      <c r="C1" s="34"/>
      <c r="E1" s="34" t="s">
        <v>86</v>
      </c>
      <c r="F1" s="34"/>
      <c r="G1" s="34"/>
      <c r="I1" s="34" t="s">
        <v>90</v>
      </c>
      <c r="J1" s="34"/>
      <c r="K1" s="34"/>
      <c r="M1" s="34" t="s">
        <v>91</v>
      </c>
      <c r="N1" s="34"/>
      <c r="O1" s="34"/>
      <c r="P1" s="34"/>
      <c r="Q1" s="34"/>
      <c r="R1" s="34"/>
      <c r="S1" s="34"/>
      <c r="T1" s="34"/>
      <c r="U1" s="34"/>
      <c r="V1" s="34"/>
      <c r="W1" s="34"/>
      <c r="Y1" s="34" t="s">
        <v>97</v>
      </c>
      <c r="Z1" s="34"/>
      <c r="AA1" s="34"/>
      <c r="AC1" s="34" t="s">
        <v>97</v>
      </c>
      <c r="AD1" s="34"/>
      <c r="AE1" s="34"/>
    </row>
    <row r="2" spans="1:31" ht="15.75" x14ac:dyDescent="0.25">
      <c r="A2" s="17" t="s">
        <v>61</v>
      </c>
      <c r="B2" s="17" t="s">
        <v>62</v>
      </c>
      <c r="C2" s="17" t="s">
        <v>63</v>
      </c>
      <c r="E2" s="17" t="s">
        <v>29</v>
      </c>
      <c r="F2" s="17" t="s">
        <v>9</v>
      </c>
      <c r="G2" s="17" t="s">
        <v>63</v>
      </c>
      <c r="I2" s="17" t="s">
        <v>61</v>
      </c>
      <c r="J2" s="17" t="s">
        <v>62</v>
      </c>
      <c r="K2" s="17" t="s">
        <v>63</v>
      </c>
      <c r="M2" s="15" t="s">
        <v>29</v>
      </c>
      <c r="N2" s="15" t="s">
        <v>34</v>
      </c>
      <c r="O2" s="15" t="s">
        <v>35</v>
      </c>
      <c r="P2" s="15" t="s">
        <v>36</v>
      </c>
      <c r="Q2" s="15" t="s">
        <v>37</v>
      </c>
      <c r="R2" s="15" t="s">
        <v>38</v>
      </c>
      <c r="S2" s="15" t="s">
        <v>39</v>
      </c>
      <c r="T2" s="15" t="s">
        <v>40</v>
      </c>
      <c r="U2" s="15" t="s">
        <v>41</v>
      </c>
      <c r="V2" s="15" t="s">
        <v>42</v>
      </c>
      <c r="W2" s="15" t="s">
        <v>43</v>
      </c>
      <c r="Y2" s="17" t="s">
        <v>61</v>
      </c>
      <c r="Z2" s="17" t="s">
        <v>62</v>
      </c>
      <c r="AA2" s="17" t="s">
        <v>63</v>
      </c>
      <c r="AC2" s="17" t="s">
        <v>61</v>
      </c>
      <c r="AD2" s="17" t="s">
        <v>62</v>
      </c>
      <c r="AE2" s="17" t="s">
        <v>63</v>
      </c>
    </row>
    <row r="3" spans="1:31" x14ac:dyDescent="0.25">
      <c r="A3" t="s">
        <v>9</v>
      </c>
      <c r="B3">
        <v>27</v>
      </c>
      <c r="C3" s="18" t="s">
        <v>64</v>
      </c>
      <c r="E3" s="14">
        <v>1</v>
      </c>
      <c r="F3" t="s">
        <v>30</v>
      </c>
      <c r="G3" s="18" t="s">
        <v>73</v>
      </c>
      <c r="I3" t="s">
        <v>24</v>
      </c>
      <c r="J3" t="s">
        <v>0</v>
      </c>
      <c r="K3" s="18" t="s">
        <v>79</v>
      </c>
      <c r="M3" t="s">
        <v>44</v>
      </c>
      <c r="N3" t="s">
        <v>44</v>
      </c>
      <c r="O3" t="s">
        <v>45</v>
      </c>
      <c r="P3" t="s">
        <v>46</v>
      </c>
      <c r="Q3" t="s">
        <v>47</v>
      </c>
      <c r="R3" t="s">
        <v>48</v>
      </c>
      <c r="S3" t="s">
        <v>49</v>
      </c>
      <c r="V3" t="s">
        <v>50</v>
      </c>
      <c r="W3" t="s">
        <v>51</v>
      </c>
      <c r="Y3" t="s">
        <v>92</v>
      </c>
      <c r="Z3" t="s">
        <v>94</v>
      </c>
      <c r="AA3" s="18" t="s">
        <v>96</v>
      </c>
      <c r="AC3" t="s">
        <v>144</v>
      </c>
      <c r="AD3">
        <v>27</v>
      </c>
      <c r="AE3" s="18"/>
    </row>
    <row r="4" spans="1:31" ht="15.75" x14ac:dyDescent="0.25">
      <c r="A4" s="16" t="s">
        <v>10</v>
      </c>
      <c r="B4" t="s">
        <v>12</v>
      </c>
      <c r="C4" s="18" t="s">
        <v>65</v>
      </c>
      <c r="E4" s="14">
        <v>2</v>
      </c>
      <c r="F4" t="s">
        <v>31</v>
      </c>
      <c r="G4" s="18" t="s">
        <v>74</v>
      </c>
      <c r="I4" t="s">
        <v>25</v>
      </c>
      <c r="J4" t="s">
        <v>0</v>
      </c>
      <c r="K4" s="18" t="s">
        <v>80</v>
      </c>
      <c r="M4" t="s">
        <v>52</v>
      </c>
      <c r="N4" t="s">
        <v>52</v>
      </c>
      <c r="O4" t="s">
        <v>45</v>
      </c>
      <c r="P4" t="s">
        <v>46</v>
      </c>
      <c r="Q4" t="s">
        <v>47</v>
      </c>
      <c r="R4" t="s">
        <v>48</v>
      </c>
      <c r="T4" t="s">
        <v>53</v>
      </c>
      <c r="U4" t="s">
        <v>54</v>
      </c>
      <c r="V4" t="s">
        <v>55</v>
      </c>
      <c r="W4" t="s">
        <v>56</v>
      </c>
      <c r="Y4" t="s">
        <v>93</v>
      </c>
      <c r="Z4" t="s">
        <v>0</v>
      </c>
      <c r="AA4" s="18" t="s">
        <v>95</v>
      </c>
      <c r="AC4" t="s">
        <v>145</v>
      </c>
      <c r="AD4" t="s">
        <v>14</v>
      </c>
      <c r="AE4" s="18"/>
    </row>
    <row r="5" spans="1:31" ht="15.75" x14ac:dyDescent="0.25">
      <c r="A5" s="16" t="s">
        <v>13</v>
      </c>
      <c r="B5" t="s">
        <v>14</v>
      </c>
      <c r="C5" s="18" t="s">
        <v>66</v>
      </c>
      <c r="E5" s="14">
        <v>3</v>
      </c>
      <c r="F5" t="s">
        <v>32</v>
      </c>
      <c r="G5" s="18" t="s">
        <v>75</v>
      </c>
      <c r="I5" t="s">
        <v>26</v>
      </c>
      <c r="J5" t="s">
        <v>0</v>
      </c>
      <c r="K5" s="18" t="s">
        <v>81</v>
      </c>
      <c r="M5" t="s">
        <v>57</v>
      </c>
      <c r="N5" t="s">
        <v>57</v>
      </c>
      <c r="O5" t="s">
        <v>45</v>
      </c>
      <c r="P5" t="s">
        <v>46</v>
      </c>
      <c r="Q5" t="s">
        <v>47</v>
      </c>
      <c r="R5" t="s">
        <v>58</v>
      </c>
      <c r="S5" t="s">
        <v>49</v>
      </c>
      <c r="T5" t="s">
        <v>53</v>
      </c>
      <c r="U5" t="s">
        <v>54</v>
      </c>
      <c r="V5" t="s">
        <v>59</v>
      </c>
      <c r="W5" t="s">
        <v>60</v>
      </c>
      <c r="AA5" s="18"/>
      <c r="AC5" t="s">
        <v>146</v>
      </c>
      <c r="AD5">
        <v>1</v>
      </c>
    </row>
    <row r="6" spans="1:31" ht="15.75" x14ac:dyDescent="0.25">
      <c r="A6" s="16" t="s">
        <v>69</v>
      </c>
      <c r="B6">
        <v>1</v>
      </c>
      <c r="C6" s="18" t="s">
        <v>67</v>
      </c>
      <c r="E6" s="14">
        <v>4</v>
      </c>
      <c r="F6" t="s">
        <v>33</v>
      </c>
      <c r="G6" s="18" t="s">
        <v>76</v>
      </c>
      <c r="I6" t="s">
        <v>27</v>
      </c>
      <c r="J6" t="s">
        <v>0</v>
      </c>
      <c r="K6" s="18" t="s">
        <v>82</v>
      </c>
      <c r="AA6" s="18"/>
    </row>
    <row r="7" spans="1:31" ht="15.75" x14ac:dyDescent="0.25">
      <c r="A7" s="16" t="s">
        <v>15</v>
      </c>
      <c r="B7">
        <v>4</v>
      </c>
      <c r="C7" s="18" t="s">
        <v>68</v>
      </c>
      <c r="E7" s="14">
        <v>5</v>
      </c>
      <c r="F7" t="s">
        <v>11</v>
      </c>
      <c r="G7" s="18" t="s">
        <v>77</v>
      </c>
      <c r="I7" t="s">
        <v>143</v>
      </c>
      <c r="J7">
        <v>0</v>
      </c>
      <c r="K7" s="18"/>
    </row>
    <row r="8" spans="1:31" ht="15.75" x14ac:dyDescent="0.25">
      <c r="A8" s="16" t="s">
        <v>70</v>
      </c>
      <c r="B8">
        <v>1</v>
      </c>
      <c r="C8" s="18" t="s">
        <v>67</v>
      </c>
      <c r="K8" s="18"/>
    </row>
    <row r="9" spans="1:31" ht="15.75" x14ac:dyDescent="0.25">
      <c r="A9" s="16" t="s">
        <v>16</v>
      </c>
      <c r="B9" t="s">
        <v>20</v>
      </c>
      <c r="K9" s="18"/>
    </row>
    <row r="10" spans="1:31" ht="15.75" x14ac:dyDescent="0.25">
      <c r="A10" s="16" t="s">
        <v>17</v>
      </c>
      <c r="B10" t="s">
        <v>21</v>
      </c>
      <c r="K10" s="18"/>
    </row>
    <row r="11" spans="1:31" ht="15.75" x14ac:dyDescent="0.25">
      <c r="A11" s="16" t="s">
        <v>18</v>
      </c>
      <c r="B11" t="s">
        <v>22</v>
      </c>
      <c r="K11" s="18"/>
    </row>
    <row r="12" spans="1:31" ht="15.75" x14ac:dyDescent="0.25">
      <c r="A12" s="16" t="s">
        <v>19</v>
      </c>
      <c r="B12" t="s">
        <v>163</v>
      </c>
      <c r="K12" s="18"/>
    </row>
    <row r="13" spans="1:31" x14ac:dyDescent="0.25">
      <c r="A13" t="s">
        <v>23</v>
      </c>
      <c r="B13">
        <v>11</v>
      </c>
      <c r="K13" s="18"/>
    </row>
    <row r="14" spans="1:31" x14ac:dyDescent="0.25">
      <c r="K14" s="18"/>
    </row>
    <row r="15" spans="1:31" x14ac:dyDescent="0.25">
      <c r="K15" s="18"/>
    </row>
  </sheetData>
  <mergeCells count="6">
    <mergeCell ref="AC1:AE1"/>
    <mergeCell ref="A1:C1"/>
    <mergeCell ref="E1:G1"/>
    <mergeCell ref="I1:K1"/>
    <mergeCell ref="M1:W1"/>
    <mergeCell ref="Y1:AA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ABADF-1545-43E5-9BEF-AEE61CBAC0BC}">
  <sheetPr codeName="Sheet1"/>
  <dimension ref="A4:B31"/>
  <sheetViews>
    <sheetView topLeftCell="A4" workbookViewId="0">
      <selection activeCell="A5" sqref="A5"/>
    </sheetView>
  </sheetViews>
  <sheetFormatPr defaultRowHeight="15" x14ac:dyDescent="0.25"/>
  <cols>
    <col min="2" max="2" width="10.5703125" customWidth="1"/>
  </cols>
  <sheetData>
    <row r="4" spans="1:2" x14ac:dyDescent="0.25">
      <c r="A4" s="24" t="s">
        <v>98</v>
      </c>
    </row>
    <row r="5" spans="1:2" x14ac:dyDescent="0.25">
      <c r="A5" s="25" t="s">
        <v>99</v>
      </c>
      <c r="B5" s="25" t="s">
        <v>100</v>
      </c>
    </row>
    <row r="6" spans="1:2" x14ac:dyDescent="0.25">
      <c r="A6" t="s">
        <v>101</v>
      </c>
      <c r="B6" t="s">
        <v>102</v>
      </c>
    </row>
    <row r="7" spans="1:2" x14ac:dyDescent="0.25">
      <c r="A7" t="s">
        <v>103</v>
      </c>
      <c r="B7" t="s">
        <v>104</v>
      </c>
    </row>
    <row r="8" spans="1:2" x14ac:dyDescent="0.25">
      <c r="A8" t="s">
        <v>105</v>
      </c>
      <c r="B8" t="s">
        <v>106</v>
      </c>
    </row>
    <row r="9" spans="1:2" x14ac:dyDescent="0.25">
      <c r="A9" t="s">
        <v>107</v>
      </c>
      <c r="B9" t="s">
        <v>108</v>
      </c>
    </row>
    <row r="10" spans="1:2" x14ac:dyDescent="0.25">
      <c r="A10" t="s">
        <v>109</v>
      </c>
      <c r="B10" t="s">
        <v>110</v>
      </c>
    </row>
    <row r="11" spans="1:2" x14ac:dyDescent="0.25">
      <c r="A11" t="s">
        <v>111</v>
      </c>
      <c r="B11" t="s">
        <v>112</v>
      </c>
    </row>
    <row r="12" spans="1:2" x14ac:dyDescent="0.25">
      <c r="A12" t="s">
        <v>113</v>
      </c>
      <c r="B12" t="s">
        <v>114</v>
      </c>
    </row>
    <row r="13" spans="1:2" x14ac:dyDescent="0.25">
      <c r="A13" t="s">
        <v>115</v>
      </c>
      <c r="B13" t="s">
        <v>115</v>
      </c>
    </row>
    <row r="14" spans="1:2" x14ac:dyDescent="0.25">
      <c r="A14" t="s">
        <v>116</v>
      </c>
      <c r="B14" t="s">
        <v>117</v>
      </c>
    </row>
    <row r="15" spans="1:2" x14ac:dyDescent="0.25">
      <c r="A15" t="s">
        <v>118</v>
      </c>
      <c r="B15" t="s">
        <v>119</v>
      </c>
    </row>
    <row r="16" spans="1:2" x14ac:dyDescent="0.25">
      <c r="A16" t="s">
        <v>120</v>
      </c>
      <c r="B16" t="s">
        <v>121</v>
      </c>
    </row>
    <row r="17" spans="1:2" x14ac:dyDescent="0.25">
      <c r="A17" t="s">
        <v>122</v>
      </c>
      <c r="B17" t="s">
        <v>123</v>
      </c>
    </row>
    <row r="18" spans="1:2" x14ac:dyDescent="0.25">
      <c r="A18" t="s">
        <v>124</v>
      </c>
      <c r="B18" t="s">
        <v>125</v>
      </c>
    </row>
    <row r="19" spans="1:2" x14ac:dyDescent="0.25">
      <c r="A19" t="s">
        <v>126</v>
      </c>
      <c r="B19" t="s">
        <v>127</v>
      </c>
    </row>
    <row r="20" spans="1:2" x14ac:dyDescent="0.25">
      <c r="A20" t="s">
        <v>128</v>
      </c>
      <c r="B20" t="s">
        <v>28</v>
      </c>
    </row>
    <row r="21" spans="1:2" x14ac:dyDescent="0.25">
      <c r="A21" t="s">
        <v>94</v>
      </c>
      <c r="B21" t="s">
        <v>125</v>
      </c>
    </row>
    <row r="22" spans="1:2" x14ac:dyDescent="0.25">
      <c r="A22" t="s">
        <v>129</v>
      </c>
      <c r="B22" t="s">
        <v>107</v>
      </c>
    </row>
    <row r="23" spans="1:2" x14ac:dyDescent="0.25">
      <c r="A23" t="s">
        <v>130</v>
      </c>
      <c r="B23" t="s">
        <v>104</v>
      </c>
    </row>
    <row r="24" spans="1:2" x14ac:dyDescent="0.25">
      <c r="A24" t="s">
        <v>131</v>
      </c>
      <c r="B24" t="s">
        <v>132</v>
      </c>
    </row>
    <row r="25" spans="1:2" x14ac:dyDescent="0.25">
      <c r="A25" t="s">
        <v>133</v>
      </c>
      <c r="B25" t="s">
        <v>134</v>
      </c>
    </row>
    <row r="26" spans="1:2" x14ac:dyDescent="0.25">
      <c r="A26" t="s">
        <v>135</v>
      </c>
      <c r="B26" t="s">
        <v>136</v>
      </c>
    </row>
    <row r="27" spans="1:2" x14ac:dyDescent="0.25">
      <c r="A27" t="s">
        <v>137</v>
      </c>
      <c r="B27" t="s">
        <v>138</v>
      </c>
    </row>
    <row r="28" spans="1:2" x14ac:dyDescent="0.25">
      <c r="A28" t="s">
        <v>139</v>
      </c>
      <c r="B28" t="s">
        <v>124</v>
      </c>
    </row>
    <row r="29" spans="1:2" x14ac:dyDescent="0.25">
      <c r="A29" t="s">
        <v>140</v>
      </c>
      <c r="B29" t="s">
        <v>141</v>
      </c>
    </row>
    <row r="30" spans="1:2" x14ac:dyDescent="0.25">
      <c r="A30" t="s">
        <v>125</v>
      </c>
      <c r="B30" t="s">
        <v>125</v>
      </c>
    </row>
    <row r="31" spans="1:2" x14ac:dyDescent="0.25">
      <c r="A31" t="s">
        <v>142</v>
      </c>
      <c r="B31" t="s">
        <v>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B5D1-193D-4FA5-9019-51BF220E9EF9}">
  <sheetPr codeName="Sheet28"/>
  <dimension ref="A1:AH12"/>
  <sheetViews>
    <sheetView topLeftCell="T1" workbookViewId="0">
      <selection activeCell="Y17" sqref="Y17"/>
    </sheetView>
  </sheetViews>
  <sheetFormatPr defaultRowHeight="15" x14ac:dyDescent="0.25"/>
  <cols>
    <col min="28" max="28" width="20.7109375" bestFit="1" customWidth="1"/>
    <col min="29" max="29" width="22.140625" bestFit="1" customWidth="1"/>
    <col min="30" max="30" width="27.5703125" bestFit="1" customWidth="1"/>
    <col min="31" max="31" width="17.85546875" bestFit="1" customWidth="1"/>
    <col min="32" max="32" width="7.7109375" bestFit="1" customWidth="1"/>
    <col min="33" max="33" width="9.7109375" bestFit="1" customWidth="1"/>
  </cols>
  <sheetData>
    <row r="1" spans="1:34" x14ac:dyDescent="0.25">
      <c r="A1" t="s">
        <v>29</v>
      </c>
      <c r="B1" t="s">
        <v>9</v>
      </c>
      <c r="C1" t="s">
        <v>149</v>
      </c>
      <c r="D1" t="s">
        <v>150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160</v>
      </c>
      <c r="O1" t="s">
        <v>161</v>
      </c>
      <c r="S1" t="s">
        <v>164</v>
      </c>
      <c r="U1" t="s">
        <v>153</v>
      </c>
      <c r="V1" t="s">
        <v>154</v>
      </c>
      <c r="W1" t="s">
        <v>155</v>
      </c>
      <c r="X1" t="s">
        <v>156</v>
      </c>
      <c r="Y1" t="s">
        <v>157</v>
      </c>
      <c r="Z1" t="s">
        <v>144</v>
      </c>
      <c r="AA1" t="s">
        <v>145</v>
      </c>
      <c r="AB1" t="s">
        <v>169</v>
      </c>
      <c r="AC1" t="s">
        <v>170</v>
      </c>
      <c r="AD1" t="s">
        <v>171</v>
      </c>
      <c r="AE1" t="s">
        <v>172</v>
      </c>
      <c r="AF1" t="s">
        <v>173</v>
      </c>
      <c r="AG1" t="s">
        <v>161</v>
      </c>
      <c r="AH1" t="s">
        <v>174</v>
      </c>
    </row>
    <row r="2" spans="1:34" x14ac:dyDescent="0.25">
      <c r="A2">
        <v>1</v>
      </c>
      <c r="B2">
        <v>380</v>
      </c>
      <c r="C2" t="s">
        <v>151</v>
      </c>
      <c r="D2" s="19" t="s">
        <v>177</v>
      </c>
      <c r="F2">
        <v>1</v>
      </c>
      <c r="G2">
        <v>60063220</v>
      </c>
      <c r="H2">
        <v>263099</v>
      </c>
      <c r="I2" t="s">
        <v>162</v>
      </c>
      <c r="J2" t="s">
        <v>102</v>
      </c>
      <c r="K2">
        <v>22.5</v>
      </c>
      <c r="L2">
        <v>3.1500000000000004</v>
      </c>
      <c r="N2">
        <v>3.16</v>
      </c>
      <c r="O2">
        <v>0</v>
      </c>
      <c r="S2">
        <v>1</v>
      </c>
      <c r="U2">
        <v>60063220</v>
      </c>
      <c r="V2">
        <v>263099</v>
      </c>
      <c r="W2" t="s">
        <v>162</v>
      </c>
      <c r="X2" t="s">
        <v>102</v>
      </c>
      <c r="Y2">
        <v>22.5</v>
      </c>
      <c r="Z2">
        <v>27</v>
      </c>
      <c r="AA2" t="s">
        <v>14</v>
      </c>
      <c r="AB2">
        <v>16113</v>
      </c>
      <c r="AC2" s="19" t="s">
        <v>175</v>
      </c>
      <c r="AD2" t="s">
        <v>176</v>
      </c>
      <c r="AE2">
        <v>1</v>
      </c>
      <c r="AF2">
        <v>16042</v>
      </c>
      <c r="AG2">
        <v>1751202</v>
      </c>
      <c r="AH2">
        <f>AF2*AG2</f>
        <v>28092782484</v>
      </c>
    </row>
    <row r="3" spans="1:34" x14ac:dyDescent="0.25">
      <c r="A3">
        <v>2</v>
      </c>
      <c r="B3">
        <v>217</v>
      </c>
      <c r="C3" t="s">
        <v>151</v>
      </c>
      <c r="D3" s="19" t="s">
        <v>177</v>
      </c>
      <c r="O3">
        <v>0</v>
      </c>
    </row>
    <row r="4" spans="1:34" x14ac:dyDescent="0.25">
      <c r="A4">
        <v>3</v>
      </c>
      <c r="B4">
        <v>640</v>
      </c>
      <c r="C4" t="s">
        <v>165</v>
      </c>
      <c r="D4" s="19" t="s">
        <v>178</v>
      </c>
      <c r="J4" t="s">
        <v>101</v>
      </c>
      <c r="K4">
        <v>22.5</v>
      </c>
      <c r="O4">
        <v>0</v>
      </c>
    </row>
    <row r="5" spans="1:34" x14ac:dyDescent="0.25">
      <c r="A5">
        <v>4</v>
      </c>
      <c r="B5">
        <v>315</v>
      </c>
      <c r="C5" t="s">
        <v>166</v>
      </c>
      <c r="D5" s="19" t="s">
        <v>167</v>
      </c>
      <c r="O5">
        <v>0</v>
      </c>
    </row>
    <row r="6" spans="1:34" x14ac:dyDescent="0.25">
      <c r="A6">
        <v>5</v>
      </c>
      <c r="B6">
        <v>27</v>
      </c>
      <c r="C6" s="35" t="s">
        <v>168</v>
      </c>
      <c r="D6" s="19" t="s">
        <v>175</v>
      </c>
      <c r="L6">
        <v>3.1500000000000004</v>
      </c>
      <c r="N6">
        <v>3.16</v>
      </c>
      <c r="O6">
        <v>0</v>
      </c>
      <c r="S6">
        <v>1</v>
      </c>
    </row>
    <row r="7" spans="1:34" x14ac:dyDescent="0.25">
      <c r="O7">
        <v>0</v>
      </c>
    </row>
    <row r="8" spans="1:34" x14ac:dyDescent="0.25">
      <c r="O8">
        <v>0</v>
      </c>
    </row>
    <row r="9" spans="1:34" x14ac:dyDescent="0.25">
      <c r="O9">
        <v>0</v>
      </c>
    </row>
    <row r="10" spans="1:34" x14ac:dyDescent="0.25">
      <c r="O10">
        <v>0</v>
      </c>
    </row>
    <row r="11" spans="1:34" x14ac:dyDescent="0.25">
      <c r="O11">
        <v>0</v>
      </c>
    </row>
    <row r="12" spans="1:34" x14ac:dyDescent="0.25">
      <c r="G12" t="s">
        <v>74</v>
      </c>
      <c r="O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(MENU)</vt:lpstr>
      <vt:lpstr>Ref_Default</vt:lpstr>
      <vt:lpstr>Ref_UOM</vt:lpstr>
      <vt:lpstr>CC1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2024-02-29T02:44:46Z</dcterms:created>
  <dcterms:modified xsi:type="dcterms:W3CDTF">2024-06-13T07:28:31Z</dcterms:modified>
</cp:coreProperties>
</file>