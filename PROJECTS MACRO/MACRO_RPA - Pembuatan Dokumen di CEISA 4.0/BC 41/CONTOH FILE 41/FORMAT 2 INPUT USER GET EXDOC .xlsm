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ath file\MACRO_RPA - Pembuatan Dokumen di CEISA 4.0\BC 41\CONTOH FILE 41\"/>
    </mc:Choice>
  </mc:AlternateContent>
  <xr:revisionPtr revIDLastSave="0" documentId="13_ncr:1_{43F655F0-17DB-4F59-8945-4BB40FF81F0F}" xr6:coauthVersionLast="47" xr6:coauthVersionMax="47" xr10:uidLastSave="{00000000-0000-0000-0000-000000000000}"/>
  <bookViews>
    <workbookView xWindow="-110" yWindow="-110" windowWidth="19420" windowHeight="10300" xr2:uid="{4D13F1AC-09DD-4A59-9F0E-2B67A8059D2F}"/>
  </bookViews>
  <sheets>
    <sheet name="Tombol" sheetId="3" r:id="rId1"/>
    <sheet name="Olahan" sheetId="1" r:id="rId2"/>
    <sheet name="Olahan (2)" sheetId="4" state="hidden" r:id="rId3"/>
  </sheets>
  <definedNames>
    <definedName name="_xlnm._FilterDatabase" localSheetId="1" hidden="1">Olahan!$A$4:$BL$4</definedName>
    <definedName name="_xlnm._FilterDatabase" localSheetId="2" hidden="1">'Olahan (2)'!$A$4:$BL$4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7" i="4" l="1"/>
  <c r="AH7" i="4"/>
  <c r="AK6" i="4"/>
  <c r="AH6" i="4"/>
  <c r="BA5" i="4"/>
  <c r="AY5" i="4"/>
  <c r="BF5" i="4" s="1"/>
  <c r="AK5" i="4"/>
  <c r="AH5" i="4"/>
</calcChain>
</file>

<file path=xl/sharedStrings.xml><?xml version="1.0" encoding="utf-8"?>
<sst xmlns="http://schemas.openxmlformats.org/spreadsheetml/2006/main" count="165" uniqueCount="66">
  <si>
    <t/>
  </si>
  <si>
    <t>093147</t>
  </si>
  <si>
    <t>095626</t>
  </si>
  <si>
    <t>UNTUK BARANG KE</t>
  </si>
  <si>
    <t>DDMMYYYY [VBA]</t>
  </si>
  <si>
    <t>SERI BARANG [VBA]</t>
  </si>
  <si>
    <t>SATUAN</t>
  </si>
  <si>
    <t>QTY PEMAKAIAN</t>
  </si>
  <si>
    <t>QTY YG DIKELUARKAN</t>
  </si>
  <si>
    <t>HARGA perSATUAN DOKUMEN</t>
  </si>
  <si>
    <t>HARGA PENYERAHAN</t>
  </si>
  <si>
    <t>NO DAFTAR exDOC</t>
  </si>
  <si>
    <t>2 DUJIT TAHUN TANGGAL DAFTAR exDOC</t>
  </si>
  <si>
    <t>JENIS BC exDOC</t>
  </si>
  <si>
    <t>NO ITEM exDOC</t>
  </si>
  <si>
    <t>TANGGAL DOKUMEN exDOC [VBA]</t>
  </si>
  <si>
    <t>NO_DAFTAR exDOC [VBA]</t>
  </si>
  <si>
    <t>NO AJU exDOC [VBA]</t>
  </si>
  <si>
    <t>HS CODE exDOC [VBA]</t>
  </si>
  <si>
    <t>DESKRIPSI BARANG exDOC [VBA]</t>
  </si>
  <si>
    <t>QTY exDOC [VBA]</t>
  </si>
  <si>
    <t>SATUAN TRANSAKSI exDOC [VBA]</t>
  </si>
  <si>
    <t>HARGA PENYERAHAN exDOC [VBA]</t>
  </si>
  <si>
    <t>header pada sheet olahan yg Warna Orange wajib diisi</t>
  </si>
  <si>
    <t>PC</t>
  </si>
  <si>
    <t>Data akan diinput oleh "MACRO - EXIM Olah Resume Asal Bahan Baku - Get ExDokumen"</t>
  </si>
  <si>
    <t>PATH FILE THIS WORKBOOK</t>
  </si>
  <si>
    <t>Z:\path file\MACRO - EXIM Olah Resume Asal Bahan Baku - Get ExDokumen\2MACRO - EXIM Olah Resume Asal Bahan Baku - Get ExDokumen.xlsm</t>
  </si>
  <si>
    <t>SATUAN TRANSAKSI PEMAKAIAN</t>
  </si>
  <si>
    <t>124380</t>
  </si>
  <si>
    <t>21102022</t>
  </si>
  <si>
    <t>05054000520520221021004369</t>
  </si>
  <si>
    <t>CARTON BOX, DWKM150 56CM X 40CM X 30CM</t>
  </si>
  <si>
    <t>PCE</t>
  </si>
  <si>
    <t>131104</t>
  </si>
  <si>
    <t>09112022</t>
  </si>
  <si>
    <t>05054000520520221109004493</t>
  </si>
  <si>
    <t>04082022</t>
  </si>
  <si>
    <t>05054000520520220804003005</t>
  </si>
  <si>
    <t>CARTON BOX, DWKM15056CM X 40CM X 30CM</t>
  </si>
  <si>
    <t>132233</t>
  </si>
  <si>
    <t>11112022</t>
  </si>
  <si>
    <t>05054000520520221111004508</t>
  </si>
  <si>
    <t>110367</t>
  </si>
  <si>
    <t>16092022</t>
  </si>
  <si>
    <t>05054000520520220916003712</t>
  </si>
  <si>
    <t>10082022</t>
  </si>
  <si>
    <t>05054000520520220810003123</t>
  </si>
  <si>
    <t>CARTON DOUBLE WALL, 5 PLY60 X 40 X 30 CM</t>
  </si>
  <si>
    <t>120736</t>
  </si>
  <si>
    <t>12102022</t>
  </si>
  <si>
    <t>05054000520520221012004234</t>
  </si>
  <si>
    <t>CARTON DOUBLE WALL, 5 PLY 60 X 40 X 30 CM</t>
  </si>
  <si>
    <t>124222</t>
  </si>
  <si>
    <t>05054000520520221021004368</t>
  </si>
  <si>
    <t>110637</t>
  </si>
  <si>
    <t>05054000520520220916003734</t>
  </si>
  <si>
    <t>CARTON DOUBLE WALL, 5 PLY - 60 X 40 X 30 CM</t>
  </si>
  <si>
    <t>133246</t>
  </si>
  <si>
    <t>15112022</t>
  </si>
  <si>
    <t>05054000520520221115004528</t>
  </si>
  <si>
    <t>CARTON BOX TOMMY HILFIGER 50CM X 33CM X 30CM</t>
  </si>
  <si>
    <t>144708</t>
  </si>
  <si>
    <t>15122022</t>
  </si>
  <si>
    <t>05054000520520221215004802</t>
  </si>
  <si>
    <t>CARTON BOX, K200/M125 X 3/K150 P58 X L38 X T38, DOUBLE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</si>
</sst>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/mmm/yy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</cellStyleXfs>
  <cellXfs count="30">
    <xf numFmtId="0" fontId="0" fillId="0" borderId="0" xfId="0"/>
    <xf numFmtId="49" fontId="0" fillId="0" borderId="0" xfId="0" applyNumberFormat="1"/>
    <xf numFmtId="1" fontId="0" fillId="0" borderId="0" xfId="0" applyNumberFormat="1"/>
    <xf numFmtId="43" fontId="0" fillId="0" borderId="0" xfId="1" applyFont="1" applyFill="1"/>
    <xf numFmtId="9" fontId="0" fillId="0" borderId="0" xfId="2" applyFont="1" applyFill="1"/>
    <xf numFmtId="43" fontId="2" fillId="0" borderId="0" xfId="1" applyFont="1" applyFill="1"/>
    <xf numFmtId="0" fontId="2" fillId="2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3" fillId="0" borderId="0" xfId="3" applyAlignment="1">
      <alignment horizontal="center"/>
    </xf>
    <xf numFmtId="0" fontId="2" fillId="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3" borderId="0" xfId="0" applyFont="1" applyFill="1"/>
    <xf numFmtId="0" fontId="4" fillId="3" borderId="0" xfId="0" applyFont="1" applyFill="1"/>
    <xf numFmtId="164" fontId="0" fillId="0" borderId="0" xfId="0" applyNumberFormat="1"/>
    <xf numFmtId="164" fontId="2" fillId="3" borderId="0" xfId="0" applyNumberFormat="1" applyFont="1" applyFill="1"/>
    <xf numFmtId="0" fontId="0" fillId="0" borderId="1" xfId="0" applyBorder="1"/>
    <xf numFmtId="0" fontId="5" fillId="4" borderId="1" xfId="0" applyFont="1" applyFill="1" applyBorder="1"/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49" fontId="2" fillId="2" borderId="0" xfId="0" applyNumberFormat="1" applyFont="1" applyFill="1" applyAlignment="1">
      <alignment horizontal="center" vertical="center"/>
    </xf>
    <xf numFmtId="164" fontId="2" fillId="3" borderId="0" xfId="0" applyNumberFormat="1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4" fillId="3" borderId="0" xfId="0" applyFont="1" applyFill="1" applyAlignment="1">
      <alignment vertical="center"/>
    </xf>
    <xf numFmtId="0" fontId="6" fillId="3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0" fillId="0" borderId="0" xfId="0" applyAlignment="1">
      <alignment horizontal="center"/>
    </xf>
  </cellXfs>
  <cellStyles count="4">
    <cellStyle name="Comma" xfId="1" builtinId="3"/>
    <cellStyle name="Normal" xfId="0" builtinId="0"/>
    <cellStyle name="Normal 2" xfId="3" xr:uid="{5348DB19-A131-4292-B0D4-AE6512F77B75}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0</xdr:row>
          <xdr:rowOff>165100</xdr:rowOff>
        </xdr:from>
        <xdr:to>
          <xdr:col>0</xdr:col>
          <xdr:colOff>1212850</xdr:colOff>
          <xdr:row>3</xdr:row>
          <xdr:rowOff>95250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22BB4-DCB0-497B-9B85-75719F1FBEDB}">
  <sheetPr codeName="Sheet2"/>
  <dimension ref="A1:O11"/>
  <sheetViews>
    <sheetView tabSelected="1" workbookViewId="0">
      <selection activeCell="L10" sqref="L10"/>
    </sheetView>
  </sheetViews>
  <sheetFormatPr defaultRowHeight="14.5" x14ac:dyDescent="0.35"/>
  <cols>
    <col min="1" max="1" width="24.26953125" bestFit="1" customWidth="1"/>
    <col min="2" max="2" width="8.7265625" customWidth="1"/>
    <col min="4" max="4" width="5.81640625" customWidth="1"/>
    <col min="5" max="8" width="8.7265625" customWidth="1"/>
    <col min="11" max="11" width="8.7265625" style="1"/>
    <col min="12" max="14" width="8.7265625" customWidth="1"/>
    <col min="15" max="15" width="8.7265625" style="15"/>
    <col min="16" max="37" width="8.7265625" customWidth="1"/>
    <col min="40" max="40" width="8.7265625" customWidth="1"/>
    <col min="46" max="46" width="8.7265625" customWidth="1"/>
    <col min="48" max="50" width="8.7265625" customWidth="1"/>
    <col min="54" max="57" width="8.7265625" customWidth="1"/>
    <col min="59" max="63" width="8.7265625" customWidth="1"/>
  </cols>
  <sheetData>
    <row r="1" spans="1:12" x14ac:dyDescent="0.35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</row>
    <row r="2" spans="1:12" x14ac:dyDescent="0.35">
      <c r="A2" s="29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</row>
    <row r="3" spans="1:12" x14ac:dyDescent="0.3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</row>
    <row r="4" spans="1:12" x14ac:dyDescent="0.35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</row>
    <row r="5" spans="1:12" x14ac:dyDescent="0.35">
      <c r="A5" s="29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</row>
    <row r="6" spans="1:12" x14ac:dyDescent="0.35">
      <c r="A6" s="10"/>
      <c r="B6" t="s">
        <v>23</v>
      </c>
    </row>
    <row r="7" spans="1:12" x14ac:dyDescent="0.35">
      <c r="A7" s="16"/>
      <c r="B7" t="s">
        <v>25</v>
      </c>
    </row>
    <row r="10" spans="1:12" x14ac:dyDescent="0.35">
      <c r="A10" s="18" t="s">
        <v>26</v>
      </c>
    </row>
    <row r="11" spans="1:12" x14ac:dyDescent="0.35">
      <c r="A11" s="17" t="s">
        <v>27</v>
      </c>
    </row>
  </sheetData>
  <mergeCells count="1">
    <mergeCell ref="A1:L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1">
          <controlPr defaultSize="0" autoLine="0" r:id="rId4">
            <anchor moveWithCells="1">
              <from>
                <xdr:col>0</xdr:col>
                <xdr:colOff>152400</xdr:colOff>
                <xdr:row>0</xdr:row>
                <xdr:rowOff>165100</xdr:rowOff>
              </from>
              <to>
                <xdr:col>0</xdr:col>
                <xdr:colOff>1212850</xdr:colOff>
                <xdr:row>3</xdr:row>
                <xdr:rowOff>95250</xdr:rowOff>
              </to>
            </anchor>
          </controlPr>
        </control>
      </mc:Choice>
      <mc:Fallback>
        <control shapeId="2050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C104B-A99E-4502-8C3E-0B60F899D801}">
  <sheetPr codeName="Sheet1"/>
  <dimension ref="A2:BL15"/>
  <sheetViews>
    <sheetView topLeftCell="AL1" zoomScale="70" zoomScaleNormal="70" workbookViewId="0">
      <selection activeCell="AQ8" sqref="AQ8"/>
    </sheetView>
  </sheetViews>
  <sheetFormatPr defaultRowHeight="14.5" x14ac:dyDescent="0.35"/>
  <cols>
    <col min="1" max="1" width="23.1796875" style="7" customWidth="1"/>
    <col min="2" max="2" width="4.7265625" style="7" hidden="1" customWidth="1"/>
    <col min="3" max="3" width="20.36328125" style="7" bestFit="1" customWidth="1"/>
    <col min="4" max="4" width="22.1796875" bestFit="1" customWidth="1"/>
    <col min="5" max="8" width="4.7265625" hidden="1" customWidth="1"/>
    <col min="9" max="9" width="20.08984375" style="7" bestFit="1" customWidth="1"/>
    <col min="10" max="10" width="41.26953125" style="7" bestFit="1" customWidth="1"/>
    <col min="11" max="11" width="22.81640625" style="8" bestFit="1" customWidth="1"/>
    <col min="12" max="14" width="4.7265625" hidden="1" customWidth="1"/>
    <col min="15" max="15" width="32.7265625" style="15" bestFit="1" customWidth="1"/>
    <col min="16" max="37" width="4.7265625" hidden="1" customWidth="1"/>
    <col min="38" max="38" width="25.26953125" bestFit="1" customWidth="1"/>
    <col min="39" max="39" width="19.26953125" bestFit="1" customWidth="1"/>
    <col min="40" max="40" width="4.7265625" hidden="1" customWidth="1"/>
    <col min="41" max="41" width="27.1796875" bestFit="1" customWidth="1"/>
    <col min="42" max="42" width="22.1796875" bestFit="1" customWidth="1"/>
    <col min="43" max="43" width="31.08984375" bestFit="1" customWidth="1"/>
    <col min="44" max="44" width="18.36328125" bestFit="1" customWidth="1"/>
    <col min="45" max="45" width="17.36328125" hidden="1" customWidth="1"/>
    <col min="46" max="46" width="6.453125" hidden="1" customWidth="1"/>
    <col min="47" max="47" width="32.90625" bestFit="1" customWidth="1"/>
    <col min="48" max="48" width="9.1796875" hidden="1" customWidth="1"/>
    <col min="49" max="50" width="4.7265625" hidden="1" customWidth="1"/>
    <col min="51" max="51" width="29.453125" bestFit="1" customWidth="1"/>
    <col min="52" max="52" width="17.90625" bestFit="1" customWidth="1"/>
    <col min="53" max="53" width="30.36328125" bestFit="1" customWidth="1"/>
    <col min="54" max="54" width="28.90625" bestFit="1" customWidth="1"/>
    <col min="55" max="56" width="4.7265625" hidden="1" customWidth="1"/>
    <col min="57" max="57" width="3.7265625" hidden="1" customWidth="1"/>
    <col min="58" max="58" width="23.7265625" customWidth="1"/>
    <col min="59" max="63" width="4.7265625" hidden="1" customWidth="1"/>
    <col min="64" max="64" width="20.1796875" bestFit="1" customWidth="1"/>
  </cols>
  <sheetData>
    <row r="2" spans="1:64" x14ac:dyDescent="0.35">
      <c r="AT2" s="5"/>
      <c r="AU2" s="5"/>
      <c r="BF2" s="5"/>
      <c r="BG2" s="5"/>
      <c r="BH2" s="5"/>
      <c r="BI2" s="5"/>
      <c r="BJ2" s="5"/>
      <c r="BK2" s="5"/>
    </row>
    <row r="4" spans="1:64" s="22" customFormat="1" ht="22.5" customHeight="1" x14ac:dyDescent="0.35">
      <c r="A4" s="19" t="s">
        <v>3</v>
      </c>
      <c r="B4" s="20"/>
      <c r="C4" s="19" t="s">
        <v>14</v>
      </c>
      <c r="D4" s="21" t="s">
        <v>8</v>
      </c>
      <c r="I4" s="19" t="s">
        <v>13</v>
      </c>
      <c r="J4" s="19" t="s">
        <v>12</v>
      </c>
      <c r="K4" s="23" t="s">
        <v>11</v>
      </c>
      <c r="O4" s="24" t="s">
        <v>15</v>
      </c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 t="s">
        <v>16</v>
      </c>
      <c r="AM4" s="25" t="s">
        <v>4</v>
      </c>
      <c r="AN4" s="25"/>
      <c r="AO4" s="25" t="s">
        <v>17</v>
      </c>
      <c r="AP4" s="25" t="s">
        <v>18</v>
      </c>
      <c r="AQ4" s="25" t="s">
        <v>19</v>
      </c>
      <c r="AR4" s="26" t="s">
        <v>20</v>
      </c>
      <c r="AS4" s="27"/>
      <c r="AT4" s="25"/>
      <c r="AU4" s="26" t="s">
        <v>22</v>
      </c>
      <c r="AY4" s="25" t="s">
        <v>9</v>
      </c>
      <c r="AZ4" s="21" t="s">
        <v>7</v>
      </c>
      <c r="BA4" s="26" t="s">
        <v>21</v>
      </c>
      <c r="BB4" s="28" t="s">
        <v>28</v>
      </c>
      <c r="BF4" s="25" t="s">
        <v>10</v>
      </c>
      <c r="BL4" s="26" t="s">
        <v>5</v>
      </c>
    </row>
    <row r="5" spans="1:64" x14ac:dyDescent="0.35">
      <c r="A5" s="9">
        <v>1</v>
      </c>
      <c r="C5" s="7">
        <v>280928</v>
      </c>
      <c r="D5">
        <v>59</v>
      </c>
      <c r="I5" s="7">
        <v>40</v>
      </c>
      <c r="J5" s="8">
        <v>22</v>
      </c>
      <c r="K5" s="8">
        <v>124380</v>
      </c>
      <c r="O5" s="15">
        <v>44855</v>
      </c>
      <c r="P5" t="s">
        <v>0</v>
      </c>
      <c r="Q5" t="s">
        <v>0</v>
      </c>
      <c r="AB5" t="s">
        <v>0</v>
      </c>
      <c r="AH5" t="s">
        <v>0</v>
      </c>
      <c r="AI5" t="s">
        <v>0</v>
      </c>
      <c r="AK5" t="s">
        <v>0</v>
      </c>
      <c r="AL5" t="s">
        <v>29</v>
      </c>
      <c r="AM5" t="s">
        <v>30</v>
      </c>
      <c r="AO5" s="1" t="s">
        <v>31</v>
      </c>
      <c r="AP5" s="2">
        <v>48192000</v>
      </c>
      <c r="AQ5" t="s">
        <v>32</v>
      </c>
      <c r="AR5" s="3">
        <v>608</v>
      </c>
      <c r="AT5" s="3" t="s">
        <v>0</v>
      </c>
      <c r="AU5" s="3">
        <v>10266688</v>
      </c>
      <c r="AV5" s="3"/>
      <c r="AW5" s="4"/>
      <c r="AX5" s="3"/>
      <c r="AY5" s="3">
        <v>16886</v>
      </c>
      <c r="AZ5" s="3">
        <v>59</v>
      </c>
      <c r="BA5" t="s">
        <v>33</v>
      </c>
      <c r="BB5" t="s">
        <v>24</v>
      </c>
      <c r="BC5" t="s">
        <v>0</v>
      </c>
      <c r="BE5" s="3" t="s">
        <v>0</v>
      </c>
      <c r="BF5" s="3">
        <v>996274</v>
      </c>
      <c r="BG5" s="3"/>
      <c r="BH5" s="3"/>
      <c r="BI5" s="3"/>
      <c r="BJ5" s="3"/>
      <c r="BK5" s="3"/>
      <c r="BL5">
        <v>2</v>
      </c>
    </row>
    <row r="6" spans="1:64" x14ac:dyDescent="0.35">
      <c r="A6" s="9">
        <v>1</v>
      </c>
      <c r="C6" s="7">
        <v>280928</v>
      </c>
      <c r="D6">
        <v>16</v>
      </c>
      <c r="I6" s="7">
        <v>40</v>
      </c>
      <c r="J6" s="8">
        <v>22</v>
      </c>
      <c r="K6" s="8">
        <v>131104</v>
      </c>
      <c r="O6" s="15">
        <v>44874</v>
      </c>
      <c r="P6" t="s">
        <v>0</v>
      </c>
      <c r="Q6" t="s">
        <v>0</v>
      </c>
      <c r="AB6" t="s">
        <v>0</v>
      </c>
      <c r="AH6" t="s">
        <v>0</v>
      </c>
      <c r="AI6" t="s">
        <v>0</v>
      </c>
      <c r="AK6" t="s">
        <v>0</v>
      </c>
      <c r="AL6" t="s">
        <v>34</v>
      </c>
      <c r="AM6" t="s">
        <v>35</v>
      </c>
      <c r="AO6" s="1" t="s">
        <v>36</v>
      </c>
      <c r="AP6" s="2">
        <v>48192000</v>
      </c>
      <c r="AQ6" t="s">
        <v>32</v>
      </c>
      <c r="AR6" s="3">
        <v>16</v>
      </c>
      <c r="AT6" s="3" t="s">
        <v>0</v>
      </c>
      <c r="AU6" s="3">
        <v>256672</v>
      </c>
      <c r="AV6" s="3"/>
      <c r="AW6" s="4"/>
      <c r="AX6" s="3"/>
      <c r="AY6" s="3">
        <v>16042</v>
      </c>
      <c r="AZ6" s="3">
        <v>16</v>
      </c>
      <c r="BA6" t="s">
        <v>33</v>
      </c>
      <c r="BB6" t="s">
        <v>24</v>
      </c>
      <c r="BC6" t="s">
        <v>0</v>
      </c>
      <c r="BE6" s="3" t="s">
        <v>0</v>
      </c>
      <c r="BF6" s="3">
        <v>256672</v>
      </c>
      <c r="BG6" s="3"/>
      <c r="BH6" s="3"/>
      <c r="BI6" s="3"/>
      <c r="BJ6" s="3"/>
      <c r="BK6" s="3"/>
      <c r="BL6">
        <v>1</v>
      </c>
    </row>
    <row r="7" spans="1:64" x14ac:dyDescent="0.35">
      <c r="A7" s="9">
        <v>2</v>
      </c>
      <c r="C7" s="7">
        <v>280928</v>
      </c>
      <c r="D7">
        <v>16</v>
      </c>
      <c r="I7" s="7">
        <v>40</v>
      </c>
      <c r="J7" s="8">
        <v>22</v>
      </c>
      <c r="K7" s="8" t="s">
        <v>1</v>
      </c>
      <c r="O7" s="15">
        <v>44777</v>
      </c>
      <c r="P7" t="s">
        <v>0</v>
      </c>
      <c r="Q7" t="s">
        <v>0</v>
      </c>
      <c r="AB7" t="s">
        <v>0</v>
      </c>
      <c r="AH7" t="s">
        <v>0</v>
      </c>
      <c r="AI7" t="s">
        <v>0</v>
      </c>
      <c r="AK7" t="s">
        <v>0</v>
      </c>
      <c r="AL7" t="s">
        <v>1</v>
      </c>
      <c r="AM7" t="s">
        <v>37</v>
      </c>
      <c r="AO7" s="1" t="s">
        <v>38</v>
      </c>
      <c r="AP7" s="2">
        <v>48192000</v>
      </c>
      <c r="AQ7" t="s">
        <v>39</v>
      </c>
      <c r="AR7" s="3">
        <v>524</v>
      </c>
      <c r="AT7" s="3" t="s">
        <v>0</v>
      </c>
      <c r="AU7" s="3">
        <v>8848264</v>
      </c>
      <c r="AV7" s="3"/>
      <c r="AW7" s="4"/>
      <c r="AX7" s="3"/>
      <c r="AY7" s="3">
        <v>16886</v>
      </c>
      <c r="AZ7" s="3">
        <v>16</v>
      </c>
      <c r="BA7" t="s">
        <v>33</v>
      </c>
      <c r="BB7" t="s">
        <v>24</v>
      </c>
      <c r="BC7" t="s">
        <v>0</v>
      </c>
      <c r="BE7" s="3" t="s">
        <v>0</v>
      </c>
      <c r="BF7" s="3">
        <v>270176</v>
      </c>
      <c r="BG7" s="3"/>
      <c r="BH7" s="3"/>
      <c r="BI7" s="3"/>
      <c r="BJ7" s="3"/>
      <c r="BK7" s="3"/>
      <c r="BL7">
        <v>1</v>
      </c>
    </row>
    <row r="8" spans="1:64" x14ac:dyDescent="0.35">
      <c r="A8" s="9">
        <v>1</v>
      </c>
      <c r="C8" s="7">
        <v>280928</v>
      </c>
      <c r="D8">
        <v>11</v>
      </c>
      <c r="I8" s="7">
        <v>40</v>
      </c>
      <c r="J8" s="8">
        <v>22</v>
      </c>
      <c r="K8" s="8">
        <v>132233</v>
      </c>
      <c r="O8" s="15">
        <v>44876</v>
      </c>
      <c r="AL8" t="s">
        <v>40</v>
      </c>
      <c r="AM8" t="s">
        <v>41</v>
      </c>
      <c r="AO8" t="s">
        <v>42</v>
      </c>
      <c r="AP8">
        <v>48192000</v>
      </c>
      <c r="AQ8" t="s">
        <v>32</v>
      </c>
      <c r="AR8">
        <v>11</v>
      </c>
      <c r="AU8">
        <v>176462</v>
      </c>
      <c r="AY8">
        <v>16042</v>
      </c>
      <c r="AZ8">
        <v>11</v>
      </c>
      <c r="BA8" t="s">
        <v>33</v>
      </c>
      <c r="BB8" t="s">
        <v>24</v>
      </c>
      <c r="BF8">
        <v>176462</v>
      </c>
      <c r="BL8">
        <v>1</v>
      </c>
    </row>
    <row r="9" spans="1:64" x14ac:dyDescent="0.35">
      <c r="A9" s="9">
        <v>2</v>
      </c>
      <c r="C9" s="7">
        <v>280928</v>
      </c>
      <c r="D9">
        <v>1</v>
      </c>
      <c r="I9" s="7">
        <v>40</v>
      </c>
      <c r="J9" s="8">
        <v>22</v>
      </c>
      <c r="K9" s="8">
        <v>110367</v>
      </c>
      <c r="O9" s="15">
        <v>44820</v>
      </c>
      <c r="AL9" t="s">
        <v>43</v>
      </c>
      <c r="AM9" t="s">
        <v>44</v>
      </c>
      <c r="AO9" t="s">
        <v>45</v>
      </c>
      <c r="AP9">
        <v>48192000</v>
      </c>
      <c r="AQ9" t="s">
        <v>32</v>
      </c>
      <c r="AR9">
        <v>396</v>
      </c>
      <c r="AU9">
        <v>6686856</v>
      </c>
      <c r="AY9">
        <v>16886</v>
      </c>
      <c r="AZ9">
        <v>1</v>
      </c>
      <c r="BA9" t="s">
        <v>33</v>
      </c>
      <c r="BB9" t="s">
        <v>24</v>
      </c>
      <c r="BF9">
        <v>16886</v>
      </c>
      <c r="BL9">
        <v>1</v>
      </c>
    </row>
    <row r="10" spans="1:64" x14ac:dyDescent="0.35">
      <c r="A10" s="9">
        <v>1</v>
      </c>
      <c r="C10" s="7">
        <v>283182</v>
      </c>
      <c r="D10">
        <v>41</v>
      </c>
      <c r="I10" s="7">
        <v>40</v>
      </c>
      <c r="J10" s="8">
        <v>22</v>
      </c>
      <c r="K10" s="8" t="s">
        <v>2</v>
      </c>
      <c r="O10" s="15">
        <v>44783</v>
      </c>
      <c r="AL10" t="s">
        <v>2</v>
      </c>
      <c r="AM10" t="s">
        <v>46</v>
      </c>
      <c r="AO10" t="s">
        <v>47</v>
      </c>
      <c r="AP10">
        <v>48192000</v>
      </c>
      <c r="AQ10" t="s">
        <v>48</v>
      </c>
      <c r="AR10">
        <v>717</v>
      </c>
      <c r="AU10">
        <v>13842402</v>
      </c>
      <c r="AY10">
        <v>19306</v>
      </c>
      <c r="AZ10">
        <v>41</v>
      </c>
      <c r="BA10" t="s">
        <v>33</v>
      </c>
      <c r="BB10" t="s">
        <v>24</v>
      </c>
      <c r="BF10">
        <v>791546</v>
      </c>
      <c r="BL10">
        <v>1</v>
      </c>
    </row>
    <row r="11" spans="1:64" x14ac:dyDescent="0.35">
      <c r="A11" s="9">
        <v>1</v>
      </c>
      <c r="C11" s="7">
        <v>283182</v>
      </c>
      <c r="D11">
        <v>10</v>
      </c>
      <c r="I11" s="7">
        <v>40</v>
      </c>
      <c r="J11" s="8">
        <v>22</v>
      </c>
      <c r="K11" s="8">
        <v>120736</v>
      </c>
      <c r="O11" s="15">
        <v>44846</v>
      </c>
      <c r="AL11" t="s">
        <v>49</v>
      </c>
      <c r="AM11" t="s">
        <v>50</v>
      </c>
      <c r="AO11" t="s">
        <v>51</v>
      </c>
      <c r="AP11">
        <v>48192000</v>
      </c>
      <c r="AQ11" t="s">
        <v>52</v>
      </c>
      <c r="AR11">
        <v>10</v>
      </c>
      <c r="AU11">
        <v>193060</v>
      </c>
      <c r="AY11">
        <v>19306</v>
      </c>
      <c r="AZ11">
        <v>10</v>
      </c>
      <c r="BA11" t="s">
        <v>33</v>
      </c>
      <c r="BB11" t="s">
        <v>24</v>
      </c>
      <c r="BF11">
        <v>193060</v>
      </c>
      <c r="BL11">
        <v>1</v>
      </c>
    </row>
    <row r="12" spans="1:64" x14ac:dyDescent="0.35">
      <c r="A12" s="9">
        <v>2</v>
      </c>
      <c r="C12" s="7">
        <v>283182</v>
      </c>
      <c r="D12">
        <v>5</v>
      </c>
      <c r="I12" s="7">
        <v>40</v>
      </c>
      <c r="J12" s="8">
        <v>22</v>
      </c>
      <c r="K12" s="8">
        <v>124222</v>
      </c>
      <c r="O12" s="15">
        <v>44855</v>
      </c>
      <c r="AL12" t="s">
        <v>53</v>
      </c>
      <c r="AM12" t="s">
        <v>30</v>
      </c>
      <c r="AO12" t="s">
        <v>54</v>
      </c>
      <c r="AP12">
        <v>48192000</v>
      </c>
      <c r="AQ12" t="s">
        <v>52</v>
      </c>
      <c r="AR12">
        <v>55</v>
      </c>
      <c r="AU12">
        <v>1061830</v>
      </c>
      <c r="AY12">
        <v>19306</v>
      </c>
      <c r="AZ12">
        <v>5</v>
      </c>
      <c r="BA12" t="s">
        <v>33</v>
      </c>
      <c r="BB12" t="s">
        <v>24</v>
      </c>
      <c r="BF12">
        <v>96530</v>
      </c>
      <c r="BL12">
        <v>1</v>
      </c>
    </row>
    <row r="13" spans="1:64" x14ac:dyDescent="0.35">
      <c r="A13" s="9">
        <v>1</v>
      </c>
      <c r="C13" s="7">
        <v>283182</v>
      </c>
      <c r="D13">
        <v>4</v>
      </c>
      <c r="I13" s="7">
        <v>40</v>
      </c>
      <c r="J13" s="8">
        <v>22</v>
      </c>
      <c r="K13" s="8">
        <v>110637</v>
      </c>
      <c r="O13" s="15">
        <v>44820</v>
      </c>
      <c r="AL13" t="s">
        <v>55</v>
      </c>
      <c r="AM13" t="s">
        <v>44</v>
      </c>
      <c r="AO13" t="s">
        <v>56</v>
      </c>
      <c r="AP13">
        <v>48192000</v>
      </c>
      <c r="AQ13" t="s">
        <v>57</v>
      </c>
      <c r="AR13">
        <v>15</v>
      </c>
      <c r="AU13">
        <v>289590</v>
      </c>
      <c r="AY13">
        <v>19306</v>
      </c>
      <c r="AZ13">
        <v>4</v>
      </c>
      <c r="BA13" t="s">
        <v>33</v>
      </c>
      <c r="BB13" t="s">
        <v>24</v>
      </c>
      <c r="BF13">
        <v>77224</v>
      </c>
      <c r="BL13">
        <v>1</v>
      </c>
    </row>
    <row r="14" spans="1:64" x14ac:dyDescent="0.35">
      <c r="A14" s="9">
        <v>2</v>
      </c>
      <c r="C14" s="7">
        <v>285352</v>
      </c>
      <c r="D14">
        <v>3</v>
      </c>
      <c r="I14" s="7">
        <v>40</v>
      </c>
      <c r="J14" s="8">
        <v>22</v>
      </c>
      <c r="K14" s="8">
        <v>133246</v>
      </c>
      <c r="O14" s="15">
        <v>44880</v>
      </c>
      <c r="AL14" t="s">
        <v>58</v>
      </c>
      <c r="AM14" t="s">
        <v>59</v>
      </c>
      <c r="AO14" t="s">
        <v>60</v>
      </c>
      <c r="AP14">
        <v>48192000</v>
      </c>
      <c r="AQ14" t="s">
        <v>61</v>
      </c>
      <c r="AR14">
        <v>10</v>
      </c>
      <c r="AU14">
        <v>195700</v>
      </c>
      <c r="AY14">
        <v>19570</v>
      </c>
      <c r="AZ14">
        <v>3</v>
      </c>
      <c r="BA14" t="s">
        <v>33</v>
      </c>
      <c r="BB14" t="s">
        <v>24</v>
      </c>
      <c r="BF14">
        <v>58710</v>
      </c>
      <c r="BL14">
        <v>2</v>
      </c>
    </row>
    <row r="15" spans="1:64" x14ac:dyDescent="0.35">
      <c r="A15" s="9">
        <v>1</v>
      </c>
      <c r="C15" s="7">
        <v>288341</v>
      </c>
      <c r="D15">
        <v>207</v>
      </c>
      <c r="I15" s="7">
        <v>40</v>
      </c>
      <c r="J15" s="8">
        <v>22</v>
      </c>
      <c r="K15" s="8">
        <v>144708</v>
      </c>
      <c r="O15" s="15">
        <v>44910</v>
      </c>
      <c r="AL15" t="s">
        <v>62</v>
      </c>
      <c r="AM15" t="s">
        <v>63</v>
      </c>
      <c r="AO15" t="s">
        <v>64</v>
      </c>
      <c r="AQ15" t="s">
        <v>65</v>
      </c>
      <c r="AR15">
        <v>400</v>
      </c>
      <c r="AU15">
        <v>6800000</v>
      </c>
      <c r="AY15">
        <v>17000</v>
      </c>
      <c r="AZ15">
        <v>207</v>
      </c>
      <c r="BA15" t="s">
        <v>33</v>
      </c>
      <c r="BB15" t="s">
        <v>24</v>
      </c>
      <c r="BF15">
        <v>3519000</v>
      </c>
      <c r="BL15">
        <v>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D430B-AB21-4988-B4DC-59F81E213C81}">
  <sheetPr codeName="Sheet3"/>
  <dimension ref="A2:BL15"/>
  <sheetViews>
    <sheetView topLeftCell="AT1" zoomScale="70" zoomScaleNormal="70" workbookViewId="0">
      <selection activeCell="AY23" sqref="AY23"/>
    </sheetView>
  </sheetViews>
  <sheetFormatPr defaultRowHeight="14.5" x14ac:dyDescent="0.35"/>
  <cols>
    <col min="1" max="1" width="23.1796875" style="7" bestFit="1" customWidth="1"/>
    <col min="2" max="2" width="4.7265625" style="7" customWidth="1"/>
    <col min="3" max="3" width="17.26953125" style="7" bestFit="1" customWidth="1"/>
    <col min="4" max="4" width="22.1796875" bestFit="1" customWidth="1"/>
    <col min="5" max="8" width="4.7265625" customWidth="1"/>
    <col min="9" max="9" width="14.08984375" style="7" bestFit="1" customWidth="1"/>
    <col min="10" max="10" width="31.7265625" style="7" bestFit="1" customWidth="1"/>
    <col min="11" max="11" width="22.81640625" style="7" bestFit="1" customWidth="1"/>
    <col min="12" max="14" width="4.7265625" customWidth="1"/>
    <col min="15" max="15" width="32.7265625" bestFit="1" customWidth="1"/>
    <col min="16" max="37" width="4.7265625" customWidth="1"/>
    <col min="38" max="38" width="19.26953125" bestFit="1" customWidth="1"/>
    <col min="39" max="39" width="13.1796875" customWidth="1"/>
    <col min="40" max="40" width="4.7265625" bestFit="1" customWidth="1"/>
    <col min="41" max="41" width="14.81640625" customWidth="1"/>
    <col min="42" max="42" width="11.1796875" bestFit="1" customWidth="1"/>
    <col min="43" max="43" width="19.7265625" bestFit="1" customWidth="1"/>
    <col min="44" max="44" width="8.453125" customWidth="1"/>
    <col min="45" max="45" width="25.453125" bestFit="1" customWidth="1"/>
    <col min="46" max="46" width="9.81640625" customWidth="1"/>
    <col min="47" max="47" width="36.36328125" bestFit="1" customWidth="1"/>
    <col min="48" max="48" width="9.1796875" customWidth="1"/>
    <col min="49" max="50" width="4.7265625" customWidth="1"/>
    <col min="51" max="51" width="29.453125" bestFit="1" customWidth="1"/>
    <col min="52" max="52" width="18.1796875" bestFit="1" customWidth="1"/>
    <col min="53" max="53" width="13.1796875" customWidth="1"/>
    <col min="54" max="57" width="4.7265625" customWidth="1"/>
    <col min="58" max="58" width="21.6328125" bestFit="1" customWidth="1"/>
    <col min="59" max="63" width="4.7265625" customWidth="1"/>
    <col min="64" max="64" width="20.1796875" bestFit="1" customWidth="1"/>
  </cols>
  <sheetData>
    <row r="2" spans="1:64" x14ac:dyDescent="0.35">
      <c r="AT2" s="5"/>
      <c r="AU2" s="5"/>
      <c r="BF2" s="5"/>
      <c r="BG2" s="5"/>
      <c r="BH2" s="5"/>
      <c r="BI2" s="5"/>
      <c r="BJ2" s="5"/>
      <c r="BK2" s="5"/>
    </row>
    <row r="4" spans="1:64" s="12" customFormat="1" x14ac:dyDescent="0.35">
      <c r="A4" s="10" t="s">
        <v>3</v>
      </c>
      <c r="B4" s="11"/>
      <c r="C4" s="10" t="s">
        <v>14</v>
      </c>
      <c r="D4" s="6" t="s">
        <v>8</v>
      </c>
      <c r="I4" s="10" t="s">
        <v>13</v>
      </c>
      <c r="J4" s="10" t="s">
        <v>12</v>
      </c>
      <c r="K4" s="10" t="s">
        <v>11</v>
      </c>
      <c r="O4" s="13" t="s">
        <v>15</v>
      </c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 t="s">
        <v>16</v>
      </c>
      <c r="AM4" s="13" t="s">
        <v>4</v>
      </c>
      <c r="AN4" s="13"/>
      <c r="AO4" s="13" t="s">
        <v>17</v>
      </c>
      <c r="AP4" s="13" t="s">
        <v>18</v>
      </c>
      <c r="AQ4" s="13" t="s">
        <v>19</v>
      </c>
      <c r="AR4" s="14" t="s">
        <v>20</v>
      </c>
      <c r="AS4" s="14" t="s">
        <v>21</v>
      </c>
      <c r="AT4" s="13"/>
      <c r="AU4" s="14" t="s">
        <v>22</v>
      </c>
      <c r="AY4" s="13" t="s">
        <v>9</v>
      </c>
      <c r="AZ4" s="13" t="s">
        <v>7</v>
      </c>
      <c r="BA4" s="13" t="s">
        <v>6</v>
      </c>
      <c r="BF4" s="13" t="s">
        <v>10</v>
      </c>
      <c r="BL4" s="14" t="s">
        <v>5</v>
      </c>
    </row>
    <row r="5" spans="1:64" x14ac:dyDescent="0.35">
      <c r="A5" s="9">
        <v>1</v>
      </c>
      <c r="C5" s="7">
        <v>280928</v>
      </c>
      <c r="D5">
        <v>59</v>
      </c>
      <c r="I5" s="7">
        <v>40</v>
      </c>
      <c r="J5" s="8">
        <v>22</v>
      </c>
      <c r="K5" s="7">
        <v>124380</v>
      </c>
      <c r="O5" t="s">
        <v>0</v>
      </c>
      <c r="P5" t="s">
        <v>0</v>
      </c>
      <c r="Q5" t="s">
        <v>0</v>
      </c>
      <c r="AB5" t="s">
        <v>0</v>
      </c>
      <c r="AH5" t="str">
        <f>IF(Y5=1,IF(AJ5&gt;0,TRUE,V5=Z5),"")</f>
        <v/>
      </c>
      <c r="AI5" t="s">
        <v>0</v>
      </c>
      <c r="AK5" t="str">
        <f>IF(Y5=1,IF(AND(V5=Z5,-AE5&gt;=AG5),"OK",IF(AND(V5&lt;&gt;Z5,-AE5&gt;=AG5*AJ5),"OK","KURANG_ISSUE")),"")</f>
        <v/>
      </c>
      <c r="AO5" s="1"/>
      <c r="AP5" s="2"/>
      <c r="AR5" s="3"/>
      <c r="AT5" s="3" t="s">
        <v>0</v>
      </c>
      <c r="AU5" s="3"/>
      <c r="AV5" s="3"/>
      <c r="AW5" s="4"/>
      <c r="AX5" s="3"/>
      <c r="AY5" s="3" t="e">
        <f>AU5/AR5</f>
        <v>#DIV/0!</v>
      </c>
      <c r="AZ5" s="3">
        <v>59</v>
      </c>
      <c r="BA5">
        <f>AS5</f>
        <v>0</v>
      </c>
      <c r="BC5" t="s">
        <v>0</v>
      </c>
      <c r="BE5" s="3" t="s">
        <v>0</v>
      </c>
      <c r="BF5" s="3" t="e">
        <f>AY5*AZ5</f>
        <v>#DIV/0!</v>
      </c>
      <c r="BG5" s="3"/>
      <c r="BH5" s="3"/>
      <c r="BI5" s="3"/>
      <c r="BJ5" s="3"/>
      <c r="BK5" s="3"/>
    </row>
    <row r="6" spans="1:64" x14ac:dyDescent="0.35">
      <c r="A6" s="9">
        <v>1</v>
      </c>
      <c r="C6" s="7">
        <v>280928</v>
      </c>
      <c r="D6">
        <v>16</v>
      </c>
      <c r="I6" s="7">
        <v>40</v>
      </c>
      <c r="J6" s="8">
        <v>22</v>
      </c>
      <c r="K6" s="7">
        <v>131104</v>
      </c>
      <c r="O6" t="s">
        <v>0</v>
      </c>
      <c r="P6" t="s">
        <v>0</v>
      </c>
      <c r="Q6" t="s">
        <v>0</v>
      </c>
      <c r="AB6" t="s">
        <v>0</v>
      </c>
      <c r="AH6" t="str">
        <f t="shared" ref="AH6:AH7" si="0">IF(Y6=1,IF(AJ6&gt;0,TRUE,V6=Z6),"")</f>
        <v/>
      </c>
      <c r="AI6" t="s">
        <v>0</v>
      </c>
      <c r="AK6" t="str">
        <f t="shared" ref="AK6:AK7" si="1">IF(Y6=1,IF(AND(V6=Z6,-AE6&gt;=AG6),"OK",IF(AND(V6&lt;&gt;Z6,-AE6&gt;=AG6*AJ6),"OK","KURANG_ISSUE")),"")</f>
        <v/>
      </c>
      <c r="AO6" s="1"/>
      <c r="AP6" s="2"/>
      <c r="AR6" s="3"/>
      <c r="AT6" s="3" t="s">
        <v>0</v>
      </c>
      <c r="AU6" s="3"/>
      <c r="AV6" s="3"/>
      <c r="AW6" s="4"/>
      <c r="AX6" s="3"/>
      <c r="AY6" s="3"/>
      <c r="AZ6" s="3">
        <v>16</v>
      </c>
      <c r="BC6" t="s">
        <v>0</v>
      </c>
      <c r="BE6" s="3" t="s">
        <v>0</v>
      </c>
      <c r="BF6" s="3"/>
      <c r="BG6" s="3"/>
      <c r="BH6" s="3"/>
      <c r="BI6" s="3"/>
      <c r="BJ6" s="3"/>
      <c r="BK6" s="3"/>
    </row>
    <row r="7" spans="1:64" x14ac:dyDescent="0.35">
      <c r="A7" s="9">
        <v>2</v>
      </c>
      <c r="C7" s="7">
        <v>280928</v>
      </c>
      <c r="D7">
        <v>16</v>
      </c>
      <c r="I7" s="7">
        <v>40</v>
      </c>
      <c r="J7" s="8">
        <v>22</v>
      </c>
      <c r="K7" s="7" t="s">
        <v>1</v>
      </c>
      <c r="O7" t="s">
        <v>0</v>
      </c>
      <c r="P7" t="s">
        <v>0</v>
      </c>
      <c r="Q7" t="s">
        <v>0</v>
      </c>
      <c r="AB7" t="s">
        <v>0</v>
      </c>
      <c r="AH7" t="str">
        <f t="shared" si="0"/>
        <v/>
      </c>
      <c r="AI7" t="s">
        <v>0</v>
      </c>
      <c r="AK7" t="str">
        <f t="shared" si="1"/>
        <v/>
      </c>
      <c r="AO7" s="1"/>
      <c r="AP7" s="2"/>
      <c r="AR7" s="3"/>
      <c r="AT7" s="3" t="s">
        <v>0</v>
      </c>
      <c r="AU7" s="3"/>
      <c r="AV7" s="3"/>
      <c r="AW7" s="4"/>
      <c r="AX7" s="3"/>
      <c r="AY7" s="3"/>
      <c r="AZ7" s="3">
        <v>16</v>
      </c>
      <c r="BC7" t="s">
        <v>0</v>
      </c>
      <c r="BE7" s="3" t="s">
        <v>0</v>
      </c>
      <c r="BF7" s="3"/>
      <c r="BG7" s="3"/>
      <c r="BH7" s="3"/>
      <c r="BI7" s="3"/>
      <c r="BJ7" s="3"/>
      <c r="BK7" s="3"/>
    </row>
    <row r="8" spans="1:64" x14ac:dyDescent="0.35">
      <c r="A8" s="9">
        <v>1</v>
      </c>
      <c r="C8" s="7">
        <v>280928</v>
      </c>
      <c r="D8">
        <v>11</v>
      </c>
      <c r="I8" s="7">
        <v>40</v>
      </c>
      <c r="J8" s="8">
        <v>22</v>
      </c>
      <c r="K8" s="7">
        <v>132233</v>
      </c>
      <c r="AZ8">
        <v>11</v>
      </c>
    </row>
    <row r="9" spans="1:64" x14ac:dyDescent="0.35">
      <c r="A9" s="9">
        <v>2</v>
      </c>
      <c r="C9" s="7">
        <v>280928</v>
      </c>
      <c r="D9">
        <v>1</v>
      </c>
      <c r="I9" s="7">
        <v>40</v>
      </c>
      <c r="J9" s="8">
        <v>22</v>
      </c>
      <c r="K9" s="7">
        <v>110367</v>
      </c>
      <c r="AZ9">
        <v>1</v>
      </c>
    </row>
    <row r="10" spans="1:64" x14ac:dyDescent="0.35">
      <c r="A10" s="9">
        <v>1</v>
      </c>
      <c r="C10" s="7">
        <v>283182</v>
      </c>
      <c r="D10">
        <v>41</v>
      </c>
      <c r="I10" s="7">
        <v>40</v>
      </c>
      <c r="J10" s="8">
        <v>22</v>
      </c>
      <c r="K10" s="7" t="s">
        <v>2</v>
      </c>
      <c r="AZ10">
        <v>41</v>
      </c>
    </row>
    <row r="11" spans="1:64" x14ac:dyDescent="0.35">
      <c r="A11" s="9">
        <v>1</v>
      </c>
      <c r="C11" s="7">
        <v>283182</v>
      </c>
      <c r="D11">
        <v>10</v>
      </c>
      <c r="I11" s="7">
        <v>40</v>
      </c>
      <c r="J11" s="8">
        <v>22</v>
      </c>
      <c r="K11" s="7">
        <v>120736</v>
      </c>
      <c r="AZ11">
        <v>10</v>
      </c>
    </row>
    <row r="12" spans="1:64" x14ac:dyDescent="0.35">
      <c r="A12" s="9">
        <v>2</v>
      </c>
      <c r="C12" s="7">
        <v>283182</v>
      </c>
      <c r="D12">
        <v>5</v>
      </c>
      <c r="I12" s="7">
        <v>40</v>
      </c>
      <c r="J12" s="8">
        <v>22</v>
      </c>
      <c r="K12" s="7">
        <v>124222</v>
      </c>
      <c r="AZ12">
        <v>5</v>
      </c>
    </row>
    <row r="13" spans="1:64" x14ac:dyDescent="0.35">
      <c r="A13" s="9">
        <v>1</v>
      </c>
      <c r="C13" s="7">
        <v>283182</v>
      </c>
      <c r="D13">
        <v>4</v>
      </c>
      <c r="I13" s="7">
        <v>40</v>
      </c>
      <c r="J13" s="8">
        <v>22</v>
      </c>
      <c r="K13" s="7">
        <v>110637</v>
      </c>
      <c r="AZ13">
        <v>4</v>
      </c>
    </row>
    <row r="14" spans="1:64" x14ac:dyDescent="0.35">
      <c r="A14" s="9">
        <v>2</v>
      </c>
      <c r="C14" s="7">
        <v>285352</v>
      </c>
      <c r="D14">
        <v>3</v>
      </c>
      <c r="I14" s="7">
        <v>40</v>
      </c>
      <c r="J14" s="8">
        <v>22</v>
      </c>
      <c r="K14" s="7">
        <v>133246</v>
      </c>
      <c r="AZ14">
        <v>3</v>
      </c>
    </row>
    <row r="15" spans="1:64" x14ac:dyDescent="0.35">
      <c r="A15" s="9">
        <v>1</v>
      </c>
      <c r="C15" s="7">
        <v>288341</v>
      </c>
      <c r="D15">
        <v>207</v>
      </c>
      <c r="I15" s="7">
        <v>40</v>
      </c>
      <c r="J15" s="8">
        <v>22</v>
      </c>
      <c r="K15" s="7">
        <v>144708</v>
      </c>
      <c r="AZ15">
        <v>207</v>
      </c>
    </row>
  </sheetData>
  <autoFilter ref="A4:BL4" xr:uid="{00000000-0009-0000-0000-00000A000000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Tombol</vt:lpstr>
      <vt:lpstr>Olahan</vt:lpstr>
      <vt:lpstr>Olahan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ASUS Vivobook</cp:lastModifiedBy>
  <dcterms:created xsi:type="dcterms:W3CDTF">2024-11-23T03:38:34Z</dcterms:created>
  <dcterms:modified xsi:type="dcterms:W3CDTF">2024-11-23T09:26:52Z</dcterms:modified>
</cp:coreProperties>
</file>