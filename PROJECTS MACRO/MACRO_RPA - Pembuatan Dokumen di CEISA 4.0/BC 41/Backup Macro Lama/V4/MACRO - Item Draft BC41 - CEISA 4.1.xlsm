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1\"/>
    </mc:Choice>
  </mc:AlternateContent>
  <xr:revisionPtr revIDLastSave="0" documentId="13_ncr:1_{34ED0015-4096-4DA3-A596-404BC3F4243E}" xr6:coauthVersionLast="47" xr6:coauthVersionMax="47" xr10:uidLastSave="{00000000-0000-0000-0000-000000000000}"/>
  <bookViews>
    <workbookView xWindow="-110" yWindow="-110" windowWidth="19420" windowHeight="1030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BAHANBAKU!$A$1:$AZ$12</definedName>
    <definedName name="_xlnm._FilterDatabase" localSheetId="8" hidden="1">BARANG!$B$1:$BT$4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11" i="150" l="1"/>
  <c r="AX11" i="150" s="1"/>
  <c r="AR12" i="150"/>
  <c r="AR2" i="150"/>
  <c r="AR6" i="150"/>
  <c r="AX6" i="150" s="1"/>
  <c r="AR10" i="150"/>
  <c r="BT2" i="143"/>
  <c r="BT3" i="143"/>
  <c r="BS2" i="143"/>
  <c r="BS3" i="143"/>
  <c r="BR2" i="143"/>
  <c r="BR3" i="143"/>
  <c r="AW2" i="150"/>
  <c r="AW3" i="150"/>
  <c r="AW4" i="150"/>
  <c r="AW5" i="150"/>
  <c r="AW6" i="150"/>
  <c r="AW7" i="150"/>
  <c r="AW8" i="150"/>
  <c r="AW9" i="150"/>
  <c r="AW10" i="150"/>
  <c r="AW11" i="150"/>
  <c r="AW12" i="150"/>
  <c r="AV2" i="150"/>
  <c r="AV3" i="150"/>
  <c r="AV4" i="150"/>
  <c r="AV5" i="150"/>
  <c r="AV6" i="150"/>
  <c r="AV7" i="150"/>
  <c r="AV8" i="150"/>
  <c r="AV9" i="150"/>
  <c r="AV10" i="150"/>
  <c r="AV11" i="150"/>
  <c r="AV12" i="150"/>
  <c r="AU2" i="150"/>
  <c r="AU3" i="150"/>
  <c r="AU4" i="150"/>
  <c r="AU5" i="150"/>
  <c r="AU6" i="150"/>
  <c r="AU7" i="150"/>
  <c r="AU8" i="150"/>
  <c r="AU9" i="150"/>
  <c r="AU10" i="150"/>
  <c r="AU11" i="150"/>
  <c r="AU12" i="150"/>
  <c r="AT2" i="150"/>
  <c r="AT3" i="150"/>
  <c r="AT4" i="150"/>
  <c r="AT5" i="150"/>
  <c r="AT6" i="150"/>
  <c r="AT7" i="150"/>
  <c r="AT8" i="150"/>
  <c r="AT9" i="150"/>
  <c r="AT10" i="150"/>
  <c r="AT11" i="150"/>
  <c r="AT12" i="150"/>
  <c r="AR3" i="150"/>
  <c r="AR4" i="150"/>
  <c r="AR5" i="150"/>
  <c r="AX5" i="150" s="1"/>
  <c r="AR7" i="150"/>
  <c r="AX7" i="150" s="1"/>
  <c r="AR8" i="150"/>
  <c r="AX8" i="150" s="1"/>
  <c r="AR9" i="150"/>
  <c r="AX9" i="150" s="1"/>
  <c r="H6" i="129"/>
  <c r="H7" i="129"/>
  <c r="AX12" i="150" l="1"/>
  <c r="AX10" i="150"/>
  <c r="AX2" i="150"/>
  <c r="AX4" i="150"/>
  <c r="AX3" i="150"/>
  <c r="H8" i="129"/>
  <c r="H9" i="129"/>
  <c r="H10" i="129"/>
  <c r="H11" i="129"/>
  <c r="C1" i="154" l="1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<sst xmlns="http://schemas.openxmlformats.org/spreadsheetml/2006/main" count="881" uniqueCount="363">
  <si>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</si>
  <si>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</si>
  <si>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</si>
  <si>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</si>
  <si>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</si>
  <si>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</si>
  <si>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</si>
  <si>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</si>
  <si>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</si>
  <si>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</si>
  <si>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</si>
  <si>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</si>
  <si>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</si>
  <si>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</si>
  <si>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</si>
  <si>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</si>
  <si>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</si>
  <si>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</si>
  <si>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</si>
  <si>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</si>
  <si>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</si>
  <si>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</si>
  <si>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</si>
  <si>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</si>
  <si>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</si>
  <si>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</si>
  <si>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</si>
  <si>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</si>
  <si>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</si>
  <si>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</si>
  <si>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</si>
  <si>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</si>
  <si>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</si>
  <si>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</si>
  <si>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</si>
  <si>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</si>
  <si>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</si>
  <si>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</si>
  <si>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</si>
  <si>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</si>
  <si>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</si>
  <si>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</si>
  <si>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</si>
  <si>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</si>
  <si>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</si>
  <si>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</si>
  <si>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</si>
  <si>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</si>
  <si>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</si>
  <si>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</si>
  <si>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</si>
  <si>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</si>
  <si>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</si>
  <si>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</si>
  <si>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</si>
  <si>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</si>
  <si>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</si>
  <si>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</si>
  <si>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</si>
  <si>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</si>
  <si>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</si>
  <si>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</si>
  <si>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</si>
  <si>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</si>
  <si>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</si>
  <si>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</si>
  <si>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</si>
  <si>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</si>
  <si>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</si>
  <si>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</si>
  <si>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</si>
  <si>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</si>
  <si>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</si>
  <si>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</si>
  <si>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</si>
  <si>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</si>
  <si>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</si>
  <si>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</si>
  <si>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</si>
  <si>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</si>
  <si>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</si>
  <si>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</si>
  <si>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</si>
  <si>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</si>
  <si>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</si>
  <si>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</si>
  <si>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</si>
  <si>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</si>
  <si>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</si>
  <si>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</si>
  <si>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</si>
  <si>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</si>
  <si>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</si>
  <si>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</si>
  <si>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</si>
  <si>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</si>
  <si>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</si>
  <si>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</si>
  <si>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</si>
  <si>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</si>
  <si>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</si>
  <si>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</si>
  <si>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</si>
  <si>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</si>
  <si>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</si>
  <si>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</si>
  <si>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</si>
  <si>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</si>
  <si>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</si>
  <si>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</si>
  <si>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</si>
  <si>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</si>
  <si>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</si>
  <si>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</si>
  <si>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</si>
  <si>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</si>
  <si>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</si>
  <si>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</si>
  <si>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</si>
  <si>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</si>
  <si>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</si>
  <si>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</si>
  <si>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</si>
  <si>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</si>
  <si>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</si>
  <si>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</si>
  <si>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</si>
  <si>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</si>
  <si>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</si>
  <si>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</si>
  <si>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</si>
  <si>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</si>
  <si>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</si>
  <si>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</si>
  <si>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</si>
  <si>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</si>
  <si>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</si>
  <si>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</si>
  <si>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</si>
  <si>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</si>
  <si>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</si>
  <si>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</si>
  <si>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</si>
  <si>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</si>
  <si>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</si>
  <si>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</si>
  <si>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</si>
  <si>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</si>
  <si>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</si>
  <si>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</si>
  <si>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</si>
  <si>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</si>
  <si>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</si>
  <si>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</si>
  <si>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</si>
  <si>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</si>
  <si>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</si>
  <si>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</si>
  <si>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</si>
  <si>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</si>
  <si>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</si>
  <si>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</si>
  <si>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</si>
  <si>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</si>
  <si>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</si>
  <si>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</si>
  <si>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</si>
  <si>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</si>
  <si>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</si>
  <si>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</si>
  <si>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</si>
  <si>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</si>
  <si>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</si>
  <si>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</si>
  <si>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</si>
  <si>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</si>
  <si>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</si>
  <si>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</si>
  <si>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</si>
  <si>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</si>
  <si>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</si>
  <si>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</si>
  <si>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</si>
  <si>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</si>
  <si>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</si>
  <si>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</si>
  <si>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</si>
  <si>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</si>
  <si>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</si>
  <si>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</si>
  <si>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</si>
  <si>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</si>
  <si>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</si>
  <si>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</si>
  <si>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</si>
  <si>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</si>
  <si>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</si>
  <si>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</si>
  <si>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</si>
  <si>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</si>
  <si>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</si>
  <si>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</si>
  <si>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</si>
  <si>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</si>
  <si>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</si>
  <si>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</si>
  <si>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</si>
  <si>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</si>
  <si>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</si>
  <si>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</si>
  <si>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</si>
  <si>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</si>
  <si>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</si>
  <si>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</si>
  <si>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</si>
  <si>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</si>
  <si>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</si>
  <si>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</si>
  <si>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</si>
  <si>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</si>
  <si>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</si>
  <si>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</si>
  <si>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</si>
  <si>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</si>
  <si>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</si>
  <si>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</si>
  <si>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</si>
  <si>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</si>
  <si>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</si>
  <si>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</si>
  <si>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</si>
  <si>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</si>
  <si>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</si>
  <si>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</si>
  <si>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</si>
  <si>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</si>
  <si>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</si>
  <si>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</si>
  <si>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</si>
  <si>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</si>
  <si>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</si>
  <si>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</si>
  <si>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</si>
  <si>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</si>
  <si>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</si>
  <si>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</si>
  <si>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</si>
  <si>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</si>
  <si>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</si>
  <si>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</si>
  <si>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</si>
  <si>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</si>
  <si>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</si>
  <si>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</si>
  <si>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</si>
  <si>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</si>
  <si>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</si>
  <si>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</si>
  <si>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</si>
  <si>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</si>
  <si>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</si>
  <si>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</si>
  <si>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</si>
  <si>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</si>
  <si>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</si>
  <si>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</si>
  <si>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</si>
  <si>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</si>
  <si>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</si>
  <si>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</si>
  <si>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</si>
  <si>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</si>
  <si>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</si>
  <si>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</si>
  <si>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</si>
  <si>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</si>
  <si>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</si>
  <si>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</si>
  <si>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</si>
  <si>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</si>
  <si>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</si>
  <si>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</si>
  <si>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</si>
  <si>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</si>
  <si>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</si>
  <si>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</si>
  <si>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</si>
  <si>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</si>
  <si>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</si>
  <si>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</si>
  <si>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</si>
  <si>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</si>
  <si>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</si>
  <si>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</si>
  <si>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</si>
  <si>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</si>
  <si>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</si>
  <si>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</si>
  <si>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</si>
  <si>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</si>
  <si>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</si>
  <si>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</si>
  <si>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</si>
  <si>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</si>
  <si>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</si>
  <si>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</si>
  <si>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</si>
  <si>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</si>
  <si>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</si>
  <si>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</si>
  <si>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</si>
  <si>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VALIDASI3 (InputWO)</t>
  </si>
  <si>
    <t>VALIDASI1 (Barang)</t>
  </si>
  <si>
    <t>TRUCK</t>
  </si>
  <si>
    <t>006/GGI/01/V/2024</t>
  </si>
  <si>
    <t>Z:\path file\MACRO_RPA - Pembuatan Dokumen di CEISA 4.0\BC 41\CONTOH FILE 41\00004131560820241108000115.xlsx</t>
  </si>
  <si>
    <t>Z:\path file\MACRO_RPA - Pembuatan Dokumen di CEISA 4.0\BC 41\CONTOH FILE 41\INVOICE 006 DEEN &amp; JEAN REVISI.xlsx</t>
  </si>
  <si>
    <t>00004131560820241108000115</t>
  </si>
  <si>
    <t>DAVID KURNIAWAN WINARTO</t>
  </si>
  <si>
    <t>2024-05-27</t>
  </si>
  <si>
    <t>UNISEX SHORT OVERALL NAVY (D&amp;J4)</t>
  </si>
  <si>
    <t>UNISEX LONG OVERALL NAVY (D&amp;J5)</t>
  </si>
  <si>
    <t>PO:02/GGI/III/2024 DD</t>
  </si>
  <si>
    <t>CARTON BOX, DWKM150 56CM X 40CM X 30CM</t>
  </si>
  <si>
    <t>CARTON BOX, DWKM15056CM X 40CM X 30CM</t>
  </si>
  <si>
    <t>CARTON DOUBLE WALL, 5 PLY60 X 40 X 30 CM</t>
  </si>
  <si>
    <t>CARTON DOUBLE WALL, 5 PLY 60 X 40 X 30 CM</t>
  </si>
  <si>
    <t>CARTON DOUBLE WALL, 5 PLY - 60 X 40 X 30 CM</t>
  </si>
  <si>
    <t>CARTON BOX TOMMY HILFIGER 50CM X 33CM X 30CM</t>
  </si>
  <si>
    <t>CARTON BOX, K200/M125 X 3/K150 P58 X L38 X T38, DOUBLE WALL</t>
  </si>
  <si>
    <t>093147</t>
  </si>
  <si>
    <t>095626</t>
  </si>
  <si>
    <t>05054000520520221021004369</t>
  </si>
  <si>
    <t>05054000520520221109004493</t>
  </si>
  <si>
    <t>05054000520520220804003005</t>
  </si>
  <si>
    <t>05054000520520221111004508</t>
  </si>
  <si>
    <t>05054000520520220916003712</t>
  </si>
  <si>
    <t>05054000520520220810003123</t>
  </si>
  <si>
    <t>05054000520520221012004234</t>
  </si>
  <si>
    <t>05054000520520221021004368</t>
  </si>
  <si>
    <t>05054000520520220916003734</t>
  </si>
  <si>
    <t>05054000520520221115004528</t>
  </si>
  <si>
    <t>05054000520520221215004802</t>
  </si>
  <si>
    <t>2022-10-21</t>
  </si>
  <si>
    <t>2022-11-09</t>
  </si>
  <si>
    <t>2022-08-04</t>
  </si>
  <si>
    <t>2022-11-11</t>
  </si>
  <si>
    <t>2022-09-16</t>
  </si>
  <si>
    <t>2022-08-10</t>
  </si>
  <si>
    <t>2022-10-12</t>
  </si>
  <si>
    <t>2022-11-15</t>
  </si>
  <si>
    <t>2022-12-15</t>
  </si>
  <si>
    <t>Z:\path file\MACRO_RPA - Pembuatan Dokumen di CEISA 4.0\BC 41\CONTOH FILE 41\FORMAT 2 INPUT USER GET EXDOC .xlsm</t>
  </si>
  <si>
    <t>D 1739 GA</t>
  </si>
  <si>
    <t>124380</t>
  </si>
  <si>
    <t>131104</t>
  </si>
  <si>
    <t>132233</t>
  </si>
  <si>
    <t>110367</t>
  </si>
  <si>
    <t>120736</t>
  </si>
  <si>
    <t>124222</t>
  </si>
  <si>
    <t>110637</t>
  </si>
  <si>
    <t>133246</t>
  </si>
  <si>
    <t>144708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</si>
</sst>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9" fillId="0" borderId="0" xfId="0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47" fillId="3" borderId="0" xfId="1" applyNumberFormat="1" applyFont="1" applyFill="1"/>
    <xf numFmtId="166" fontId="47" fillId="3" borderId="0" xfId="1" applyNumberFormat="1" applyFont="1" applyFill="1" applyAlignment="1">
      <alignment horizontal="center"/>
    </xf>
    <xf numFmtId="0" fontId="47" fillId="4" borderId="0" xfId="1" applyNumberFormat="1" applyFont="1" applyFill="1" applyAlignment="1">
      <alignment horizontal="center"/>
    </xf>
    <xf numFmtId="0" fontId="3" fillId="0" borderId="0" xfId="1" applyNumberFormat="1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G10" sqref="G10"/>
    </sheetView>
  </sheetViews>
  <sheetFormatPr defaultRowHeight="14.5" x14ac:dyDescent="0.35"/>
  <sheetData>
    <row r="1" spans="1:14" s="3" customFormat="1" x14ac:dyDescent="0.35">
      <c r="A1" s="54"/>
    </row>
    <row r="2" spans="1:14" s="3" customFormat="1" x14ac:dyDescent="0.35">
      <c r="A2" s="64"/>
    </row>
    <row r="3" spans="1:14" s="3" customFormat="1" x14ac:dyDescent="0.35"/>
    <row r="4" spans="1:14" s="3" customFormat="1" x14ac:dyDescent="0.35"/>
    <row r="5" spans="1:14" s="53" customFormat="1" ht="7.5" customHeight="1" x14ac:dyDescent="0.3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35">
      <c r="A6" s="51"/>
    </row>
    <row r="7" spans="1:14" s="52" customFormat="1" x14ac:dyDescent="0.35"/>
    <row r="8" spans="1:14" s="52" customFormat="1" x14ac:dyDescent="0.3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35">
      <c r="H9" s="83"/>
      <c r="I9" s="83"/>
      <c r="J9" s="83"/>
      <c r="K9" s="83"/>
      <c r="L9" s="83"/>
      <c r="M9" s="83"/>
    </row>
    <row r="10" spans="1:14" s="52" customFormat="1" x14ac:dyDescent="0.35">
      <c r="H10" s="83"/>
      <c r="I10" s="83"/>
      <c r="J10" s="83"/>
      <c r="K10" s="83"/>
      <c r="L10" s="83"/>
      <c r="M10" s="83"/>
    </row>
    <row r="11" spans="1:14" s="52" customFormat="1" x14ac:dyDescent="0.35">
      <c r="H11" s="83"/>
      <c r="I11" s="83"/>
      <c r="J11" s="83"/>
      <c r="K11" s="83"/>
      <c r="L11" s="83"/>
      <c r="M11" s="83"/>
    </row>
    <row r="12" spans="1:14" s="52" customFormat="1" x14ac:dyDescent="0.35"/>
    <row r="13" spans="1:14" s="52" customFormat="1" x14ac:dyDescent="0.35">
      <c r="A13" s="51"/>
    </row>
    <row r="14" spans="1:14" s="2" customFormat="1" ht="6" customHeight="1" x14ac:dyDescent="0.3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35"/>
    <row r="16" spans="1:14" s="3" customFormat="1" x14ac:dyDescent="0.35"/>
    <row r="17" s="3" customFormat="1" x14ac:dyDescent="0.35"/>
    <row r="18" s="3" customFormat="1" x14ac:dyDescent="0.35"/>
    <row r="19" s="3" customFormat="1" x14ac:dyDescent="0.35"/>
    <row r="20" s="3" customFormat="1" x14ac:dyDescent="0.35"/>
    <row r="21" s="3" customFormat="1" x14ac:dyDescent="0.35"/>
    <row r="22" s="3" customFormat="1" x14ac:dyDescent="0.35"/>
    <row r="23" s="3" customFormat="1" x14ac:dyDescent="0.35"/>
    <row r="24" s="3" customFormat="1" x14ac:dyDescent="0.35"/>
    <row r="25" s="3" customFormat="1" x14ac:dyDescent="0.35"/>
    <row r="26" s="3" customFormat="1" x14ac:dyDescent="0.35"/>
    <row r="27" s="3" customFormat="1" x14ac:dyDescent="0.35"/>
    <row r="28" s="3" customFormat="1" x14ac:dyDescent="0.35"/>
    <row r="29" s="3" customFormat="1" x14ac:dyDescent="0.35"/>
    <row r="30" s="3" customFormat="1" x14ac:dyDescent="0.35"/>
    <row r="31" s="3" customFormat="1" x14ac:dyDescent="0.35"/>
    <row r="32" s="3" customFormat="1" x14ac:dyDescent="0.35"/>
    <row r="33" s="3" customFormat="1" x14ac:dyDescent="0.35"/>
    <row r="34" s="3" customFormat="1" x14ac:dyDescent="0.35"/>
    <row r="35" s="3" customFormat="1" x14ac:dyDescent="0.35"/>
    <row r="36" s="3" customFormat="1" x14ac:dyDescent="0.35"/>
    <row r="37" s="3" customFormat="1" x14ac:dyDescent="0.35"/>
    <row r="38" s="3" customFormat="1" x14ac:dyDescent="0.35"/>
    <row r="39" s="3" customFormat="1" x14ac:dyDescent="0.35"/>
    <row r="40" s="3" customFormat="1" x14ac:dyDescent="0.35"/>
    <row r="41" s="3" customFormat="1" x14ac:dyDescent="0.35"/>
    <row r="42" s="3" customFormat="1" x14ac:dyDescent="0.35"/>
    <row r="43" s="3" customFormat="1" x14ac:dyDescent="0.35"/>
    <row r="44" s="3" customFormat="1" x14ac:dyDescent="0.35"/>
    <row r="45" s="3" customFormat="1" x14ac:dyDescent="0.35"/>
    <row r="46" s="3" customFormat="1" x14ac:dyDescent="0.35"/>
    <row r="47" s="3" customFormat="1" x14ac:dyDescent="0.35"/>
    <row r="48" s="3" customFormat="1" x14ac:dyDescent="0.35"/>
    <row r="49" s="3" customFormat="1" x14ac:dyDescent="0.35"/>
    <row r="50" s="3" customFormat="1" x14ac:dyDescent="0.35"/>
    <row r="51" s="3" customFormat="1" x14ac:dyDescent="0.35"/>
    <row r="52" s="3" customFormat="1" x14ac:dyDescent="0.35"/>
    <row r="53" s="3" customFormat="1" x14ac:dyDescent="0.35"/>
    <row r="54" s="3" customFormat="1" x14ac:dyDescent="0.35"/>
    <row r="55" s="3" customFormat="1" x14ac:dyDescent="0.35"/>
    <row r="56" s="3" customFormat="1" x14ac:dyDescent="0.35"/>
    <row r="57" s="3" customFormat="1" x14ac:dyDescent="0.35"/>
    <row r="58" s="3" customFormat="1" x14ac:dyDescent="0.35"/>
    <row r="59" s="3" customFormat="1" x14ac:dyDescent="0.35"/>
    <row r="60" s="3" customFormat="1" x14ac:dyDescent="0.35"/>
    <row r="61" s="3" customFormat="1" x14ac:dyDescent="0.35"/>
    <row r="62" s="3" customFormat="1" x14ac:dyDescent="0.35"/>
    <row r="63" s="3" customFormat="1" x14ac:dyDescent="0.35"/>
    <row r="64" s="3" customFormat="1" x14ac:dyDescent="0.35"/>
    <row r="65" s="3" customFormat="1" x14ac:dyDescent="0.35"/>
    <row r="66" s="3" customFormat="1" x14ac:dyDescent="0.35"/>
    <row r="67" s="3" customFormat="1" x14ac:dyDescent="0.35"/>
    <row r="68" s="3" customFormat="1" x14ac:dyDescent="0.35"/>
    <row r="69" s="3" customFormat="1" x14ac:dyDescent="0.35"/>
    <row r="70" s="3" customFormat="1" x14ac:dyDescent="0.35"/>
    <row r="71" s="3" customFormat="1" x14ac:dyDescent="0.35"/>
    <row r="72" s="3" customFormat="1" x14ac:dyDescent="0.35"/>
    <row r="73" s="3" customFormat="1" x14ac:dyDescent="0.35"/>
    <row r="74" s="3" customFormat="1" x14ac:dyDescent="0.35"/>
    <row r="75" s="3" customFormat="1" x14ac:dyDescent="0.35"/>
    <row r="76" s="3" customFormat="1" x14ac:dyDescent="0.35"/>
    <row r="77" s="3" customFormat="1" x14ac:dyDescent="0.35"/>
    <row r="78" s="3" customFormat="1" x14ac:dyDescent="0.35"/>
    <row r="79" s="3" customFormat="1" x14ac:dyDescent="0.35"/>
    <row r="80" s="3" customFormat="1" x14ac:dyDescent="0.35"/>
    <row r="81" s="3" customFormat="1" x14ac:dyDescent="0.35"/>
    <row r="82" s="3" customFormat="1" x14ac:dyDescent="0.35"/>
    <row r="83" s="3" customFormat="1" x14ac:dyDescent="0.35"/>
    <row r="84" s="3" customFormat="1" x14ac:dyDescent="0.35"/>
    <row r="85" s="3" customFormat="1" x14ac:dyDescent="0.35"/>
    <row r="86" s="3" customFormat="1" x14ac:dyDescent="0.35"/>
    <row r="87" s="3" customFormat="1" x14ac:dyDescent="0.35"/>
    <row r="88" s="3" customFormat="1" x14ac:dyDescent="0.35"/>
    <row r="89" s="3" customFormat="1" x14ac:dyDescent="0.35"/>
    <row r="90" s="3" customFormat="1" x14ac:dyDescent="0.35"/>
    <row r="91" s="3" customFormat="1" x14ac:dyDescent="0.35"/>
    <row r="92" s="3" customFormat="1" x14ac:dyDescent="0.35"/>
    <row r="93" s="3" customFormat="1" x14ac:dyDescent="0.35"/>
    <row r="94" s="3" customFormat="1" x14ac:dyDescent="0.35"/>
    <row r="95" s="3" customFormat="1" x14ac:dyDescent="0.35"/>
    <row r="96" s="3" customFormat="1" x14ac:dyDescent="0.35"/>
    <row r="97" s="3" customFormat="1" x14ac:dyDescent="0.35"/>
    <row r="98" s="3" customFormat="1" x14ac:dyDescent="0.35"/>
    <row r="99" s="3" customFormat="1" x14ac:dyDescent="0.35"/>
    <row r="100" s="3" customFormat="1" x14ac:dyDescent="0.3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4.5" x14ac:dyDescent="0.35"/>
  <cols>
    <col min="1" max="1" width="7" customWidth="1"/>
    <col min="2" max="2" width="7.453125" customWidth="1"/>
    <col min="3" max="3" width="14.26953125" customWidth="1"/>
    <col min="4" max="4" width="9" bestFit="1" customWidth="1"/>
    <col min="5" max="5" width="10.1796875" customWidth="1"/>
    <col min="6" max="6" width="12" bestFit="1" customWidth="1"/>
    <col min="7" max="7" width="15.54296875" bestFit="1" customWidth="1"/>
    <col min="8" max="9" width="15.54296875" customWidth="1"/>
    <col min="10" max="10" width="19.54296875" customWidth="1"/>
    <col min="11" max="11" width="16.1796875" customWidth="1"/>
    <col min="12" max="12" width="12" bestFit="1" customWidth="1"/>
    <col min="13" max="13" width="15.26953125" bestFit="1" customWidth="1"/>
    <col min="14" max="15" width="15.26953125" customWidth="1"/>
    <col min="16" max="16" width="18" bestFit="1" customWidth="1"/>
    <col min="17" max="18" width="18" customWidth="1"/>
    <col min="19" max="19" width="17.26953125" bestFit="1" customWidth="1"/>
    <col min="20" max="21" width="17.26953125" customWidth="1"/>
    <col min="22" max="22" width="19.81640625" bestFit="1" customWidth="1"/>
    <col min="23" max="24" width="19.81640625" customWidth="1"/>
    <col min="25" max="25" width="11" customWidth="1"/>
    <col min="26" max="26" width="10.453125" customWidth="1"/>
    <col min="27" max="27" width="12" bestFit="1" customWidth="1"/>
    <col min="28" max="28" width="13.54296875" customWidth="1"/>
    <col min="29" max="29" width="11.453125" customWidth="1"/>
    <col min="30" max="30" width="13" customWidth="1"/>
    <col min="31" max="31" width="14" customWidth="1"/>
    <col min="32" max="32" width="11.7265625" customWidth="1"/>
    <col min="33" max="33" width="12.81640625" customWidth="1"/>
    <col min="34" max="34" width="9.7265625" customWidth="1"/>
    <col min="35" max="35" width="10.453125" customWidth="1"/>
    <col min="36" max="36" width="13.26953125" customWidth="1"/>
    <col min="37" max="51" width="1.7265625" hidden="1" customWidth="1"/>
    <col min="52" max="52" width="1" customWidth="1"/>
  </cols>
  <sheetData>
    <row r="1" spans="1:52" x14ac:dyDescent="0.35">
      <c r="A1" s="23" t="s">
        <v>118</v>
      </c>
    </row>
    <row r="2" spans="1:52" x14ac:dyDescent="0.35">
      <c r="A2" s="13" t="s">
        <v>110</v>
      </c>
    </row>
    <row r="3" spans="1:52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35">
      <c r="A4" s="93" t="s">
        <v>99</v>
      </c>
      <c r="B4" s="93"/>
      <c r="C4" s="26" t="s">
        <v>93</v>
      </c>
      <c r="D4" s="92" t="s">
        <v>100</v>
      </c>
      <c r="E4" s="93"/>
      <c r="F4" s="26" t="s">
        <v>93</v>
      </c>
      <c r="G4" s="92" t="s">
        <v>94</v>
      </c>
      <c r="H4" s="93"/>
      <c r="I4" s="26" t="s">
        <v>93</v>
      </c>
      <c r="J4" s="92" t="s">
        <v>101</v>
      </c>
      <c r="K4" s="93"/>
      <c r="L4" s="26" t="s">
        <v>93</v>
      </c>
      <c r="M4" s="92" t="s">
        <v>102</v>
      </c>
      <c r="N4" s="93"/>
      <c r="O4" s="26" t="s">
        <v>93</v>
      </c>
      <c r="P4" s="94" t="s">
        <v>103</v>
      </c>
      <c r="Q4" s="95"/>
      <c r="R4" s="26" t="s">
        <v>93</v>
      </c>
      <c r="S4" s="92" t="s">
        <v>104</v>
      </c>
      <c r="T4" s="93"/>
      <c r="U4" s="26" t="s">
        <v>93</v>
      </c>
      <c r="V4" s="92" t="s">
        <v>105</v>
      </c>
      <c r="W4" s="93"/>
      <c r="X4" s="26" t="s">
        <v>93</v>
      </c>
      <c r="Y4" s="94" t="s">
        <v>106</v>
      </c>
      <c r="Z4" s="95"/>
      <c r="AA4" s="26" t="s">
        <v>93</v>
      </c>
      <c r="AB4" s="92" t="s">
        <v>19</v>
      </c>
      <c r="AC4" s="93"/>
      <c r="AD4" s="26" t="s">
        <v>93</v>
      </c>
      <c r="AE4" s="92" t="s">
        <v>126</v>
      </c>
      <c r="AF4" s="93"/>
      <c r="AG4" s="26" t="s">
        <v>93</v>
      </c>
      <c r="AH4" s="86" t="s">
        <v>107</v>
      </c>
      <c r="AI4" s="87"/>
      <c r="AJ4" s="26" t="s">
        <v>93</v>
      </c>
      <c r="AK4" s="86"/>
      <c r="AL4" s="87"/>
      <c r="AM4" s="88"/>
      <c r="AN4" s="86"/>
      <c r="AO4" s="87"/>
      <c r="AP4" s="88"/>
      <c r="AQ4" s="86"/>
      <c r="AR4" s="87"/>
      <c r="AS4" s="88"/>
      <c r="AT4" s="86"/>
      <c r="AU4" s="87"/>
      <c r="AV4" s="88"/>
      <c r="AW4" s="86"/>
      <c r="AX4" s="87"/>
      <c r="AY4" s="88"/>
      <c r="AZ4" s="90"/>
    </row>
    <row r="5" spans="1:52" ht="15.5" x14ac:dyDescent="0.3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89"/>
      <c r="AN5" s="22"/>
      <c r="AO5" s="19"/>
      <c r="AP5" s="89"/>
      <c r="AQ5" s="22"/>
      <c r="AR5" s="19"/>
      <c r="AS5" s="89"/>
      <c r="AT5" s="22"/>
      <c r="AU5" s="19"/>
      <c r="AV5" s="89"/>
      <c r="AW5" s="22"/>
      <c r="AX5" s="19"/>
      <c r="AY5" s="89"/>
      <c r="AZ5" s="91"/>
    </row>
    <row r="6" spans="1:52" x14ac:dyDescent="0.3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3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3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4.5" x14ac:dyDescent="0.35"/>
  <cols>
    <col min="1" max="1" width="12.1796875" customWidth="1"/>
    <col min="2" max="2" width="11.1796875" customWidth="1"/>
    <col min="3" max="3" width="14.26953125" customWidth="1"/>
    <col min="4" max="4" width="22.26953125" hidden="1" customWidth="1"/>
    <col min="5" max="5" width="14" hidden="1" customWidth="1"/>
    <col min="6" max="6" width="12" hidden="1" customWidth="1"/>
    <col min="7" max="7" width="21.1796875" bestFit="1" customWidth="1"/>
    <col min="9" max="9" width="12" bestFit="1" customWidth="1"/>
    <col min="10" max="10" width="11" customWidth="1"/>
    <col min="11" max="11" width="10.453125" customWidth="1"/>
    <col min="12" max="12" width="12" bestFit="1" customWidth="1"/>
    <col min="13" max="13" width="19.81640625" bestFit="1" customWidth="1"/>
    <col min="14" max="15" width="19.81640625" customWidth="1"/>
    <col min="16" max="16" width="17" customWidth="1"/>
    <col min="17" max="17" width="17.7265625" customWidth="1"/>
    <col min="18" max="18" width="12" bestFit="1" customWidth="1"/>
    <col min="19" max="19" width="15.54296875" bestFit="1" customWidth="1"/>
    <col min="20" max="21" width="15.54296875" customWidth="1"/>
    <col min="22" max="22" width="13.7265625" customWidth="1"/>
    <col min="23" max="23" width="14" customWidth="1"/>
    <col min="24" max="24" width="12" bestFit="1" customWidth="1"/>
    <col min="25" max="25" width="15.26953125" bestFit="1" customWidth="1"/>
    <col min="26" max="27" width="15.26953125" customWidth="1"/>
    <col min="28" max="28" width="18" bestFit="1" customWidth="1"/>
    <col min="29" max="30" width="18" customWidth="1"/>
    <col min="31" max="31" width="17.26953125" bestFit="1" customWidth="1"/>
    <col min="32" max="33" width="17.26953125" customWidth="1"/>
    <col min="34" max="51" width="1.7265625" hidden="1" customWidth="1"/>
    <col min="52" max="52" width="1" customWidth="1"/>
  </cols>
  <sheetData>
    <row r="1" spans="1:53" x14ac:dyDescent="0.35">
      <c r="A1" s="23" t="s">
        <v>117</v>
      </c>
    </row>
    <row r="2" spans="1:53" x14ac:dyDescent="0.35">
      <c r="A2" s="13" t="s">
        <v>110</v>
      </c>
    </row>
    <row r="3" spans="1:53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35">
      <c r="A4" s="93" t="s">
        <v>111</v>
      </c>
      <c r="B4" s="93"/>
      <c r="C4" s="88" t="s">
        <v>93</v>
      </c>
      <c r="D4" s="92" t="s">
        <v>123</v>
      </c>
      <c r="E4" s="93"/>
      <c r="F4" s="88" t="s">
        <v>93</v>
      </c>
      <c r="G4" s="92" t="s">
        <v>114</v>
      </c>
      <c r="H4" s="93"/>
      <c r="I4" s="88" t="s">
        <v>93</v>
      </c>
      <c r="J4" s="94" t="s">
        <v>113</v>
      </c>
      <c r="K4" s="95"/>
      <c r="L4" s="88" t="s">
        <v>93</v>
      </c>
      <c r="M4" s="92" t="s">
        <v>112</v>
      </c>
      <c r="N4" s="93"/>
      <c r="O4" s="88" t="s">
        <v>93</v>
      </c>
      <c r="P4" s="92" t="s">
        <v>115</v>
      </c>
      <c r="Q4" s="93"/>
      <c r="R4" s="88" t="s">
        <v>93</v>
      </c>
      <c r="S4" s="92" t="s">
        <v>116</v>
      </c>
      <c r="T4" s="93"/>
      <c r="U4" s="88" t="s">
        <v>93</v>
      </c>
      <c r="V4" s="92" t="s">
        <v>119</v>
      </c>
      <c r="W4" s="93"/>
      <c r="X4" s="88" t="s">
        <v>93</v>
      </c>
      <c r="Y4" s="92" t="s">
        <v>120</v>
      </c>
      <c r="Z4" s="93"/>
      <c r="AA4" s="88" t="s">
        <v>93</v>
      </c>
      <c r="AB4" s="94" t="s">
        <v>121</v>
      </c>
      <c r="AC4" s="95"/>
      <c r="AD4" s="88" t="s">
        <v>93</v>
      </c>
      <c r="AE4" s="92" t="s">
        <v>122</v>
      </c>
      <c r="AF4" s="93"/>
      <c r="AG4" s="88" t="s">
        <v>93</v>
      </c>
      <c r="AH4" s="86"/>
      <c r="AI4" s="87"/>
      <c r="AJ4" s="88"/>
      <c r="AK4" s="86"/>
      <c r="AL4" s="87"/>
      <c r="AM4" s="88"/>
      <c r="AN4" s="86"/>
      <c r="AO4" s="87"/>
      <c r="AP4" s="88"/>
      <c r="AQ4" s="86"/>
      <c r="AR4" s="87"/>
      <c r="AS4" s="88"/>
      <c r="AT4" s="86"/>
      <c r="AU4" s="87"/>
      <c r="AV4" s="88"/>
      <c r="AW4" s="86"/>
      <c r="AX4" s="87"/>
      <c r="AY4" s="88"/>
      <c r="AZ4" s="90"/>
      <c r="BA4" s="25"/>
    </row>
    <row r="5" spans="1:53" ht="15.5" x14ac:dyDescent="0.35">
      <c r="A5" s="20" t="s">
        <v>108</v>
      </c>
      <c r="B5" s="19" t="s">
        <v>109</v>
      </c>
      <c r="C5" s="89"/>
      <c r="D5" s="22" t="s">
        <v>108</v>
      </c>
      <c r="E5" s="19" t="s">
        <v>109</v>
      </c>
      <c r="F5" s="89"/>
      <c r="G5" s="22" t="s">
        <v>108</v>
      </c>
      <c r="H5" s="19" t="s">
        <v>109</v>
      </c>
      <c r="I5" s="89"/>
      <c r="J5" s="22" t="s">
        <v>108</v>
      </c>
      <c r="K5" s="19" t="s">
        <v>109</v>
      </c>
      <c r="L5" s="89"/>
      <c r="M5" s="22" t="s">
        <v>108</v>
      </c>
      <c r="N5" s="19" t="s">
        <v>109</v>
      </c>
      <c r="O5" s="89"/>
      <c r="P5" s="21" t="s">
        <v>108</v>
      </c>
      <c r="Q5" s="19" t="s">
        <v>109</v>
      </c>
      <c r="R5" s="89"/>
      <c r="S5" s="21" t="s">
        <v>108</v>
      </c>
      <c r="T5" s="19" t="s">
        <v>109</v>
      </c>
      <c r="U5" s="89"/>
      <c r="V5" s="22" t="s">
        <v>108</v>
      </c>
      <c r="W5" s="19" t="s">
        <v>109</v>
      </c>
      <c r="X5" s="89"/>
      <c r="Y5" s="22" t="s">
        <v>108</v>
      </c>
      <c r="Z5" s="19" t="s">
        <v>109</v>
      </c>
      <c r="AA5" s="89"/>
      <c r="AB5" s="22" t="s">
        <v>108</v>
      </c>
      <c r="AC5" s="19" t="s">
        <v>109</v>
      </c>
      <c r="AD5" s="89"/>
      <c r="AE5" s="22" t="s">
        <v>108</v>
      </c>
      <c r="AF5" s="19" t="s">
        <v>109</v>
      </c>
      <c r="AG5" s="89"/>
      <c r="AH5" s="22"/>
      <c r="AI5" s="19"/>
      <c r="AJ5" s="89"/>
      <c r="AK5" s="22"/>
      <c r="AL5" s="19"/>
      <c r="AM5" s="89"/>
      <c r="AN5" s="22"/>
      <c r="AO5" s="19"/>
      <c r="AP5" s="89"/>
      <c r="AQ5" s="22"/>
      <c r="AR5" s="19"/>
      <c r="AS5" s="89"/>
      <c r="AT5" s="22"/>
      <c r="AU5" s="19"/>
      <c r="AV5" s="89"/>
      <c r="AW5" s="22"/>
      <c r="AX5" s="19"/>
      <c r="AY5" s="89"/>
      <c r="AZ5" s="91"/>
    </row>
    <row r="6" spans="1:53" x14ac:dyDescent="0.3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3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3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35">
      <c r="A6" s="96" t="s">
        <v>128</v>
      </c>
      <c r="B6" s="96"/>
      <c r="C6" s="41"/>
      <c r="D6" s="42"/>
      <c r="E6" s="41"/>
      <c r="F6" s="43"/>
    </row>
    <row r="7" spans="1:7" x14ac:dyDescent="0.3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3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3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3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3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3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3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3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3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3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3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3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35">
      <c r="A19" s="96" t="s">
        <v>129</v>
      </c>
      <c r="B19" s="96"/>
      <c r="C19" s="45"/>
      <c r="D19" s="46"/>
      <c r="E19" s="45"/>
      <c r="F19" s="43"/>
    </row>
    <row r="20" spans="1:6" x14ac:dyDescent="0.3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3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3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3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3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3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3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3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3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3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35">
      <c r="C30" s="18"/>
      <c r="D30" s="28"/>
      <c r="E30" s="16"/>
      <c r="F30" s="17"/>
    </row>
    <row r="31" spans="1:6" x14ac:dyDescent="0.35">
      <c r="C31" s="18"/>
      <c r="D31" s="28"/>
      <c r="E31" s="16"/>
      <c r="F31" s="17"/>
    </row>
    <row r="32" spans="1:6" x14ac:dyDescent="0.35">
      <c r="C32" s="18"/>
      <c r="D32" s="28"/>
      <c r="E32" s="16"/>
      <c r="F32" s="17"/>
    </row>
    <row r="33" spans="3:6" x14ac:dyDescent="0.35">
      <c r="C33" s="18"/>
      <c r="D33" s="28"/>
      <c r="E33" s="16"/>
      <c r="F33" s="17"/>
    </row>
    <row r="34" spans="3:6" x14ac:dyDescent="0.35">
      <c r="C34" s="18"/>
      <c r="D34" s="28"/>
      <c r="E34" s="16"/>
      <c r="F34" s="17"/>
    </row>
    <row r="35" spans="3:6" x14ac:dyDescent="0.35">
      <c r="C35" s="18"/>
      <c r="D35" s="28"/>
      <c r="E35" s="16"/>
      <c r="F35" s="17"/>
    </row>
    <row r="36" spans="3:6" x14ac:dyDescent="0.35">
      <c r="C36" s="18"/>
      <c r="D36" s="28"/>
      <c r="E36" s="16"/>
      <c r="F36" s="17"/>
    </row>
    <row r="37" spans="3:6" x14ac:dyDescent="0.35">
      <c r="C37" s="18"/>
      <c r="D37" s="28"/>
      <c r="E37" s="16"/>
      <c r="F37" s="17"/>
    </row>
    <row r="38" spans="3:6" x14ac:dyDescent="0.35">
      <c r="C38" s="18"/>
      <c r="D38" s="28"/>
      <c r="E38" s="16"/>
      <c r="F38" s="17"/>
    </row>
    <row r="39" spans="3:6" x14ac:dyDescent="0.35">
      <c r="C39" s="18"/>
      <c r="D39" s="28"/>
      <c r="E39" s="16"/>
      <c r="F39" s="17"/>
    </row>
    <row r="40" spans="3:6" x14ac:dyDescent="0.35">
      <c r="C40" s="18"/>
      <c r="D40" s="28"/>
      <c r="E40" s="16"/>
      <c r="F40" s="17"/>
    </row>
    <row r="41" spans="3:6" x14ac:dyDescent="0.35">
      <c r="C41" s="18"/>
      <c r="D41" s="28"/>
      <c r="E41" s="16"/>
      <c r="F41" s="17"/>
    </row>
    <row r="42" spans="3:6" x14ac:dyDescent="0.35">
      <c r="C42" s="18"/>
      <c r="D42" s="28"/>
      <c r="E42" s="16"/>
      <c r="F42" s="17"/>
    </row>
    <row r="43" spans="3:6" x14ac:dyDescent="0.35">
      <c r="C43" s="18"/>
      <c r="D43" s="28"/>
      <c r="E43" s="16"/>
      <c r="F43" s="17"/>
    </row>
    <row r="44" spans="3:6" x14ac:dyDescent="0.35">
      <c r="C44" s="18"/>
      <c r="D44" s="28"/>
      <c r="E44" s="16"/>
      <c r="F44" s="17"/>
    </row>
    <row r="45" spans="3:6" x14ac:dyDescent="0.35">
      <c r="C45" s="18"/>
      <c r="D45" s="28"/>
      <c r="E45" s="16"/>
      <c r="F45" s="17"/>
    </row>
    <row r="46" spans="3:6" x14ac:dyDescent="0.35">
      <c r="C46" s="18"/>
      <c r="D46" s="28"/>
      <c r="E46" s="16"/>
      <c r="F46" s="17"/>
    </row>
    <row r="47" spans="3:6" x14ac:dyDescent="0.35">
      <c r="C47" s="18"/>
      <c r="D47" s="28"/>
      <c r="E47" s="16"/>
      <c r="F47" s="17"/>
    </row>
    <row r="48" spans="3:6" x14ac:dyDescent="0.35">
      <c r="C48" s="18"/>
      <c r="D48" s="28"/>
      <c r="E48" s="16"/>
      <c r="F48" s="17"/>
    </row>
    <row r="49" spans="3:5" x14ac:dyDescent="0.35">
      <c r="C49" s="18"/>
      <c r="D49" s="28"/>
      <c r="E49" s="16"/>
    </row>
    <row r="50" spans="3:5" x14ac:dyDescent="0.35">
      <c r="C50" s="18"/>
      <c r="D50" s="28"/>
      <c r="E50" s="16"/>
    </row>
    <row r="51" spans="3:5" x14ac:dyDescent="0.35">
      <c r="C51" s="18"/>
      <c r="D51" s="28"/>
      <c r="E51" s="16"/>
    </row>
    <row r="52" spans="3:5" x14ac:dyDescent="0.35">
      <c r="C52" s="18"/>
      <c r="D52" s="28"/>
      <c r="E52" s="16"/>
    </row>
    <row r="53" spans="3:5" x14ac:dyDescent="0.35">
      <c r="C53" s="18"/>
      <c r="D53" s="28"/>
      <c r="E53" s="16"/>
    </row>
    <row r="54" spans="3:5" x14ac:dyDescent="0.35">
      <c r="C54" s="18"/>
      <c r="D54" s="28"/>
      <c r="E54" s="16"/>
    </row>
    <row r="55" spans="3:5" x14ac:dyDescent="0.35">
      <c r="C55" s="18"/>
      <c r="D55" s="28"/>
      <c r="E55" s="16"/>
    </row>
    <row r="56" spans="3:5" x14ac:dyDescent="0.35">
      <c r="C56" s="18"/>
      <c r="D56" s="28"/>
      <c r="E56" s="16"/>
    </row>
    <row r="57" spans="3:5" x14ac:dyDescent="0.35">
      <c r="C57" s="18"/>
      <c r="D57" s="28"/>
      <c r="E57" s="16"/>
    </row>
    <row r="58" spans="3:5" x14ac:dyDescent="0.35">
      <c r="C58" s="18"/>
      <c r="D58" s="28"/>
      <c r="E58" s="16"/>
    </row>
    <row r="59" spans="3:5" x14ac:dyDescent="0.35">
      <c r="C59" s="18"/>
      <c r="D59" s="28"/>
      <c r="E59" s="16"/>
    </row>
    <row r="60" spans="3:5" x14ac:dyDescent="0.35">
      <c r="C60" s="18"/>
      <c r="D60" s="28"/>
      <c r="E60" s="16"/>
    </row>
    <row r="61" spans="3:5" x14ac:dyDescent="0.35">
      <c r="C61" s="18"/>
      <c r="D61" s="28"/>
      <c r="E61" s="16"/>
    </row>
    <row r="62" spans="3:5" x14ac:dyDescent="0.35">
      <c r="C62" s="18"/>
      <c r="D62" s="28"/>
      <c r="E62" s="16"/>
    </row>
    <row r="63" spans="3:5" x14ac:dyDescent="0.35">
      <c r="C63" s="18"/>
      <c r="D63" s="28"/>
      <c r="E63" s="16"/>
    </row>
    <row r="64" spans="3:5" x14ac:dyDescent="0.35">
      <c r="C64" s="18"/>
      <c r="D64" s="28"/>
      <c r="E64" s="16"/>
    </row>
    <row r="65" spans="3:5" x14ac:dyDescent="0.35">
      <c r="C65" s="18"/>
      <c r="D65" s="28"/>
      <c r="E65" s="16"/>
    </row>
    <row r="66" spans="3:5" x14ac:dyDescent="0.35">
      <c r="C66" s="18"/>
      <c r="D66" s="28"/>
      <c r="E66" s="16"/>
    </row>
    <row r="67" spans="3:5" x14ac:dyDescent="0.35">
      <c r="C67" s="18"/>
      <c r="D67" s="28"/>
      <c r="E67" s="16"/>
    </row>
    <row r="68" spans="3:5" x14ac:dyDescent="0.35">
      <c r="C68" s="18"/>
      <c r="D68" s="28"/>
      <c r="E68" s="16"/>
    </row>
    <row r="69" spans="3:5" x14ac:dyDescent="0.35">
      <c r="C69" s="18"/>
      <c r="D69" s="28"/>
      <c r="E69" s="16"/>
    </row>
    <row r="70" spans="3:5" x14ac:dyDescent="0.35">
      <c r="C70" s="18"/>
      <c r="D70" s="28"/>
      <c r="E70" s="16"/>
    </row>
    <row r="71" spans="3:5" x14ac:dyDescent="0.35">
      <c r="C71" s="18"/>
      <c r="D71" s="28"/>
      <c r="E71" s="16"/>
    </row>
    <row r="72" spans="3:5" x14ac:dyDescent="0.35">
      <c r="C72" s="18"/>
      <c r="D72" s="28"/>
      <c r="E72" s="16"/>
    </row>
    <row r="73" spans="3:5" x14ac:dyDescent="0.35">
      <c r="C73" s="18"/>
      <c r="D73" s="28"/>
      <c r="E73" s="16"/>
    </row>
    <row r="74" spans="3:5" x14ac:dyDescent="0.35">
      <c r="C74" s="18"/>
      <c r="D74" s="28"/>
      <c r="E74" s="16"/>
    </row>
    <row r="75" spans="3:5" x14ac:dyDescent="0.35">
      <c r="C75" s="18"/>
      <c r="D75" s="28"/>
      <c r="E75" s="16"/>
    </row>
    <row r="76" spans="3:5" x14ac:dyDescent="0.35">
      <c r="C76" s="18"/>
      <c r="D76" s="28"/>
      <c r="E76" s="16"/>
    </row>
    <row r="77" spans="3:5" x14ac:dyDescent="0.35">
      <c r="C77" s="18"/>
      <c r="D77" s="28"/>
      <c r="E77" s="16"/>
    </row>
    <row r="78" spans="3:5" x14ac:dyDescent="0.35">
      <c r="C78" s="18"/>
      <c r="D78" s="28"/>
      <c r="E78" s="16"/>
    </row>
    <row r="79" spans="3:5" x14ac:dyDescent="0.35">
      <c r="C79" s="18"/>
      <c r="D79" s="28"/>
      <c r="E79" s="16"/>
    </row>
    <row r="80" spans="3:5" x14ac:dyDescent="0.35">
      <c r="C80" s="18"/>
      <c r="D80" s="28"/>
      <c r="E80" s="16"/>
    </row>
    <row r="81" spans="3:5" x14ac:dyDescent="0.35">
      <c r="C81" s="18"/>
      <c r="D81" s="28"/>
      <c r="E81" s="16"/>
    </row>
    <row r="82" spans="3:5" x14ac:dyDescent="0.35">
      <c r="C82" s="18"/>
      <c r="D82" s="28"/>
      <c r="E82" s="16"/>
    </row>
    <row r="83" spans="3:5" x14ac:dyDescent="0.35">
      <c r="C83" s="18"/>
      <c r="D83" s="28"/>
      <c r="E83" s="16"/>
    </row>
    <row r="84" spans="3:5" x14ac:dyDescent="0.35">
      <c r="C84" s="18"/>
      <c r="D84" s="28"/>
      <c r="E84" s="16"/>
    </row>
    <row r="85" spans="3:5" x14ac:dyDescent="0.35">
      <c r="C85" s="18"/>
      <c r="D85" s="28"/>
      <c r="E85" s="16"/>
    </row>
    <row r="86" spans="3:5" x14ac:dyDescent="0.35">
      <c r="C86" s="18"/>
      <c r="D86" s="28"/>
      <c r="E86" s="16"/>
    </row>
    <row r="87" spans="3:5" x14ac:dyDescent="0.35">
      <c r="C87" s="18"/>
      <c r="D87" s="28"/>
      <c r="E87" s="16"/>
    </row>
    <row r="88" spans="3:5" x14ac:dyDescent="0.35">
      <c r="C88" s="18"/>
      <c r="D88" s="28"/>
      <c r="E88" s="16"/>
    </row>
    <row r="89" spans="3:5" x14ac:dyDescent="0.35">
      <c r="C89" s="18"/>
      <c r="D89" s="28"/>
      <c r="E89" s="16"/>
    </row>
    <row r="90" spans="3:5" x14ac:dyDescent="0.35">
      <c r="C90" s="18"/>
      <c r="D90" s="28"/>
      <c r="E90" s="16"/>
    </row>
    <row r="91" spans="3:5" x14ac:dyDescent="0.35">
      <c r="C91" s="18"/>
      <c r="D91" s="28"/>
      <c r="E91" s="16"/>
    </row>
    <row r="92" spans="3:5" x14ac:dyDescent="0.35">
      <c r="C92" s="18"/>
      <c r="D92" s="28"/>
      <c r="E92" s="16"/>
    </row>
    <row r="93" spans="3:5" x14ac:dyDescent="0.35">
      <c r="C93" s="18"/>
      <c r="D93" s="28"/>
      <c r="E93" s="16"/>
    </row>
    <row r="94" spans="3:5" x14ac:dyDescent="0.35">
      <c r="C94" s="18"/>
      <c r="D94" s="28"/>
      <c r="E94" s="16"/>
    </row>
    <row r="95" spans="3:5" x14ac:dyDescent="0.35">
      <c r="C95" s="18"/>
      <c r="D95" s="28"/>
      <c r="E95" s="16"/>
    </row>
    <row r="96" spans="3:5" x14ac:dyDescent="0.35">
      <c r="C96" s="18"/>
      <c r="D96" s="28"/>
      <c r="E96" s="16"/>
    </row>
    <row r="97" spans="3:5" x14ac:dyDescent="0.35">
      <c r="C97" s="18"/>
      <c r="D97" s="28"/>
      <c r="E97" s="16"/>
    </row>
    <row r="98" spans="3:5" x14ac:dyDescent="0.35">
      <c r="C98" s="18"/>
      <c r="D98" s="28"/>
      <c r="E98" s="16"/>
    </row>
    <row r="99" spans="3:5" x14ac:dyDescent="0.35">
      <c r="C99" s="18"/>
      <c r="D99" s="28"/>
      <c r="E99" s="16"/>
    </row>
    <row r="100" spans="3:5" x14ac:dyDescent="0.35">
      <c r="C100" s="18"/>
      <c r="D100" s="28"/>
      <c r="E100" s="16"/>
    </row>
    <row r="101" spans="3:5" x14ac:dyDescent="0.35">
      <c r="C101" s="18"/>
      <c r="D101" s="28"/>
      <c r="E101" s="16"/>
    </row>
    <row r="102" spans="3:5" x14ac:dyDescent="0.35">
      <c r="C102" s="18"/>
      <c r="D102" s="28"/>
      <c r="E102" s="16"/>
    </row>
    <row r="103" spans="3:5" x14ac:dyDescent="0.35">
      <c r="C103" s="18"/>
      <c r="D103" s="28"/>
      <c r="E103" s="16"/>
    </row>
    <row r="104" spans="3:5" x14ac:dyDescent="0.35">
      <c r="C104" s="18"/>
      <c r="D104" s="28"/>
      <c r="E104" s="16"/>
    </row>
    <row r="105" spans="3:5" x14ac:dyDescent="0.35">
      <c r="C105" s="18"/>
      <c r="D105" s="28"/>
      <c r="E105" s="16"/>
    </row>
    <row r="106" spans="3:5" x14ac:dyDescent="0.35">
      <c r="C106" s="18"/>
      <c r="D106" s="28"/>
      <c r="E106" s="16"/>
    </row>
    <row r="107" spans="3:5" x14ac:dyDescent="0.35">
      <c r="C107" s="18"/>
      <c r="D107" s="28"/>
      <c r="E107" s="16"/>
    </row>
    <row r="108" spans="3:5" x14ac:dyDescent="0.35">
      <c r="C108" s="18"/>
      <c r="D108" s="28"/>
      <c r="E108" s="16"/>
    </row>
    <row r="109" spans="3:5" x14ac:dyDescent="0.35">
      <c r="C109" s="18"/>
      <c r="D109" s="28"/>
      <c r="E109" s="16"/>
    </row>
    <row r="110" spans="3:5" x14ac:dyDescent="0.35">
      <c r="C110" s="18"/>
      <c r="D110" s="28"/>
      <c r="E110" s="16"/>
    </row>
    <row r="111" spans="3:5" x14ac:dyDescent="0.35">
      <c r="C111" s="18"/>
      <c r="D111" s="28"/>
      <c r="E111" s="16"/>
    </row>
    <row r="112" spans="3:5" x14ac:dyDescent="0.35">
      <c r="C112" s="18"/>
      <c r="D112" s="28"/>
      <c r="E112" s="16"/>
    </row>
    <row r="113" spans="3:5" x14ac:dyDescent="0.35">
      <c r="C113" s="18"/>
      <c r="D113" s="28"/>
      <c r="E113" s="16"/>
    </row>
    <row r="114" spans="3:5" x14ac:dyDescent="0.35">
      <c r="C114" s="18"/>
      <c r="D114" s="28"/>
      <c r="E114" s="16"/>
    </row>
    <row r="115" spans="3:5" x14ac:dyDescent="0.35">
      <c r="C115" s="18"/>
      <c r="D115" s="28"/>
      <c r="E115" s="16"/>
    </row>
    <row r="116" spans="3:5" x14ac:dyDescent="0.35">
      <c r="C116" s="18"/>
      <c r="D116" s="28"/>
      <c r="E116" s="16"/>
    </row>
    <row r="117" spans="3:5" x14ac:dyDescent="0.35">
      <c r="C117" s="18"/>
      <c r="D117" s="28"/>
      <c r="E117" s="16"/>
    </row>
    <row r="118" spans="3:5" x14ac:dyDescent="0.35">
      <c r="C118" s="18"/>
      <c r="D118" s="28"/>
      <c r="E118" s="16"/>
    </row>
    <row r="119" spans="3:5" x14ac:dyDescent="0.35">
      <c r="C119" s="18"/>
      <c r="D119" s="28"/>
      <c r="E119" s="16"/>
    </row>
    <row r="120" spans="3:5" x14ac:dyDescent="0.35">
      <c r="C120" s="18"/>
      <c r="D120" s="28"/>
      <c r="E120" s="16"/>
    </row>
    <row r="121" spans="3:5" x14ac:dyDescent="0.35">
      <c r="C121" s="18"/>
      <c r="D121" s="28"/>
      <c r="E121" s="16"/>
    </row>
    <row r="122" spans="3:5" x14ac:dyDescent="0.35">
      <c r="C122" s="18"/>
      <c r="D122" s="28"/>
      <c r="E122" s="16"/>
    </row>
    <row r="123" spans="3:5" x14ac:dyDescent="0.35">
      <c r="C123" s="18"/>
      <c r="D123" s="28"/>
      <c r="E123" s="16"/>
    </row>
    <row r="124" spans="3:5" x14ac:dyDescent="0.35">
      <c r="C124" s="18"/>
      <c r="D124" s="28"/>
      <c r="E124" s="16"/>
    </row>
    <row r="125" spans="3:5" x14ac:dyDescent="0.35">
      <c r="C125" s="18"/>
      <c r="D125" s="28"/>
      <c r="E125" s="16"/>
    </row>
    <row r="126" spans="3:5" x14ac:dyDescent="0.35">
      <c r="C126" s="18"/>
      <c r="D126" s="28"/>
      <c r="E126" s="16"/>
    </row>
    <row r="127" spans="3:5" x14ac:dyDescent="0.35">
      <c r="C127" s="18"/>
      <c r="D127" s="28"/>
      <c r="E127" s="16"/>
    </row>
    <row r="128" spans="3:5" x14ac:dyDescent="0.35">
      <c r="C128" s="18"/>
      <c r="D128" s="28"/>
      <c r="E128" s="16"/>
    </row>
    <row r="129" spans="3:5" x14ac:dyDescent="0.35">
      <c r="C129" s="18"/>
      <c r="D129" s="28"/>
      <c r="E129" s="16"/>
    </row>
    <row r="130" spans="3:5" x14ac:dyDescent="0.35">
      <c r="C130" s="18"/>
      <c r="D130" s="28"/>
      <c r="E130" s="16"/>
    </row>
    <row r="131" spans="3:5" x14ac:dyDescent="0.35">
      <c r="C131" s="18"/>
      <c r="D131" s="28"/>
      <c r="E131" s="16"/>
    </row>
    <row r="132" spans="3:5" x14ac:dyDescent="0.35">
      <c r="C132" s="18"/>
      <c r="D132" s="28"/>
      <c r="E132" s="16"/>
    </row>
    <row r="133" spans="3:5" x14ac:dyDescent="0.35">
      <c r="C133" s="18"/>
      <c r="D133" s="28"/>
      <c r="E133" s="16"/>
    </row>
    <row r="134" spans="3:5" x14ac:dyDescent="0.35">
      <c r="C134" s="18"/>
      <c r="D134" s="28"/>
      <c r="E134" s="16"/>
    </row>
    <row r="135" spans="3:5" x14ac:dyDescent="0.35">
      <c r="C135" s="18"/>
      <c r="D135" s="28"/>
      <c r="E135" s="16"/>
    </row>
    <row r="136" spans="3:5" x14ac:dyDescent="0.35">
      <c r="C136" s="18"/>
      <c r="D136" s="28"/>
      <c r="E136" s="16"/>
    </row>
    <row r="137" spans="3:5" x14ac:dyDescent="0.35">
      <c r="C137" s="18"/>
      <c r="D137" s="28"/>
      <c r="E137" s="16"/>
    </row>
    <row r="138" spans="3:5" x14ac:dyDescent="0.35">
      <c r="C138" s="18"/>
      <c r="D138" s="28"/>
      <c r="E138" s="16"/>
    </row>
    <row r="139" spans="3:5" x14ac:dyDescent="0.35">
      <c r="C139" s="18"/>
      <c r="D139" s="28"/>
      <c r="E139" s="16"/>
    </row>
    <row r="140" spans="3:5" x14ac:dyDescent="0.35">
      <c r="C140" s="18"/>
      <c r="D140" s="28"/>
      <c r="E140" s="16"/>
    </row>
    <row r="141" spans="3:5" x14ac:dyDescent="0.35">
      <c r="C141" s="18"/>
      <c r="D141" s="28"/>
      <c r="E141" s="16"/>
    </row>
    <row r="142" spans="3:5" x14ac:dyDescent="0.35">
      <c r="C142" s="18"/>
      <c r="D142" s="28"/>
      <c r="E142" s="16"/>
    </row>
    <row r="143" spans="3:5" x14ac:dyDescent="0.35">
      <c r="C143" s="18"/>
      <c r="D143" s="28"/>
      <c r="E143" s="16"/>
    </row>
    <row r="144" spans="3:5" x14ac:dyDescent="0.35">
      <c r="C144" s="18"/>
      <c r="D144" s="28"/>
      <c r="E144" s="16"/>
    </row>
    <row r="145" spans="3:5" x14ac:dyDescent="0.35">
      <c r="C145" s="18"/>
      <c r="D145" s="28"/>
      <c r="E145" s="16"/>
    </row>
    <row r="146" spans="3:5" x14ac:dyDescent="0.35">
      <c r="C146" s="18"/>
      <c r="D146" s="28"/>
      <c r="E146" s="16"/>
    </row>
    <row r="147" spans="3:5" x14ac:dyDescent="0.35">
      <c r="C147" s="18"/>
      <c r="D147" s="28"/>
      <c r="E147" s="16"/>
    </row>
    <row r="148" spans="3:5" x14ac:dyDescent="0.35">
      <c r="C148" s="18"/>
      <c r="D148" s="28"/>
      <c r="E148" s="16"/>
    </row>
    <row r="149" spans="3:5" x14ac:dyDescent="0.35">
      <c r="C149" s="18"/>
      <c r="D149" s="28"/>
      <c r="E149" s="16"/>
    </row>
    <row r="150" spans="3:5" x14ac:dyDescent="0.35">
      <c r="C150" s="18"/>
      <c r="D150" s="28"/>
      <c r="E150" s="16"/>
    </row>
    <row r="151" spans="3:5" x14ac:dyDescent="0.35">
      <c r="C151" s="18"/>
      <c r="D151" s="28"/>
      <c r="E151" s="16"/>
    </row>
    <row r="152" spans="3:5" x14ac:dyDescent="0.35">
      <c r="C152" s="18"/>
      <c r="D152" s="28"/>
      <c r="E152" s="16"/>
    </row>
    <row r="153" spans="3:5" x14ac:dyDescent="0.35">
      <c r="C153" s="18"/>
      <c r="D153" s="28"/>
      <c r="E153" s="16"/>
    </row>
    <row r="154" spans="3:5" x14ac:dyDescent="0.35">
      <c r="C154" s="18"/>
      <c r="D154" s="28"/>
      <c r="E154" s="16"/>
    </row>
    <row r="155" spans="3:5" x14ac:dyDescent="0.35">
      <c r="C155" s="18"/>
      <c r="D155" s="28"/>
      <c r="E155" s="16"/>
    </row>
    <row r="156" spans="3:5" x14ac:dyDescent="0.35">
      <c r="C156" s="18"/>
      <c r="D156" s="28"/>
      <c r="E156" s="16"/>
    </row>
    <row r="157" spans="3:5" x14ac:dyDescent="0.35">
      <c r="C157" s="18"/>
      <c r="D157" s="28"/>
      <c r="E157" s="16"/>
    </row>
    <row r="158" spans="3:5" x14ac:dyDescent="0.35">
      <c r="C158" s="18"/>
      <c r="D158" s="28"/>
      <c r="E158" s="16"/>
    </row>
    <row r="159" spans="3:5" x14ac:dyDescent="0.35">
      <c r="C159" s="18"/>
      <c r="D159" s="28"/>
      <c r="E159" s="16"/>
    </row>
    <row r="160" spans="3:5" x14ac:dyDescent="0.35">
      <c r="C160" s="18"/>
      <c r="D160" s="28"/>
      <c r="E160" s="16"/>
    </row>
    <row r="161" spans="3:5" x14ac:dyDescent="0.35">
      <c r="C161" s="18"/>
      <c r="D161" s="28"/>
      <c r="E161" s="16"/>
    </row>
    <row r="162" spans="3:5" x14ac:dyDescent="0.35">
      <c r="C162" s="18"/>
      <c r="D162" s="28"/>
      <c r="E162" s="16"/>
    </row>
    <row r="163" spans="3:5" x14ac:dyDescent="0.35">
      <c r="C163" s="18"/>
      <c r="D163" s="28"/>
      <c r="E163" s="16"/>
    </row>
    <row r="164" spans="3:5" x14ac:dyDescent="0.35">
      <c r="C164" s="18"/>
      <c r="D164" s="28"/>
      <c r="E164" s="16"/>
    </row>
    <row r="165" spans="3:5" x14ac:dyDescent="0.35">
      <c r="C165" s="18"/>
      <c r="D165" s="28"/>
      <c r="E165" s="16"/>
    </row>
    <row r="166" spans="3:5" x14ac:dyDescent="0.35">
      <c r="C166" s="18"/>
      <c r="D166" s="28"/>
      <c r="E166" s="16"/>
    </row>
    <row r="167" spans="3:5" x14ac:dyDescent="0.35">
      <c r="C167" s="18"/>
      <c r="D167" s="28"/>
      <c r="E167" s="16"/>
    </row>
    <row r="168" spans="3:5" x14ac:dyDescent="0.35">
      <c r="C168" s="18"/>
      <c r="D168" s="28"/>
      <c r="E168" s="16"/>
    </row>
    <row r="169" spans="3:5" x14ac:dyDescent="0.35">
      <c r="C169" s="18"/>
      <c r="D169" s="28"/>
      <c r="E169" s="16"/>
    </row>
    <row r="170" spans="3:5" x14ac:dyDescent="0.35">
      <c r="C170" s="18"/>
      <c r="D170" s="28"/>
      <c r="E170" s="16"/>
    </row>
    <row r="171" spans="3:5" x14ac:dyDescent="0.35">
      <c r="C171" s="18"/>
      <c r="D171" s="28"/>
      <c r="E171" s="16"/>
    </row>
    <row r="172" spans="3:5" x14ac:dyDescent="0.35">
      <c r="C172" s="18"/>
      <c r="D172" s="28"/>
      <c r="E172" s="16"/>
    </row>
    <row r="173" spans="3:5" x14ac:dyDescent="0.35">
      <c r="C173" s="18"/>
      <c r="D173" s="28"/>
      <c r="E173" s="16"/>
    </row>
    <row r="174" spans="3:5" x14ac:dyDescent="0.35">
      <c r="C174" s="18"/>
      <c r="D174" s="28"/>
      <c r="E174" s="16"/>
    </row>
    <row r="175" spans="3:5" x14ac:dyDescent="0.35">
      <c r="C175" s="18"/>
      <c r="D175" s="28"/>
      <c r="E175" s="16"/>
    </row>
    <row r="176" spans="3:5" x14ac:dyDescent="0.35">
      <c r="C176" s="18"/>
      <c r="D176" s="28"/>
      <c r="E176" s="16"/>
    </row>
    <row r="177" spans="3:5" x14ac:dyDescent="0.35">
      <c r="C177" s="18"/>
      <c r="D177" s="28"/>
      <c r="E177" s="16"/>
    </row>
    <row r="178" spans="3:5" x14ac:dyDescent="0.35">
      <c r="C178" s="18"/>
      <c r="D178" s="28"/>
      <c r="E178" s="16"/>
    </row>
    <row r="179" spans="3:5" x14ac:dyDescent="0.35">
      <c r="C179" s="18"/>
      <c r="D179" s="28"/>
      <c r="E179" s="16"/>
    </row>
    <row r="180" spans="3:5" x14ac:dyDescent="0.35">
      <c r="C180" s="18"/>
      <c r="D180" s="28"/>
      <c r="E180" s="16"/>
    </row>
    <row r="181" spans="3:5" x14ac:dyDescent="0.35">
      <c r="C181" s="18"/>
      <c r="D181" s="28"/>
      <c r="E181" s="16"/>
    </row>
    <row r="182" spans="3:5" x14ac:dyDescent="0.35">
      <c r="C182" s="18"/>
      <c r="D182" s="28"/>
      <c r="E182" s="16"/>
    </row>
    <row r="183" spans="3:5" x14ac:dyDescent="0.35">
      <c r="C183" s="18"/>
      <c r="D183" s="28"/>
      <c r="E183" s="16"/>
    </row>
    <row r="184" spans="3:5" x14ac:dyDescent="0.35">
      <c r="C184" s="18"/>
      <c r="D184" s="28"/>
      <c r="E184" s="16"/>
    </row>
    <row r="185" spans="3:5" x14ac:dyDescent="0.35">
      <c r="C185" s="18"/>
      <c r="D185" s="28"/>
      <c r="E185" s="16"/>
    </row>
    <row r="186" spans="3:5" x14ac:dyDescent="0.35">
      <c r="C186" s="18"/>
      <c r="D186" s="28"/>
      <c r="E186" s="16"/>
    </row>
    <row r="187" spans="3:5" x14ac:dyDescent="0.35">
      <c r="C187" s="18"/>
      <c r="D187" s="28"/>
      <c r="E187" s="16"/>
    </row>
    <row r="188" spans="3:5" x14ac:dyDescent="0.35">
      <c r="C188" s="18"/>
      <c r="D188" s="28"/>
      <c r="E188" s="16"/>
    </row>
    <row r="189" spans="3:5" x14ac:dyDescent="0.35">
      <c r="C189" s="18"/>
      <c r="D189" s="28"/>
      <c r="E189" s="16"/>
    </row>
    <row r="190" spans="3:5" x14ac:dyDescent="0.35">
      <c r="C190" s="18"/>
      <c r="D190" s="28"/>
      <c r="E190" s="16"/>
    </row>
    <row r="191" spans="3:5" x14ac:dyDescent="0.35">
      <c r="C191" s="18"/>
      <c r="D191" s="28"/>
      <c r="E191" s="16"/>
    </row>
    <row r="192" spans="3:5" x14ac:dyDescent="0.35">
      <c r="C192" s="18"/>
      <c r="D192" s="28"/>
      <c r="E192" s="16"/>
    </row>
    <row r="193" spans="3:5" x14ac:dyDescent="0.35">
      <c r="C193" s="18"/>
      <c r="D193" s="28"/>
      <c r="E193" s="16"/>
    </row>
    <row r="194" spans="3:5" x14ac:dyDescent="0.35">
      <c r="C194" s="18"/>
      <c r="D194" s="28"/>
      <c r="E194" s="16"/>
    </row>
    <row r="195" spans="3:5" x14ac:dyDescent="0.35">
      <c r="C195" s="18"/>
      <c r="D195" s="28"/>
      <c r="E195" s="16"/>
    </row>
    <row r="196" spans="3:5" x14ac:dyDescent="0.35">
      <c r="C196" s="18"/>
      <c r="D196" s="28"/>
      <c r="E196" s="16"/>
    </row>
    <row r="197" spans="3:5" x14ac:dyDescent="0.35">
      <c r="C197" s="18"/>
      <c r="D197" s="28"/>
      <c r="E197" s="16"/>
    </row>
    <row r="198" spans="3:5" x14ac:dyDescent="0.35">
      <c r="C198" s="18"/>
      <c r="D198" s="28"/>
      <c r="E198" s="16"/>
    </row>
    <row r="199" spans="3:5" x14ac:dyDescent="0.35">
      <c r="C199" s="18"/>
      <c r="D199" s="28"/>
      <c r="E199" s="16"/>
    </row>
    <row r="200" spans="3:5" x14ac:dyDescent="0.35">
      <c r="C200" s="18"/>
      <c r="D200" s="28"/>
      <c r="E200" s="16"/>
    </row>
    <row r="201" spans="3:5" x14ac:dyDescent="0.35">
      <c r="C201" s="18"/>
      <c r="D201" s="28"/>
      <c r="E201" s="16"/>
    </row>
    <row r="202" spans="3:5" x14ac:dyDescent="0.35">
      <c r="C202" s="18"/>
      <c r="D202" s="28"/>
      <c r="E202" s="16"/>
    </row>
    <row r="203" spans="3:5" x14ac:dyDescent="0.35">
      <c r="C203" s="18"/>
      <c r="D203" s="28"/>
      <c r="E203" s="16"/>
    </row>
    <row r="204" spans="3:5" x14ac:dyDescent="0.35">
      <c r="C204" s="18"/>
      <c r="D204" s="28"/>
      <c r="E204" s="16"/>
    </row>
    <row r="205" spans="3:5" x14ac:dyDescent="0.35">
      <c r="C205" s="18"/>
      <c r="D205" s="28"/>
      <c r="E205" s="16"/>
    </row>
    <row r="206" spans="3:5" x14ac:dyDescent="0.35">
      <c r="C206" s="18"/>
      <c r="D206" s="28"/>
      <c r="E206" s="16"/>
    </row>
    <row r="207" spans="3:5" x14ac:dyDescent="0.35">
      <c r="C207" s="18"/>
      <c r="D207" s="28"/>
      <c r="E207" s="16"/>
    </row>
    <row r="208" spans="3:5" x14ac:dyDescent="0.35">
      <c r="C208" s="18"/>
      <c r="D208" s="28"/>
      <c r="E208" s="16"/>
    </row>
    <row r="209" spans="3:5" x14ac:dyDescent="0.35">
      <c r="C209" s="18"/>
      <c r="D209" s="28"/>
      <c r="E209" s="16"/>
    </row>
    <row r="210" spans="3:5" x14ac:dyDescent="0.35">
      <c r="C210" s="18"/>
      <c r="D210" s="28"/>
      <c r="E210" s="16"/>
    </row>
    <row r="211" spans="3:5" x14ac:dyDescent="0.35">
      <c r="C211" s="18"/>
      <c r="D211" s="28"/>
      <c r="E211" s="16"/>
    </row>
    <row r="212" spans="3:5" x14ac:dyDescent="0.35">
      <c r="C212" s="18"/>
      <c r="D212" s="28"/>
      <c r="E212" s="16"/>
    </row>
    <row r="213" spans="3:5" x14ac:dyDescent="0.35">
      <c r="C213" s="18"/>
      <c r="D213" s="28"/>
      <c r="E213" s="16"/>
    </row>
    <row r="214" spans="3:5" x14ac:dyDescent="0.35">
      <c r="C214" s="18"/>
      <c r="D214" s="28"/>
      <c r="E214" s="16"/>
    </row>
    <row r="215" spans="3:5" x14ac:dyDescent="0.35">
      <c r="C215" s="18"/>
      <c r="D215" s="28"/>
      <c r="E215" s="16"/>
    </row>
    <row r="216" spans="3:5" x14ac:dyDescent="0.35">
      <c r="C216" s="18"/>
      <c r="D216" s="28"/>
      <c r="E216" s="16"/>
    </row>
    <row r="217" spans="3:5" x14ac:dyDescent="0.35">
      <c r="C217" s="18"/>
      <c r="D217" s="28"/>
      <c r="E217" s="16"/>
    </row>
    <row r="218" spans="3:5" x14ac:dyDescent="0.35">
      <c r="C218" s="18"/>
      <c r="D218" s="28"/>
      <c r="E218" s="16"/>
    </row>
    <row r="219" spans="3:5" x14ac:dyDescent="0.35">
      <c r="C219" s="18"/>
      <c r="D219" s="28"/>
      <c r="E219" s="16"/>
    </row>
    <row r="220" spans="3:5" x14ac:dyDescent="0.35">
      <c r="C220" s="18"/>
      <c r="D220" s="28"/>
      <c r="E220" s="16"/>
    </row>
    <row r="221" spans="3:5" x14ac:dyDescent="0.35">
      <c r="C221" s="18"/>
      <c r="D221" s="28"/>
      <c r="E221" s="16"/>
    </row>
    <row r="222" spans="3:5" x14ac:dyDescent="0.35">
      <c r="C222" s="18"/>
      <c r="D222" s="28"/>
      <c r="E222" s="16"/>
    </row>
    <row r="223" spans="3:5" x14ac:dyDescent="0.35">
      <c r="C223" s="18"/>
      <c r="D223" s="28"/>
      <c r="E223" s="16"/>
    </row>
    <row r="224" spans="3:5" x14ac:dyDescent="0.35">
      <c r="C224" s="18"/>
      <c r="D224" s="28"/>
      <c r="E224" s="16"/>
    </row>
    <row r="225" spans="3:5" x14ac:dyDescent="0.35">
      <c r="C225" s="18"/>
      <c r="D225" s="28"/>
      <c r="E225" s="16"/>
    </row>
    <row r="226" spans="3:5" x14ac:dyDescent="0.35">
      <c r="C226" s="18"/>
      <c r="D226" s="28"/>
      <c r="E226" s="16"/>
    </row>
    <row r="227" spans="3:5" x14ac:dyDescent="0.35">
      <c r="C227" s="18"/>
      <c r="D227" s="28"/>
      <c r="E227" s="16"/>
    </row>
    <row r="228" spans="3:5" x14ac:dyDescent="0.35">
      <c r="C228" s="18"/>
      <c r="D228" s="28"/>
      <c r="E228" s="16"/>
    </row>
    <row r="229" spans="3:5" x14ac:dyDescent="0.35">
      <c r="C229" s="18"/>
      <c r="D229" s="28"/>
      <c r="E229" s="16"/>
    </row>
    <row r="230" spans="3:5" x14ac:dyDescent="0.35">
      <c r="C230" s="18"/>
      <c r="D230" s="28"/>
      <c r="E230" s="16"/>
    </row>
    <row r="231" spans="3:5" x14ac:dyDescent="0.35">
      <c r="C231" s="18"/>
      <c r="D231" s="28"/>
      <c r="E231" s="16"/>
    </row>
    <row r="232" spans="3:5" x14ac:dyDescent="0.35">
      <c r="C232" s="18"/>
      <c r="D232" s="28"/>
      <c r="E232" s="16"/>
    </row>
    <row r="233" spans="3:5" x14ac:dyDescent="0.35">
      <c r="C233" s="18"/>
      <c r="D233" s="28"/>
      <c r="E233" s="16"/>
    </row>
    <row r="234" spans="3:5" x14ac:dyDescent="0.35">
      <c r="C234" s="18"/>
      <c r="D234" s="28"/>
      <c r="E234" s="16"/>
    </row>
    <row r="235" spans="3:5" x14ac:dyDescent="0.35">
      <c r="C235" s="18"/>
      <c r="D235" s="28"/>
      <c r="E235" s="16"/>
    </row>
    <row r="236" spans="3:5" x14ac:dyDescent="0.35">
      <c r="C236" s="18"/>
      <c r="D236" s="28"/>
      <c r="E236" s="16"/>
    </row>
    <row r="237" spans="3:5" x14ac:dyDescent="0.35">
      <c r="C237" s="18"/>
      <c r="D237" s="28"/>
      <c r="E237" s="16"/>
    </row>
    <row r="238" spans="3:5" x14ac:dyDescent="0.35">
      <c r="C238" s="18"/>
      <c r="D238" s="28"/>
      <c r="E238" s="16"/>
    </row>
    <row r="239" spans="3:5" x14ac:dyDescent="0.35">
      <c r="C239" s="18"/>
      <c r="D239" s="28"/>
      <c r="E239" s="16"/>
    </row>
    <row r="240" spans="3:5" x14ac:dyDescent="0.35">
      <c r="C240" s="18"/>
      <c r="D240" s="28"/>
      <c r="E240" s="16"/>
    </row>
    <row r="241" spans="3:5" x14ac:dyDescent="0.35">
      <c r="C241" s="18"/>
      <c r="D241" s="28"/>
      <c r="E241" s="16"/>
    </row>
    <row r="242" spans="3:5" x14ac:dyDescent="0.35">
      <c r="C242" s="18"/>
      <c r="D242" s="28"/>
      <c r="E242" s="16"/>
    </row>
    <row r="243" spans="3:5" x14ac:dyDescent="0.35">
      <c r="C243" s="18"/>
      <c r="D243" s="28"/>
      <c r="E243" s="16"/>
    </row>
    <row r="244" spans="3:5" x14ac:dyDescent="0.35">
      <c r="C244" s="18"/>
      <c r="D244" s="28"/>
      <c r="E244" s="16"/>
    </row>
    <row r="245" spans="3:5" x14ac:dyDescent="0.35">
      <c r="C245" s="18"/>
      <c r="D245" s="28"/>
      <c r="E245" s="16"/>
    </row>
    <row r="246" spans="3:5" x14ac:dyDescent="0.35">
      <c r="C246" s="18"/>
      <c r="D246" s="28"/>
      <c r="E246" s="16"/>
    </row>
    <row r="247" spans="3:5" x14ac:dyDescent="0.35">
      <c r="C247" s="18"/>
      <c r="D247" s="28"/>
      <c r="E247" s="16"/>
    </row>
    <row r="248" spans="3:5" x14ac:dyDescent="0.35">
      <c r="C248" s="18"/>
      <c r="D248" s="28"/>
      <c r="E248" s="16"/>
    </row>
    <row r="249" spans="3:5" x14ac:dyDescent="0.35">
      <c r="C249" s="18"/>
      <c r="D249" s="28"/>
      <c r="E249" s="16"/>
    </row>
    <row r="250" spans="3:5" x14ac:dyDescent="0.35">
      <c r="C250" s="18"/>
      <c r="D250" s="28"/>
      <c r="E250" s="16"/>
    </row>
    <row r="251" spans="3:5" x14ac:dyDescent="0.35">
      <c r="C251" s="18"/>
      <c r="D251" s="28"/>
      <c r="E251" s="16"/>
    </row>
    <row r="252" spans="3:5" x14ac:dyDescent="0.35">
      <c r="C252" s="18"/>
      <c r="D252" s="28"/>
      <c r="E252" s="16"/>
    </row>
    <row r="253" spans="3:5" x14ac:dyDescent="0.35">
      <c r="C253" s="18"/>
      <c r="D253" s="28"/>
      <c r="E253" s="16"/>
    </row>
    <row r="254" spans="3:5" x14ac:dyDescent="0.35">
      <c r="C254" s="18"/>
      <c r="D254" s="28"/>
      <c r="E254" s="16"/>
    </row>
    <row r="255" spans="3:5" x14ac:dyDescent="0.35">
      <c r="C255" s="18"/>
      <c r="D255" s="28"/>
      <c r="E255" s="16"/>
    </row>
    <row r="256" spans="3:5" x14ac:dyDescent="0.35">
      <c r="C256" s="18"/>
      <c r="D256" s="28"/>
      <c r="E256" s="16"/>
    </row>
    <row r="257" spans="3:5" x14ac:dyDescent="0.35">
      <c r="C257" s="18"/>
      <c r="D257" s="28"/>
      <c r="E257" s="16"/>
    </row>
    <row r="258" spans="3:5" x14ac:dyDescent="0.35">
      <c r="C258" s="18"/>
      <c r="D258" s="28"/>
      <c r="E258" s="16"/>
    </row>
    <row r="259" spans="3:5" x14ac:dyDescent="0.35">
      <c r="C259" s="18"/>
      <c r="D259" s="28"/>
      <c r="E259" s="16"/>
    </row>
    <row r="260" spans="3:5" x14ac:dyDescent="0.35">
      <c r="C260" s="18"/>
      <c r="D260" s="28"/>
      <c r="E260" s="16"/>
    </row>
    <row r="261" spans="3:5" x14ac:dyDescent="0.35">
      <c r="C261" s="18"/>
      <c r="D261" s="28"/>
      <c r="E261" s="16"/>
    </row>
    <row r="262" spans="3:5" x14ac:dyDescent="0.35">
      <c r="C262" s="18"/>
      <c r="D262" s="28"/>
      <c r="E262" s="16"/>
    </row>
    <row r="263" spans="3:5" x14ac:dyDescent="0.35">
      <c r="C263" s="18"/>
      <c r="D263" s="28"/>
      <c r="E263" s="16"/>
    </row>
    <row r="264" spans="3:5" x14ac:dyDescent="0.35">
      <c r="C264" s="18"/>
      <c r="D264" s="28"/>
      <c r="E264" s="16"/>
    </row>
    <row r="265" spans="3:5" x14ac:dyDescent="0.35">
      <c r="C265" s="18"/>
      <c r="D265" s="28"/>
      <c r="E265" s="16"/>
    </row>
    <row r="266" spans="3:5" x14ac:dyDescent="0.35">
      <c r="C266" s="18"/>
      <c r="D266" s="28"/>
      <c r="E266" s="16"/>
    </row>
    <row r="267" spans="3:5" x14ac:dyDescent="0.35">
      <c r="C267" s="18"/>
      <c r="D267" s="28"/>
      <c r="E267" s="16"/>
    </row>
    <row r="268" spans="3:5" x14ac:dyDescent="0.35">
      <c r="C268" s="18"/>
      <c r="D268" s="28"/>
      <c r="E268" s="16"/>
    </row>
    <row r="269" spans="3:5" x14ac:dyDescent="0.35">
      <c r="C269" s="18"/>
      <c r="D269" s="28"/>
      <c r="E269" s="16"/>
    </row>
    <row r="270" spans="3:5" x14ac:dyDescent="0.35">
      <c r="C270" s="18"/>
      <c r="D270" s="28"/>
      <c r="E270" s="16"/>
    </row>
    <row r="271" spans="3:5" x14ac:dyDescent="0.35">
      <c r="C271" s="18"/>
      <c r="D271" s="28"/>
      <c r="E271" s="16"/>
    </row>
    <row r="272" spans="3:5" x14ac:dyDescent="0.35">
      <c r="C272" s="18"/>
      <c r="D272" s="28"/>
      <c r="E272" s="16"/>
    </row>
    <row r="273" spans="3:5" x14ac:dyDescent="0.35">
      <c r="C273" s="18"/>
      <c r="D273" s="28"/>
      <c r="E273" s="16"/>
    </row>
    <row r="274" spans="3:5" x14ac:dyDescent="0.35">
      <c r="C274" s="18"/>
      <c r="D274" s="28"/>
      <c r="E274" s="16"/>
    </row>
    <row r="275" spans="3:5" x14ac:dyDescent="0.35">
      <c r="C275" s="18"/>
      <c r="D275" s="28"/>
      <c r="E275" s="16"/>
    </row>
    <row r="276" spans="3:5" x14ac:dyDescent="0.35">
      <c r="C276" s="18"/>
      <c r="D276" s="28"/>
      <c r="E276" s="16"/>
    </row>
    <row r="277" spans="3:5" x14ac:dyDescent="0.35">
      <c r="C277" s="18"/>
      <c r="D277" s="28"/>
      <c r="E277" s="16"/>
    </row>
    <row r="278" spans="3:5" x14ac:dyDescent="0.35">
      <c r="C278" s="18"/>
      <c r="D278" s="28"/>
      <c r="E278" s="16"/>
    </row>
    <row r="279" spans="3:5" x14ac:dyDescent="0.35">
      <c r="C279" s="18"/>
      <c r="D279" s="28"/>
      <c r="E279" s="16"/>
    </row>
    <row r="280" spans="3:5" x14ac:dyDescent="0.35">
      <c r="C280" s="18"/>
      <c r="D280" s="28"/>
      <c r="E280" s="16"/>
    </row>
    <row r="281" spans="3:5" x14ac:dyDescent="0.35">
      <c r="C281" s="18"/>
      <c r="D281" s="28"/>
      <c r="E281" s="16"/>
    </row>
    <row r="282" spans="3:5" x14ac:dyDescent="0.35">
      <c r="C282" s="18"/>
      <c r="D282" s="28"/>
      <c r="E282" s="16"/>
    </row>
    <row r="283" spans="3:5" x14ac:dyDescent="0.35">
      <c r="C283" s="18"/>
      <c r="D283" s="28"/>
      <c r="E283" s="16"/>
    </row>
    <row r="284" spans="3:5" x14ac:dyDescent="0.35">
      <c r="C284" s="18"/>
      <c r="D284" s="28"/>
      <c r="E284" s="16"/>
    </row>
    <row r="285" spans="3:5" x14ac:dyDescent="0.35">
      <c r="C285" s="18"/>
      <c r="D285" s="28"/>
      <c r="E285" s="16"/>
    </row>
    <row r="286" spans="3:5" x14ac:dyDescent="0.35">
      <c r="C286" s="18"/>
      <c r="D286" s="28"/>
      <c r="E286" s="16"/>
    </row>
    <row r="287" spans="3:5" x14ac:dyDescent="0.35">
      <c r="C287" s="18"/>
      <c r="D287" s="28"/>
      <c r="E287" s="16"/>
    </row>
    <row r="288" spans="3:5" x14ac:dyDescent="0.35">
      <c r="C288" s="18"/>
      <c r="D288" s="28"/>
      <c r="E288" s="16"/>
    </row>
    <row r="289" spans="3:5" x14ac:dyDescent="0.35">
      <c r="C289" s="18"/>
      <c r="D289" s="28"/>
      <c r="E289" s="16"/>
    </row>
    <row r="290" spans="3:5" x14ac:dyDescent="0.35">
      <c r="C290" s="18"/>
      <c r="D290" s="28"/>
      <c r="E290" s="16"/>
    </row>
    <row r="291" spans="3:5" x14ac:dyDescent="0.35">
      <c r="C291" s="18"/>
      <c r="D291" s="28"/>
      <c r="E291" s="16"/>
    </row>
    <row r="292" spans="3:5" x14ac:dyDescent="0.35">
      <c r="C292" s="18"/>
      <c r="D292" s="28"/>
      <c r="E292" s="16"/>
    </row>
    <row r="293" spans="3:5" x14ac:dyDescent="0.35">
      <c r="C293" s="18"/>
      <c r="D293" s="28"/>
      <c r="E293" s="16"/>
    </row>
    <row r="294" spans="3:5" x14ac:dyDescent="0.35">
      <c r="C294" s="18"/>
      <c r="D294" s="28"/>
      <c r="E294" s="16"/>
    </row>
    <row r="295" spans="3:5" x14ac:dyDescent="0.35">
      <c r="C295" s="18"/>
      <c r="D295" s="28"/>
      <c r="E295" s="16"/>
    </row>
    <row r="296" spans="3:5" x14ac:dyDescent="0.35">
      <c r="C296" s="18"/>
      <c r="D296" s="28"/>
      <c r="E296" s="16"/>
    </row>
    <row r="297" spans="3:5" x14ac:dyDescent="0.35">
      <c r="C297" s="18"/>
      <c r="D297" s="28"/>
      <c r="E297" s="16"/>
    </row>
    <row r="298" spans="3:5" x14ac:dyDescent="0.35">
      <c r="C298" s="18"/>
      <c r="D298" s="28"/>
      <c r="E298" s="16"/>
    </row>
    <row r="299" spans="3:5" x14ac:dyDescent="0.35">
      <c r="C299" s="18"/>
      <c r="D299" s="28"/>
      <c r="E299" s="16"/>
    </row>
    <row r="300" spans="3:5" x14ac:dyDescent="0.35">
      <c r="C300" s="18"/>
      <c r="D300" s="28"/>
      <c r="E300" s="16"/>
    </row>
    <row r="301" spans="3:5" x14ac:dyDescent="0.35">
      <c r="C301" s="18"/>
      <c r="D301" s="28"/>
      <c r="E301" s="16"/>
    </row>
    <row r="302" spans="3:5" x14ac:dyDescent="0.35">
      <c r="C302" s="18"/>
      <c r="D302" s="28"/>
      <c r="E302" s="16"/>
    </row>
    <row r="303" spans="3:5" x14ac:dyDescent="0.35">
      <c r="C303" s="18"/>
      <c r="D303" s="28"/>
      <c r="E303" s="16"/>
    </row>
    <row r="304" spans="3:5" x14ac:dyDescent="0.35">
      <c r="C304" s="18"/>
      <c r="D304" s="28"/>
      <c r="E304" s="16"/>
    </row>
    <row r="305" spans="3:5" x14ac:dyDescent="0.35">
      <c r="C305" s="18"/>
      <c r="D305" s="28"/>
      <c r="E305" s="16"/>
    </row>
    <row r="306" spans="3:5" x14ac:dyDescent="0.35">
      <c r="C306" s="18"/>
      <c r="D306" s="28"/>
      <c r="E306" s="16"/>
    </row>
    <row r="307" spans="3:5" x14ac:dyDescent="0.35">
      <c r="C307" s="18"/>
      <c r="D307" s="28"/>
      <c r="E307" s="16"/>
    </row>
    <row r="308" spans="3:5" x14ac:dyDescent="0.35">
      <c r="C308" s="18"/>
      <c r="D308" s="28"/>
      <c r="E308" s="16"/>
    </row>
    <row r="309" spans="3:5" x14ac:dyDescent="0.35">
      <c r="C309" s="18"/>
      <c r="D309" s="28"/>
      <c r="E309" s="16"/>
    </row>
    <row r="310" spans="3:5" x14ac:dyDescent="0.35">
      <c r="C310" s="18"/>
      <c r="D310" s="28"/>
      <c r="E310" s="16"/>
    </row>
    <row r="311" spans="3:5" x14ac:dyDescent="0.35">
      <c r="C311" s="18"/>
      <c r="D311" s="28"/>
      <c r="E311" s="16"/>
    </row>
    <row r="312" spans="3:5" x14ac:dyDescent="0.35">
      <c r="C312" s="18"/>
      <c r="D312" s="28"/>
      <c r="E312" s="16"/>
    </row>
    <row r="313" spans="3:5" x14ac:dyDescent="0.35">
      <c r="C313" s="18"/>
      <c r="D313" s="28"/>
      <c r="E313" s="16"/>
    </row>
    <row r="314" spans="3:5" x14ac:dyDescent="0.35">
      <c r="C314" s="18"/>
      <c r="D314" s="28"/>
      <c r="E314" s="16"/>
    </row>
    <row r="315" spans="3:5" x14ac:dyDescent="0.35">
      <c r="C315" s="18"/>
      <c r="D315" s="28"/>
      <c r="E315" s="16"/>
    </row>
    <row r="316" spans="3:5" x14ac:dyDescent="0.35">
      <c r="C316" s="18"/>
      <c r="D316" s="28"/>
      <c r="E316" s="16"/>
    </row>
    <row r="317" spans="3:5" x14ac:dyDescent="0.35">
      <c r="C317" s="18"/>
      <c r="D317" s="28"/>
      <c r="E317" s="16"/>
    </row>
    <row r="318" spans="3:5" x14ac:dyDescent="0.35">
      <c r="C318" s="18"/>
      <c r="D318" s="28"/>
      <c r="E318" s="16"/>
    </row>
    <row r="319" spans="3:5" x14ac:dyDescent="0.35">
      <c r="C319" s="18"/>
      <c r="D319" s="28"/>
      <c r="E319" s="16"/>
    </row>
    <row r="320" spans="3:5" x14ac:dyDescent="0.35">
      <c r="C320" s="18"/>
      <c r="D320" s="28"/>
      <c r="E320" s="16"/>
    </row>
    <row r="321" spans="3:5" x14ac:dyDescent="0.35">
      <c r="C321" s="18"/>
      <c r="D321" s="28"/>
      <c r="E321" s="16"/>
    </row>
    <row r="322" spans="3:5" x14ac:dyDescent="0.35">
      <c r="C322" s="18"/>
      <c r="D322" s="28"/>
      <c r="E322" s="16"/>
    </row>
    <row r="323" spans="3:5" x14ac:dyDescent="0.35">
      <c r="C323" s="18"/>
      <c r="D323" s="28"/>
      <c r="E323" s="16"/>
    </row>
    <row r="324" spans="3:5" x14ac:dyDescent="0.35">
      <c r="C324" s="18"/>
      <c r="D324" s="28"/>
      <c r="E324" s="16"/>
    </row>
    <row r="325" spans="3:5" x14ac:dyDescent="0.35">
      <c r="C325" s="18"/>
      <c r="D325" s="28"/>
      <c r="E325" s="16"/>
    </row>
    <row r="326" spans="3:5" x14ac:dyDescent="0.35">
      <c r="C326" s="18"/>
      <c r="D326" s="28"/>
      <c r="E326" s="16"/>
    </row>
    <row r="327" spans="3:5" x14ac:dyDescent="0.35">
      <c r="C327" s="18"/>
      <c r="D327" s="28"/>
      <c r="E327" s="16"/>
    </row>
    <row r="328" spans="3:5" x14ac:dyDescent="0.35">
      <c r="C328" s="18"/>
      <c r="D328" s="28"/>
      <c r="E328" s="16"/>
    </row>
    <row r="329" spans="3:5" x14ac:dyDescent="0.35">
      <c r="C329" s="18"/>
      <c r="D329" s="28"/>
      <c r="E329" s="16"/>
    </row>
    <row r="330" spans="3:5" x14ac:dyDescent="0.35">
      <c r="C330" s="18"/>
      <c r="D330" s="28"/>
      <c r="E330" s="16"/>
    </row>
    <row r="331" spans="3:5" x14ac:dyDescent="0.35">
      <c r="C331" s="18"/>
      <c r="D331" s="28"/>
      <c r="E331" s="16"/>
    </row>
    <row r="332" spans="3:5" x14ac:dyDescent="0.35">
      <c r="C332" s="18"/>
      <c r="D332" s="28"/>
      <c r="E332" s="16"/>
    </row>
    <row r="333" spans="3:5" x14ac:dyDescent="0.35">
      <c r="C333" s="18"/>
      <c r="D333" s="28"/>
      <c r="E333" s="16"/>
    </row>
    <row r="334" spans="3:5" x14ac:dyDescent="0.35">
      <c r="C334" s="18"/>
      <c r="D334" s="28"/>
      <c r="E334" s="16"/>
    </row>
    <row r="335" spans="3:5" x14ac:dyDescent="0.35">
      <c r="C335" s="18"/>
      <c r="D335" s="28"/>
      <c r="E335" s="16"/>
    </row>
    <row r="336" spans="3:5" x14ac:dyDescent="0.35">
      <c r="C336" s="18"/>
      <c r="D336" s="28"/>
      <c r="E336" s="16"/>
    </row>
    <row r="337" spans="3:5" x14ac:dyDescent="0.35">
      <c r="C337" s="18"/>
      <c r="D337" s="28"/>
      <c r="E337" s="16"/>
    </row>
    <row r="338" spans="3:5" x14ac:dyDescent="0.35">
      <c r="C338" s="18"/>
      <c r="D338" s="28"/>
      <c r="E338" s="16"/>
    </row>
    <row r="339" spans="3:5" x14ac:dyDescent="0.35">
      <c r="C339" s="18"/>
      <c r="D339" s="28"/>
      <c r="E339" s="16"/>
    </row>
    <row r="340" spans="3:5" x14ac:dyDescent="0.35">
      <c r="C340" s="18"/>
      <c r="D340" s="28"/>
      <c r="E340" s="16"/>
    </row>
    <row r="341" spans="3:5" x14ac:dyDescent="0.35">
      <c r="C341" s="18"/>
      <c r="D341" s="28"/>
      <c r="E341" s="16"/>
    </row>
    <row r="342" spans="3:5" x14ac:dyDescent="0.35">
      <c r="C342" s="18"/>
      <c r="D342" s="28"/>
      <c r="E342" s="16"/>
    </row>
    <row r="343" spans="3:5" x14ac:dyDescent="0.35">
      <c r="C343" s="18"/>
      <c r="D343" s="28"/>
      <c r="E343" s="16"/>
    </row>
    <row r="344" spans="3:5" x14ac:dyDescent="0.35">
      <c r="C344" s="18"/>
      <c r="D344" s="28"/>
      <c r="E344" s="16"/>
    </row>
    <row r="345" spans="3:5" x14ac:dyDescent="0.35">
      <c r="C345" s="18"/>
      <c r="D345" s="28"/>
      <c r="E345" s="16"/>
    </row>
    <row r="346" spans="3:5" x14ac:dyDescent="0.35">
      <c r="C346" s="18"/>
      <c r="D346" s="28"/>
      <c r="E346" s="16"/>
    </row>
    <row r="347" spans="3:5" x14ac:dyDescent="0.35">
      <c r="C347" s="18"/>
      <c r="D347" s="28"/>
      <c r="E347" s="16"/>
    </row>
    <row r="348" spans="3:5" x14ac:dyDescent="0.35">
      <c r="C348" s="18"/>
      <c r="D348" s="28"/>
      <c r="E348" s="16"/>
    </row>
    <row r="349" spans="3:5" x14ac:dyDescent="0.35">
      <c r="C349" s="18"/>
      <c r="D349" s="28"/>
      <c r="E349" s="16"/>
    </row>
    <row r="350" spans="3:5" x14ac:dyDescent="0.35">
      <c r="C350" s="18"/>
      <c r="D350" s="28"/>
      <c r="E350" s="16"/>
    </row>
    <row r="351" spans="3:5" x14ac:dyDescent="0.35">
      <c r="C351" s="18"/>
      <c r="D351" s="28"/>
      <c r="E351" s="16"/>
    </row>
    <row r="352" spans="3:5" x14ac:dyDescent="0.35">
      <c r="C352" s="18"/>
      <c r="D352" s="28"/>
      <c r="E352" s="16"/>
    </row>
    <row r="353" spans="3:5" x14ac:dyDescent="0.35">
      <c r="C353" s="18"/>
      <c r="D353" s="28"/>
      <c r="E353" s="16"/>
    </row>
    <row r="354" spans="3:5" x14ac:dyDescent="0.35">
      <c r="C354" s="18"/>
      <c r="D354" s="28"/>
      <c r="E354" s="16"/>
    </row>
    <row r="355" spans="3:5" x14ac:dyDescent="0.35">
      <c r="C355" s="18"/>
      <c r="D355" s="28"/>
      <c r="E355" s="16"/>
    </row>
    <row r="356" spans="3:5" x14ac:dyDescent="0.35">
      <c r="C356" s="18"/>
      <c r="D356" s="28"/>
      <c r="E356" s="16"/>
    </row>
    <row r="357" spans="3:5" x14ac:dyDescent="0.35">
      <c r="C357" s="18"/>
      <c r="D357" s="28"/>
      <c r="E357" s="16"/>
    </row>
    <row r="358" spans="3:5" x14ac:dyDescent="0.35">
      <c r="C358" s="18"/>
      <c r="D358" s="28"/>
      <c r="E358" s="16"/>
    </row>
    <row r="359" spans="3:5" x14ac:dyDescent="0.35">
      <c r="C359" s="18"/>
      <c r="D359" s="28"/>
      <c r="E359" s="16"/>
    </row>
    <row r="360" spans="3:5" x14ac:dyDescent="0.35">
      <c r="C360" s="18"/>
      <c r="D360" s="28"/>
      <c r="E360" s="16"/>
    </row>
    <row r="361" spans="3:5" x14ac:dyDescent="0.35">
      <c r="C361" s="18"/>
      <c r="D361" s="28"/>
      <c r="E361" s="16"/>
    </row>
    <row r="362" spans="3:5" x14ac:dyDescent="0.35">
      <c r="C362" s="18"/>
      <c r="D362" s="28"/>
      <c r="E362" s="16"/>
    </row>
    <row r="363" spans="3:5" x14ac:dyDescent="0.35">
      <c r="C363" s="18"/>
      <c r="D363" s="28"/>
      <c r="E363" s="16"/>
    </row>
    <row r="364" spans="3:5" x14ac:dyDescent="0.35">
      <c r="C364" s="18"/>
      <c r="D364" s="28"/>
      <c r="E364" s="16"/>
    </row>
    <row r="365" spans="3:5" x14ac:dyDescent="0.35">
      <c r="C365" s="18"/>
      <c r="D365" s="28"/>
      <c r="E365" s="16"/>
    </row>
    <row r="366" spans="3:5" x14ac:dyDescent="0.35">
      <c r="C366" s="18"/>
      <c r="D366" s="28"/>
      <c r="E366" s="16"/>
    </row>
    <row r="367" spans="3:5" x14ac:dyDescent="0.35">
      <c r="C367" s="18"/>
      <c r="D367" s="28"/>
      <c r="E367" s="16"/>
    </row>
    <row r="368" spans="3:5" x14ac:dyDescent="0.35">
      <c r="C368" s="18"/>
      <c r="D368" s="28"/>
      <c r="E368" s="16"/>
    </row>
    <row r="369" spans="3:5" x14ac:dyDescent="0.35">
      <c r="C369" s="18"/>
      <c r="D369" s="28"/>
      <c r="E369" s="16"/>
    </row>
    <row r="370" spans="3:5" x14ac:dyDescent="0.35">
      <c r="C370" s="18"/>
      <c r="D370" s="28"/>
      <c r="E370" s="16"/>
    </row>
    <row r="371" spans="3:5" x14ac:dyDescent="0.35">
      <c r="C371" s="18"/>
      <c r="D371" s="28"/>
      <c r="E371" s="16"/>
    </row>
    <row r="372" spans="3:5" x14ac:dyDescent="0.35">
      <c r="C372" s="18"/>
      <c r="D372" s="28"/>
      <c r="E372" s="16"/>
    </row>
    <row r="373" spans="3:5" x14ac:dyDescent="0.35">
      <c r="C373" s="18"/>
      <c r="D373" s="28"/>
      <c r="E373" s="16"/>
    </row>
    <row r="374" spans="3:5" x14ac:dyDescent="0.35">
      <c r="C374" s="18"/>
      <c r="D374" s="28"/>
      <c r="E374" s="16"/>
    </row>
    <row r="375" spans="3:5" x14ac:dyDescent="0.35">
      <c r="C375" s="18"/>
      <c r="D375" s="28"/>
      <c r="E375" s="16"/>
    </row>
    <row r="376" spans="3:5" x14ac:dyDescent="0.35">
      <c r="C376" s="18"/>
      <c r="D376" s="28"/>
      <c r="E376" s="16"/>
    </row>
    <row r="377" spans="3:5" x14ac:dyDescent="0.35">
      <c r="C377" s="18"/>
      <c r="D377" s="28"/>
      <c r="E377" s="16"/>
    </row>
    <row r="378" spans="3:5" x14ac:dyDescent="0.35">
      <c r="C378" s="18"/>
      <c r="D378" s="28"/>
      <c r="E378" s="16"/>
    </row>
    <row r="379" spans="3:5" x14ac:dyDescent="0.35">
      <c r="C379" s="18"/>
      <c r="D379" s="28"/>
      <c r="E379" s="16"/>
    </row>
    <row r="380" spans="3:5" x14ac:dyDescent="0.35">
      <c r="C380" s="18"/>
      <c r="D380" s="28"/>
      <c r="E380" s="16"/>
    </row>
    <row r="381" spans="3:5" x14ac:dyDescent="0.35">
      <c r="C381" s="18"/>
      <c r="D381" s="28"/>
      <c r="E381" s="16"/>
    </row>
    <row r="382" spans="3:5" x14ac:dyDescent="0.35">
      <c r="C382" s="18"/>
      <c r="D382" s="28"/>
      <c r="E382" s="16"/>
    </row>
    <row r="383" spans="3:5" x14ac:dyDescent="0.35">
      <c r="C383" s="18"/>
      <c r="D383" s="28"/>
      <c r="E383" s="16"/>
    </row>
    <row r="384" spans="3:5" x14ac:dyDescent="0.35">
      <c r="C384" s="18"/>
      <c r="D384" s="28"/>
      <c r="E384" s="16"/>
    </row>
    <row r="385" spans="3:5" x14ac:dyDescent="0.35">
      <c r="C385" s="18"/>
      <c r="D385" s="28"/>
      <c r="E385" s="16"/>
    </row>
    <row r="386" spans="3:5" x14ac:dyDescent="0.35">
      <c r="C386" s="18"/>
      <c r="D386" s="28"/>
      <c r="E386" s="16"/>
    </row>
    <row r="387" spans="3:5" x14ac:dyDescent="0.35">
      <c r="C387" s="18"/>
      <c r="D387" s="28"/>
      <c r="E387" s="16"/>
    </row>
    <row r="388" spans="3:5" x14ac:dyDescent="0.35">
      <c r="C388" s="18"/>
      <c r="D388" s="28"/>
      <c r="E388" s="16"/>
    </row>
    <row r="389" spans="3:5" x14ac:dyDescent="0.35">
      <c r="C389" s="18"/>
      <c r="D389" s="28"/>
      <c r="E389" s="16"/>
    </row>
    <row r="390" spans="3:5" x14ac:dyDescent="0.35">
      <c r="C390" s="18"/>
      <c r="D390" s="28"/>
      <c r="E390" s="16"/>
    </row>
    <row r="391" spans="3:5" x14ac:dyDescent="0.35">
      <c r="C391" s="18"/>
      <c r="D391" s="28"/>
      <c r="E391" s="16"/>
    </row>
    <row r="392" spans="3:5" x14ac:dyDescent="0.35">
      <c r="C392" s="18"/>
      <c r="D392" s="28"/>
      <c r="E392" s="16"/>
    </row>
    <row r="393" spans="3:5" x14ac:dyDescent="0.35">
      <c r="C393" s="18"/>
      <c r="D393" s="28"/>
      <c r="E393" s="16"/>
    </row>
    <row r="394" spans="3:5" x14ac:dyDescent="0.35">
      <c r="C394" s="18"/>
      <c r="D394" s="28"/>
      <c r="E394" s="16"/>
    </row>
    <row r="395" spans="3:5" x14ac:dyDescent="0.35">
      <c r="C395" s="18"/>
      <c r="D395" s="28"/>
      <c r="E395" s="16"/>
    </row>
    <row r="396" spans="3:5" x14ac:dyDescent="0.35">
      <c r="C396" s="18"/>
      <c r="D396" s="28"/>
      <c r="E396" s="16"/>
    </row>
    <row r="397" spans="3:5" x14ac:dyDescent="0.35">
      <c r="C397" s="18"/>
      <c r="D397" s="28"/>
      <c r="E397" s="16"/>
    </row>
    <row r="398" spans="3:5" x14ac:dyDescent="0.35">
      <c r="C398" s="18"/>
      <c r="D398" s="28"/>
      <c r="E398" s="16"/>
    </row>
    <row r="399" spans="3:5" x14ac:dyDescent="0.35">
      <c r="C399" s="18"/>
      <c r="D399" s="28"/>
      <c r="E399" s="16"/>
    </row>
    <row r="400" spans="3:5" x14ac:dyDescent="0.35">
      <c r="C400" s="18"/>
      <c r="D400" s="28"/>
      <c r="E400" s="16"/>
    </row>
    <row r="401" spans="3:5" x14ac:dyDescent="0.35">
      <c r="C401" s="18"/>
      <c r="D401" s="28"/>
      <c r="E401" s="16"/>
    </row>
    <row r="402" spans="3:5" x14ac:dyDescent="0.35">
      <c r="C402" s="18"/>
      <c r="D402" s="28"/>
      <c r="E402" s="16"/>
    </row>
    <row r="403" spans="3:5" x14ac:dyDescent="0.35">
      <c r="C403" s="18"/>
      <c r="D403" s="28"/>
      <c r="E403" s="16"/>
    </row>
    <row r="404" spans="3:5" x14ac:dyDescent="0.35">
      <c r="C404" s="18"/>
      <c r="D404" s="28"/>
      <c r="E404" s="16"/>
    </row>
    <row r="405" spans="3:5" x14ac:dyDescent="0.35">
      <c r="C405" s="18"/>
      <c r="D405" s="28"/>
      <c r="E405" s="16"/>
    </row>
    <row r="406" spans="3:5" x14ac:dyDescent="0.35">
      <c r="C406" s="18"/>
      <c r="D406" s="28"/>
      <c r="E406" s="16"/>
    </row>
    <row r="407" spans="3:5" x14ac:dyDescent="0.35">
      <c r="C407" s="18"/>
      <c r="D407" s="28"/>
      <c r="E407" s="16"/>
    </row>
    <row r="408" spans="3:5" x14ac:dyDescent="0.35">
      <c r="C408" s="18"/>
      <c r="D408" s="28"/>
      <c r="E408" s="16"/>
    </row>
    <row r="409" spans="3:5" x14ac:dyDescent="0.35">
      <c r="C409" s="18"/>
      <c r="D409" s="28"/>
      <c r="E409" s="16"/>
    </row>
    <row r="410" spans="3:5" x14ac:dyDescent="0.35">
      <c r="C410" s="18"/>
      <c r="D410" s="28"/>
      <c r="E410" s="16"/>
    </row>
    <row r="411" spans="3:5" x14ac:dyDescent="0.35">
      <c r="C411" s="18"/>
      <c r="D411" s="28"/>
      <c r="E411" s="16"/>
    </row>
    <row r="412" spans="3:5" x14ac:dyDescent="0.35">
      <c r="C412" s="18"/>
      <c r="D412" s="28"/>
      <c r="E412" s="16"/>
    </row>
    <row r="413" spans="3:5" x14ac:dyDescent="0.35">
      <c r="C413" s="18"/>
      <c r="D413" s="28"/>
      <c r="E413" s="16"/>
    </row>
    <row r="414" spans="3:5" x14ac:dyDescent="0.35">
      <c r="C414" s="18"/>
      <c r="D414" s="28"/>
      <c r="E414" s="16"/>
    </row>
    <row r="415" spans="3:5" x14ac:dyDescent="0.35">
      <c r="C415" s="18"/>
      <c r="D415" s="28"/>
      <c r="E415" s="16"/>
    </row>
    <row r="416" spans="3:5" x14ac:dyDescent="0.35">
      <c r="C416" s="18"/>
      <c r="D416" s="28"/>
      <c r="E416" s="16"/>
    </row>
    <row r="417" spans="3:5" x14ac:dyDescent="0.35">
      <c r="C417" s="18"/>
      <c r="D417" s="28"/>
      <c r="E417" s="16"/>
    </row>
    <row r="418" spans="3:5" x14ac:dyDescent="0.35">
      <c r="C418" s="18"/>
      <c r="D418" s="28"/>
      <c r="E418" s="16"/>
    </row>
    <row r="419" spans="3:5" x14ac:dyDescent="0.35">
      <c r="C419" s="18"/>
      <c r="D419" s="28"/>
      <c r="E419" s="16"/>
    </row>
    <row r="420" spans="3:5" x14ac:dyDescent="0.35">
      <c r="C420" s="18"/>
      <c r="D420" s="28"/>
      <c r="E420" s="16"/>
    </row>
    <row r="421" spans="3:5" x14ac:dyDescent="0.35">
      <c r="C421" s="18"/>
      <c r="D421" s="28"/>
      <c r="E421" s="16"/>
    </row>
    <row r="422" spans="3:5" x14ac:dyDescent="0.35">
      <c r="C422" s="18"/>
      <c r="D422" s="28"/>
      <c r="E422" s="16"/>
    </row>
    <row r="423" spans="3:5" x14ac:dyDescent="0.35">
      <c r="C423" s="18"/>
      <c r="D423" s="28"/>
      <c r="E423" s="16"/>
    </row>
    <row r="424" spans="3:5" x14ac:dyDescent="0.35">
      <c r="C424" s="18"/>
      <c r="D424" s="28"/>
      <c r="E424" s="16"/>
    </row>
    <row r="425" spans="3:5" x14ac:dyDescent="0.35">
      <c r="C425" s="18"/>
      <c r="D425" s="28"/>
      <c r="E425" s="16"/>
    </row>
    <row r="426" spans="3:5" x14ac:dyDescent="0.35">
      <c r="C426" s="18"/>
      <c r="D426" s="28"/>
      <c r="E426" s="16"/>
    </row>
    <row r="427" spans="3:5" x14ac:dyDescent="0.35">
      <c r="C427" s="18"/>
      <c r="D427" s="28"/>
      <c r="E427" s="16"/>
    </row>
    <row r="428" spans="3:5" x14ac:dyDescent="0.35">
      <c r="C428" s="18"/>
      <c r="D428" s="28"/>
      <c r="E428" s="16"/>
    </row>
    <row r="429" spans="3:5" x14ac:dyDescent="0.35">
      <c r="C429" s="18"/>
      <c r="D429" s="28"/>
      <c r="E429" s="16"/>
    </row>
    <row r="430" spans="3:5" x14ac:dyDescent="0.35">
      <c r="C430" s="18"/>
      <c r="D430" s="28"/>
      <c r="E430" s="16"/>
    </row>
    <row r="431" spans="3:5" x14ac:dyDescent="0.35">
      <c r="C431" s="18"/>
      <c r="D431" s="28"/>
      <c r="E431" s="16"/>
    </row>
    <row r="432" spans="3:5" x14ac:dyDescent="0.35">
      <c r="C432" s="18"/>
      <c r="D432" s="28"/>
      <c r="E432" s="16"/>
    </row>
    <row r="433" spans="3:5" x14ac:dyDescent="0.35">
      <c r="C433" s="18"/>
      <c r="D433" s="28"/>
      <c r="E433" s="16"/>
    </row>
    <row r="434" spans="3:5" x14ac:dyDescent="0.35">
      <c r="C434" s="18"/>
      <c r="D434" s="28"/>
      <c r="E434" s="16"/>
    </row>
    <row r="435" spans="3:5" x14ac:dyDescent="0.35">
      <c r="C435" s="18"/>
      <c r="D435" s="28"/>
      <c r="E435" s="16"/>
    </row>
    <row r="436" spans="3:5" x14ac:dyDescent="0.35">
      <c r="C436" s="18"/>
      <c r="D436" s="28"/>
      <c r="E436" s="16"/>
    </row>
    <row r="437" spans="3:5" x14ac:dyDescent="0.35">
      <c r="C437" s="18"/>
      <c r="D437" s="28"/>
      <c r="E437" s="16"/>
    </row>
    <row r="438" spans="3:5" x14ac:dyDescent="0.35">
      <c r="C438" s="18"/>
      <c r="D438" s="28"/>
      <c r="E438" s="16"/>
    </row>
    <row r="439" spans="3:5" x14ac:dyDescent="0.35">
      <c r="C439" s="18"/>
      <c r="D439" s="28"/>
      <c r="E439" s="16"/>
    </row>
    <row r="440" spans="3:5" x14ac:dyDescent="0.35">
      <c r="C440" s="18"/>
      <c r="D440" s="28"/>
      <c r="E440" s="16"/>
    </row>
    <row r="441" spans="3:5" x14ac:dyDescent="0.35">
      <c r="C441" s="18"/>
      <c r="D441" s="28"/>
      <c r="E441" s="16"/>
    </row>
    <row r="442" spans="3:5" x14ac:dyDescent="0.35">
      <c r="C442" s="18"/>
      <c r="D442" s="28"/>
      <c r="E442" s="16"/>
    </row>
    <row r="443" spans="3:5" x14ac:dyDescent="0.35">
      <c r="C443" s="18"/>
      <c r="D443" s="28"/>
      <c r="E443" s="16"/>
    </row>
    <row r="444" spans="3:5" x14ac:dyDescent="0.35">
      <c r="C444" s="18"/>
      <c r="D444" s="28"/>
      <c r="E444" s="16"/>
    </row>
    <row r="445" spans="3:5" x14ac:dyDescent="0.35">
      <c r="C445" s="18"/>
      <c r="D445" s="28"/>
      <c r="E445" s="16"/>
    </row>
    <row r="446" spans="3:5" x14ac:dyDescent="0.35">
      <c r="C446" s="18"/>
      <c r="D446" s="28"/>
      <c r="E446" s="16"/>
    </row>
    <row r="447" spans="3:5" x14ac:dyDescent="0.35">
      <c r="C447" s="18"/>
      <c r="D447" s="28"/>
      <c r="E447" s="16"/>
    </row>
    <row r="448" spans="3:5" x14ac:dyDescent="0.35">
      <c r="C448" s="18"/>
      <c r="D448" s="28"/>
      <c r="E448" s="16"/>
    </row>
    <row r="449" spans="3:5" x14ac:dyDescent="0.35">
      <c r="C449" s="18"/>
      <c r="D449" s="28"/>
      <c r="E449" s="16"/>
    </row>
    <row r="450" spans="3:5" x14ac:dyDescent="0.35">
      <c r="C450" s="18"/>
      <c r="D450" s="28"/>
      <c r="E450" s="16"/>
    </row>
    <row r="451" spans="3:5" x14ac:dyDescent="0.35">
      <c r="C451" s="18"/>
      <c r="D451" s="28"/>
      <c r="E451" s="16"/>
    </row>
    <row r="452" spans="3:5" x14ac:dyDescent="0.35">
      <c r="C452" s="18"/>
      <c r="D452" s="28"/>
      <c r="E452" s="16"/>
    </row>
    <row r="453" spans="3:5" x14ac:dyDescent="0.35">
      <c r="C453" s="18"/>
      <c r="D453" s="28"/>
      <c r="E453" s="16"/>
    </row>
    <row r="454" spans="3:5" x14ac:dyDescent="0.35">
      <c r="C454" s="18"/>
      <c r="D454" s="28"/>
      <c r="E454" s="16"/>
    </row>
    <row r="455" spans="3:5" x14ac:dyDescent="0.35">
      <c r="C455" s="18"/>
      <c r="D455" s="28"/>
      <c r="E455" s="16"/>
    </row>
    <row r="456" spans="3:5" x14ac:dyDescent="0.35">
      <c r="C456" s="18"/>
      <c r="D456" s="28"/>
      <c r="E456" s="16"/>
    </row>
    <row r="457" spans="3:5" x14ac:dyDescent="0.35">
      <c r="C457" s="18"/>
      <c r="D457" s="28"/>
      <c r="E457" s="16"/>
    </row>
    <row r="458" spans="3:5" x14ac:dyDescent="0.35">
      <c r="C458" s="18"/>
      <c r="D458" s="28"/>
      <c r="E458" s="16"/>
    </row>
    <row r="459" spans="3:5" x14ac:dyDescent="0.35">
      <c r="C459" s="18"/>
      <c r="D459" s="28"/>
      <c r="E459" s="16"/>
    </row>
    <row r="460" spans="3:5" x14ac:dyDescent="0.35">
      <c r="C460" s="18"/>
      <c r="D460" s="28"/>
      <c r="E460" s="16"/>
    </row>
    <row r="461" spans="3:5" x14ac:dyDescent="0.35">
      <c r="C461" s="18"/>
      <c r="D461" s="28"/>
      <c r="E461" s="16"/>
    </row>
    <row r="462" spans="3:5" x14ac:dyDescent="0.35">
      <c r="C462" s="18"/>
      <c r="D462" s="28"/>
      <c r="E462" s="16"/>
    </row>
    <row r="463" spans="3:5" x14ac:dyDescent="0.35">
      <c r="C463" s="18"/>
      <c r="D463" s="28"/>
      <c r="E463" s="16"/>
    </row>
    <row r="464" spans="3:5" x14ac:dyDescent="0.35">
      <c r="C464" s="18"/>
      <c r="D464" s="28"/>
      <c r="E464" s="16"/>
    </row>
    <row r="465" spans="3:5" x14ac:dyDescent="0.35">
      <c r="C465" s="18"/>
      <c r="D465" s="28"/>
      <c r="E465" s="16"/>
    </row>
    <row r="466" spans="3:5" x14ac:dyDescent="0.35">
      <c r="C466" s="18"/>
      <c r="D466" s="28"/>
      <c r="E466" s="16"/>
    </row>
    <row r="467" spans="3:5" x14ac:dyDescent="0.35">
      <c r="C467" s="18"/>
      <c r="D467" s="28"/>
      <c r="E467" s="16"/>
    </row>
    <row r="468" spans="3:5" x14ac:dyDescent="0.35">
      <c r="C468" s="18"/>
      <c r="D468" s="28"/>
      <c r="E468" s="16"/>
    </row>
    <row r="469" spans="3:5" x14ac:dyDescent="0.35">
      <c r="C469" s="18"/>
      <c r="D469" s="28"/>
      <c r="E469" s="16"/>
    </row>
    <row r="470" spans="3:5" x14ac:dyDescent="0.35">
      <c r="C470" s="18"/>
      <c r="D470" s="28"/>
      <c r="E470" s="16"/>
    </row>
    <row r="471" spans="3:5" x14ac:dyDescent="0.35">
      <c r="C471" s="18"/>
      <c r="D471" s="28"/>
      <c r="E471" s="16"/>
    </row>
    <row r="472" spans="3:5" x14ac:dyDescent="0.35">
      <c r="C472" s="18"/>
      <c r="D472" s="28"/>
      <c r="E472" s="16"/>
    </row>
    <row r="473" spans="3:5" x14ac:dyDescent="0.35">
      <c r="C473" s="18"/>
      <c r="D473" s="28"/>
      <c r="E473" s="16"/>
    </row>
    <row r="474" spans="3:5" x14ac:dyDescent="0.35">
      <c r="C474" s="18"/>
      <c r="D474" s="28"/>
      <c r="E474" s="16"/>
    </row>
    <row r="475" spans="3:5" x14ac:dyDescent="0.35">
      <c r="C475" s="18"/>
      <c r="D475" s="28"/>
      <c r="E475" s="16"/>
    </row>
    <row r="476" spans="3:5" x14ac:dyDescent="0.35">
      <c r="C476" s="18"/>
      <c r="D476" s="28"/>
      <c r="E476" s="16"/>
    </row>
    <row r="477" spans="3:5" x14ac:dyDescent="0.35">
      <c r="C477" s="18"/>
      <c r="D477" s="28"/>
      <c r="E477" s="16"/>
    </row>
    <row r="478" spans="3:5" x14ac:dyDescent="0.35">
      <c r="C478" s="18"/>
      <c r="D478" s="28"/>
      <c r="E478" s="16"/>
    </row>
    <row r="479" spans="3:5" x14ac:dyDescent="0.35">
      <c r="C479" s="18"/>
      <c r="D479" s="28"/>
      <c r="E479" s="16"/>
    </row>
    <row r="480" spans="3:5" x14ac:dyDescent="0.35">
      <c r="C480" s="18"/>
      <c r="D480" s="28"/>
      <c r="E480" s="16"/>
    </row>
    <row r="481" spans="3:5" x14ac:dyDescent="0.35">
      <c r="C481" s="18"/>
      <c r="D481" s="28"/>
      <c r="E481" s="16"/>
    </row>
    <row r="482" spans="3:5" x14ac:dyDescent="0.35">
      <c r="C482" s="18"/>
      <c r="D482" s="28"/>
      <c r="E482" s="16"/>
    </row>
    <row r="483" spans="3:5" x14ac:dyDescent="0.35">
      <c r="C483" s="18"/>
      <c r="D483" s="28"/>
      <c r="E483" s="16"/>
    </row>
    <row r="484" spans="3:5" x14ac:dyDescent="0.35">
      <c r="C484" s="18"/>
      <c r="D484" s="28"/>
      <c r="E484" s="16"/>
    </row>
    <row r="485" spans="3:5" x14ac:dyDescent="0.35">
      <c r="C485" s="18"/>
      <c r="D485" s="28"/>
      <c r="E485" s="16"/>
    </row>
    <row r="486" spans="3:5" x14ac:dyDescent="0.35">
      <c r="C486" s="18"/>
      <c r="D486" s="28"/>
      <c r="E486" s="16"/>
    </row>
    <row r="487" spans="3:5" x14ac:dyDescent="0.35">
      <c r="C487" s="18"/>
      <c r="D487" s="28"/>
      <c r="E487" s="16"/>
    </row>
    <row r="488" spans="3:5" x14ac:dyDescent="0.35">
      <c r="C488" s="18"/>
      <c r="D488" s="28"/>
      <c r="E488" s="16"/>
    </row>
    <row r="489" spans="3:5" x14ac:dyDescent="0.35">
      <c r="C489" s="18"/>
      <c r="D489" s="28"/>
      <c r="E489" s="16"/>
    </row>
    <row r="490" spans="3:5" x14ac:dyDescent="0.35">
      <c r="C490" s="18"/>
      <c r="D490" s="28"/>
      <c r="E490" s="16"/>
    </row>
    <row r="491" spans="3:5" x14ac:dyDescent="0.35">
      <c r="C491" s="18"/>
      <c r="D491" s="28"/>
      <c r="E491" s="16"/>
    </row>
    <row r="492" spans="3:5" x14ac:dyDescent="0.35">
      <c r="C492" s="18"/>
      <c r="D492" s="28"/>
      <c r="E492" s="16"/>
    </row>
    <row r="493" spans="3:5" x14ac:dyDescent="0.35">
      <c r="C493" s="18"/>
      <c r="D493" s="28"/>
      <c r="E493" s="16"/>
    </row>
    <row r="494" spans="3:5" x14ac:dyDescent="0.35">
      <c r="C494" s="18"/>
      <c r="D494" s="28"/>
      <c r="E494" s="16"/>
    </row>
    <row r="495" spans="3:5" x14ac:dyDescent="0.35">
      <c r="C495" s="18"/>
      <c r="D495" s="28"/>
      <c r="E495" s="16"/>
    </row>
    <row r="496" spans="3:5" x14ac:dyDescent="0.35">
      <c r="C496" s="18"/>
      <c r="D496" s="28"/>
      <c r="E496" s="16"/>
    </row>
    <row r="497" spans="3:5" x14ac:dyDescent="0.35">
      <c r="C497" s="18"/>
      <c r="D497" s="28"/>
      <c r="E497" s="16"/>
    </row>
    <row r="498" spans="3:5" x14ac:dyDescent="0.35">
      <c r="C498" s="18"/>
      <c r="D498" s="28"/>
      <c r="E498" s="16"/>
    </row>
    <row r="499" spans="3:5" x14ac:dyDescent="0.35">
      <c r="C499" s="18"/>
      <c r="D499" s="28"/>
      <c r="E499" s="16"/>
    </row>
    <row r="500" spans="3:5" x14ac:dyDescent="0.35">
      <c r="C500" s="18"/>
      <c r="D500" s="28"/>
      <c r="E500" s="16"/>
    </row>
    <row r="501" spans="3:5" x14ac:dyDescent="0.35">
      <c r="C501" s="18"/>
      <c r="D501" s="28"/>
      <c r="E501" s="16"/>
    </row>
    <row r="502" spans="3:5" x14ac:dyDescent="0.35">
      <c r="C502" s="18"/>
      <c r="D502" s="28"/>
      <c r="E502" s="16"/>
    </row>
    <row r="503" spans="3:5" x14ac:dyDescent="0.35">
      <c r="C503" s="18"/>
      <c r="D503" s="28"/>
      <c r="E503" s="16"/>
    </row>
    <row r="504" spans="3:5" x14ac:dyDescent="0.35">
      <c r="C504" s="18"/>
      <c r="D504" s="28"/>
      <c r="E504" s="16"/>
    </row>
    <row r="505" spans="3:5" x14ac:dyDescent="0.35">
      <c r="C505" s="18"/>
      <c r="D505" s="28"/>
      <c r="E505" s="16"/>
    </row>
    <row r="506" spans="3:5" x14ac:dyDescent="0.35">
      <c r="C506" s="18"/>
      <c r="D506" s="28"/>
      <c r="E506" s="16"/>
    </row>
    <row r="507" spans="3:5" x14ac:dyDescent="0.35">
      <c r="C507" s="18"/>
      <c r="D507" s="28"/>
      <c r="E507" s="16"/>
    </row>
    <row r="508" spans="3:5" x14ac:dyDescent="0.35">
      <c r="C508" s="18"/>
      <c r="D508" s="28"/>
      <c r="E508" s="16"/>
    </row>
    <row r="509" spans="3:5" x14ac:dyDescent="0.35">
      <c r="C509" s="18"/>
      <c r="D509" s="28"/>
      <c r="E509" s="16"/>
    </row>
    <row r="510" spans="3:5" x14ac:dyDescent="0.35">
      <c r="C510" s="18"/>
      <c r="D510" s="28"/>
      <c r="E510" s="16"/>
    </row>
    <row r="511" spans="3:5" x14ac:dyDescent="0.35">
      <c r="C511" s="18"/>
      <c r="D511" s="28"/>
      <c r="E511" s="16"/>
    </row>
    <row r="512" spans="3:5" x14ac:dyDescent="0.35">
      <c r="C512" s="18"/>
      <c r="D512" s="28"/>
      <c r="E512" s="16"/>
    </row>
    <row r="513" spans="3:5" x14ac:dyDescent="0.35">
      <c r="C513" s="18"/>
      <c r="D513" s="28"/>
      <c r="E513" s="16"/>
    </row>
    <row r="514" spans="3:5" x14ac:dyDescent="0.35">
      <c r="C514" s="18"/>
      <c r="D514" s="28"/>
      <c r="E514" s="16"/>
    </row>
    <row r="515" spans="3:5" x14ac:dyDescent="0.35">
      <c r="C515" s="18"/>
      <c r="D515" s="28"/>
      <c r="E515" s="16"/>
    </row>
    <row r="516" spans="3:5" x14ac:dyDescent="0.35">
      <c r="C516" s="18"/>
      <c r="D516" s="28"/>
      <c r="E516" s="16"/>
    </row>
    <row r="517" spans="3:5" x14ac:dyDescent="0.35">
      <c r="C517" s="18"/>
      <c r="D517" s="28"/>
      <c r="E517" s="16"/>
    </row>
    <row r="518" spans="3:5" x14ac:dyDescent="0.35">
      <c r="C518" s="18"/>
      <c r="D518" s="28"/>
      <c r="E518" s="16"/>
    </row>
    <row r="519" spans="3:5" x14ac:dyDescent="0.35">
      <c r="C519" s="18"/>
      <c r="D519" s="28"/>
      <c r="E519" s="16"/>
    </row>
    <row r="520" spans="3:5" x14ac:dyDescent="0.35">
      <c r="C520" s="18"/>
      <c r="D520" s="28"/>
      <c r="E520" s="16"/>
    </row>
    <row r="521" spans="3:5" x14ac:dyDescent="0.35">
      <c r="C521" s="18"/>
      <c r="D521" s="28"/>
      <c r="E521" s="16"/>
    </row>
    <row r="522" spans="3:5" x14ac:dyDescent="0.35">
      <c r="C522" s="18"/>
      <c r="D522" s="28"/>
      <c r="E522" s="16"/>
    </row>
    <row r="523" spans="3:5" x14ac:dyDescent="0.35">
      <c r="C523" s="18"/>
      <c r="D523" s="28"/>
      <c r="E523" s="16"/>
    </row>
    <row r="524" spans="3:5" x14ac:dyDescent="0.35">
      <c r="C524" s="18"/>
      <c r="D524" s="28"/>
      <c r="E524" s="16"/>
    </row>
    <row r="525" spans="3:5" x14ac:dyDescent="0.35">
      <c r="C525" s="18"/>
      <c r="D525" s="28"/>
      <c r="E525" s="16"/>
    </row>
    <row r="526" spans="3:5" x14ac:dyDescent="0.35">
      <c r="C526" s="18"/>
      <c r="D526" s="28"/>
      <c r="E526" s="16"/>
    </row>
    <row r="527" spans="3:5" x14ac:dyDescent="0.35">
      <c r="C527" s="18"/>
      <c r="D527" s="28"/>
      <c r="E527" s="16"/>
    </row>
    <row r="528" spans="3:5" x14ac:dyDescent="0.35">
      <c r="C528" s="18"/>
      <c r="D528" s="28"/>
      <c r="E528" s="16"/>
    </row>
    <row r="529" spans="3:5" x14ac:dyDescent="0.35">
      <c r="C529" s="18"/>
      <c r="D529" s="28"/>
      <c r="E529" s="16"/>
    </row>
    <row r="530" spans="3:5" x14ac:dyDescent="0.35">
      <c r="C530" s="18"/>
      <c r="D530" s="28"/>
      <c r="E530" s="16"/>
    </row>
    <row r="531" spans="3:5" x14ac:dyDescent="0.35">
      <c r="C531" s="18"/>
      <c r="D531" s="28"/>
      <c r="E531" s="16"/>
    </row>
    <row r="532" spans="3:5" x14ac:dyDescent="0.35">
      <c r="C532" s="18"/>
      <c r="D532" s="28"/>
      <c r="E532" s="16"/>
    </row>
    <row r="533" spans="3:5" x14ac:dyDescent="0.35">
      <c r="C533" s="18"/>
      <c r="D533" s="28"/>
      <c r="E533" s="16"/>
    </row>
    <row r="534" spans="3:5" x14ac:dyDescent="0.35">
      <c r="C534" s="18"/>
      <c r="D534" s="28"/>
      <c r="E534" s="16"/>
    </row>
    <row r="535" spans="3:5" x14ac:dyDescent="0.35">
      <c r="C535" s="18"/>
      <c r="D535" s="28"/>
      <c r="E535" s="16"/>
    </row>
    <row r="536" spans="3:5" x14ac:dyDescent="0.35">
      <c r="C536" s="18"/>
      <c r="D536" s="28"/>
      <c r="E536" s="16"/>
    </row>
    <row r="537" spans="3:5" x14ac:dyDescent="0.35">
      <c r="C537" s="18"/>
      <c r="D537" s="28"/>
      <c r="E537" s="16"/>
    </row>
    <row r="538" spans="3:5" x14ac:dyDescent="0.35">
      <c r="C538" s="18"/>
      <c r="D538" s="28"/>
      <c r="E538" s="16"/>
    </row>
    <row r="539" spans="3:5" x14ac:dyDescent="0.35">
      <c r="C539" s="18"/>
      <c r="D539" s="28"/>
      <c r="E539" s="16"/>
    </row>
    <row r="540" spans="3:5" x14ac:dyDescent="0.35">
      <c r="C540" s="18"/>
      <c r="D540" s="28"/>
      <c r="E540" s="16"/>
    </row>
    <row r="541" spans="3:5" x14ac:dyDescent="0.35">
      <c r="C541" s="18"/>
      <c r="D541" s="28"/>
      <c r="E541" s="16"/>
    </row>
    <row r="542" spans="3:5" x14ac:dyDescent="0.35">
      <c r="C542" s="18"/>
      <c r="D542" s="28"/>
      <c r="E542" s="16"/>
    </row>
    <row r="543" spans="3:5" x14ac:dyDescent="0.35">
      <c r="C543" s="18"/>
      <c r="D543" s="28"/>
      <c r="E543" s="16"/>
    </row>
    <row r="544" spans="3:5" x14ac:dyDescent="0.35">
      <c r="C544" s="18"/>
      <c r="D544" s="28"/>
      <c r="E544" s="16"/>
    </row>
    <row r="545" spans="3:5" x14ac:dyDescent="0.35">
      <c r="C545" s="18"/>
      <c r="D545" s="28"/>
      <c r="E545" s="16"/>
    </row>
    <row r="546" spans="3:5" x14ac:dyDescent="0.35">
      <c r="C546" s="18"/>
      <c r="D546" s="28"/>
      <c r="E546" s="16"/>
    </row>
    <row r="547" spans="3:5" x14ac:dyDescent="0.35">
      <c r="C547" s="18"/>
      <c r="D547" s="28"/>
      <c r="E547" s="16"/>
    </row>
    <row r="548" spans="3:5" x14ac:dyDescent="0.35">
      <c r="C548" s="18"/>
      <c r="D548" s="28"/>
      <c r="E548" s="16"/>
    </row>
    <row r="549" spans="3:5" x14ac:dyDescent="0.35">
      <c r="C549" s="18"/>
      <c r="D549" s="28"/>
      <c r="E549" s="16"/>
    </row>
    <row r="550" spans="3:5" x14ac:dyDescent="0.35">
      <c r="C550" s="18"/>
      <c r="D550" s="28"/>
      <c r="E550" s="16"/>
    </row>
    <row r="551" spans="3:5" x14ac:dyDescent="0.35">
      <c r="C551" s="18"/>
      <c r="D551" s="28"/>
      <c r="E551" s="16"/>
    </row>
    <row r="552" spans="3:5" x14ac:dyDescent="0.35">
      <c r="C552" s="18"/>
      <c r="D552" s="28"/>
      <c r="E552" s="16"/>
    </row>
    <row r="553" spans="3:5" x14ac:dyDescent="0.35">
      <c r="C553" s="18"/>
      <c r="D553" s="28"/>
      <c r="E553" s="16"/>
    </row>
    <row r="554" spans="3:5" x14ac:dyDescent="0.35">
      <c r="C554" s="18"/>
      <c r="D554" s="28"/>
      <c r="E554" s="16"/>
    </row>
    <row r="555" spans="3:5" x14ac:dyDescent="0.35">
      <c r="C555" s="18"/>
      <c r="D555" s="28"/>
      <c r="E555" s="16"/>
    </row>
    <row r="556" spans="3:5" x14ac:dyDescent="0.35">
      <c r="C556" s="18"/>
      <c r="D556" s="28"/>
      <c r="E556" s="16"/>
    </row>
    <row r="557" spans="3:5" x14ac:dyDescent="0.35">
      <c r="C557" s="18"/>
      <c r="D557" s="28"/>
      <c r="E557" s="16"/>
    </row>
    <row r="558" spans="3:5" x14ac:dyDescent="0.35">
      <c r="C558" s="18"/>
      <c r="D558" s="28"/>
      <c r="E558" s="16"/>
    </row>
    <row r="559" spans="3:5" x14ac:dyDescent="0.35">
      <c r="C559" s="18"/>
      <c r="D559" s="28"/>
      <c r="E559" s="16"/>
    </row>
    <row r="560" spans="3:5" x14ac:dyDescent="0.35">
      <c r="C560" s="18"/>
      <c r="D560" s="28"/>
      <c r="E560" s="16"/>
    </row>
    <row r="561" spans="3:5" x14ac:dyDescent="0.35">
      <c r="C561" s="18"/>
      <c r="D561" s="28"/>
      <c r="E561" s="16"/>
    </row>
    <row r="562" spans="3:5" x14ac:dyDescent="0.35">
      <c r="C562" s="18"/>
      <c r="D562" s="28"/>
      <c r="E562" s="16"/>
    </row>
    <row r="563" spans="3:5" x14ac:dyDescent="0.35">
      <c r="C563" s="18"/>
      <c r="D563" s="28"/>
      <c r="E563" s="16"/>
    </row>
    <row r="564" spans="3:5" x14ac:dyDescent="0.35">
      <c r="C564" s="18"/>
      <c r="D564" s="28"/>
      <c r="E564" s="16"/>
    </row>
    <row r="565" spans="3:5" x14ac:dyDescent="0.35">
      <c r="C565" s="18"/>
      <c r="D565" s="28"/>
      <c r="E565" s="16"/>
    </row>
    <row r="566" spans="3:5" x14ac:dyDescent="0.35">
      <c r="C566" s="18"/>
      <c r="D566" s="28"/>
      <c r="E566" s="16"/>
    </row>
    <row r="567" spans="3:5" x14ac:dyDescent="0.35">
      <c r="C567" s="18"/>
      <c r="D567" s="28"/>
      <c r="E567" s="16"/>
    </row>
    <row r="568" spans="3:5" x14ac:dyDescent="0.35">
      <c r="C568" s="18"/>
      <c r="D568" s="28"/>
      <c r="E568" s="16"/>
    </row>
    <row r="569" spans="3:5" x14ac:dyDescent="0.35">
      <c r="C569" s="18"/>
      <c r="D569" s="28"/>
      <c r="E569" s="16"/>
    </row>
    <row r="570" spans="3:5" x14ac:dyDescent="0.35">
      <c r="C570" s="18"/>
      <c r="D570" s="28"/>
      <c r="E570" s="16"/>
    </row>
    <row r="571" spans="3:5" x14ac:dyDescent="0.35">
      <c r="C571" s="18"/>
      <c r="D571" s="28"/>
      <c r="E571" s="16"/>
    </row>
    <row r="572" spans="3:5" x14ac:dyDescent="0.35">
      <c r="C572" s="18"/>
      <c r="D572" s="28"/>
      <c r="E572" s="16"/>
    </row>
    <row r="573" spans="3:5" x14ac:dyDescent="0.35">
      <c r="C573" s="18"/>
      <c r="D573" s="28"/>
      <c r="E573" s="16"/>
    </row>
    <row r="574" spans="3:5" x14ac:dyDescent="0.35">
      <c r="C574" s="18"/>
      <c r="D574" s="28"/>
      <c r="E574" s="16"/>
    </row>
    <row r="575" spans="3:5" x14ac:dyDescent="0.35">
      <c r="C575" s="18"/>
      <c r="D575" s="28"/>
      <c r="E575" s="16"/>
    </row>
    <row r="576" spans="3:5" x14ac:dyDescent="0.35">
      <c r="C576" s="18"/>
      <c r="D576" s="28"/>
      <c r="E576" s="16"/>
    </row>
    <row r="577" spans="3:5" x14ac:dyDescent="0.35">
      <c r="C577" s="18"/>
      <c r="D577" s="28"/>
      <c r="E577" s="16"/>
    </row>
    <row r="578" spans="3:5" x14ac:dyDescent="0.35">
      <c r="C578" s="18"/>
      <c r="D578" s="28"/>
      <c r="E578" s="16"/>
    </row>
    <row r="579" spans="3:5" x14ac:dyDescent="0.35">
      <c r="C579" s="18"/>
      <c r="D579" s="28"/>
      <c r="E579" s="16"/>
    </row>
    <row r="580" spans="3:5" x14ac:dyDescent="0.35">
      <c r="C580" s="18"/>
      <c r="D580" s="28"/>
      <c r="E580" s="16"/>
    </row>
    <row r="581" spans="3:5" x14ac:dyDescent="0.35">
      <c r="C581" s="18"/>
      <c r="D581" s="28"/>
      <c r="E581" s="16"/>
    </row>
    <row r="582" spans="3:5" x14ac:dyDescent="0.35">
      <c r="C582" s="18"/>
      <c r="D582" s="28"/>
      <c r="E582" s="16"/>
    </row>
    <row r="583" spans="3:5" x14ac:dyDescent="0.35">
      <c r="C583" s="18"/>
      <c r="D583" s="28"/>
      <c r="E583" s="16"/>
    </row>
    <row r="584" spans="3:5" x14ac:dyDescent="0.35">
      <c r="C584" s="18"/>
      <c r="D584" s="28"/>
      <c r="E584" s="16"/>
    </row>
    <row r="585" spans="3:5" x14ac:dyDescent="0.35">
      <c r="C585" s="18"/>
      <c r="D585" s="28"/>
      <c r="E585" s="16"/>
    </row>
    <row r="586" spans="3:5" x14ac:dyDescent="0.35">
      <c r="C586" s="18"/>
      <c r="D586" s="28"/>
      <c r="E586" s="16"/>
    </row>
    <row r="587" spans="3:5" x14ac:dyDescent="0.35">
      <c r="C587" s="18"/>
      <c r="D587" s="28"/>
      <c r="E587" s="16"/>
    </row>
    <row r="588" spans="3:5" x14ac:dyDescent="0.35">
      <c r="C588" s="18"/>
      <c r="D588" s="28"/>
      <c r="E588" s="16"/>
    </row>
    <row r="589" spans="3:5" x14ac:dyDescent="0.35">
      <c r="C589" s="18"/>
      <c r="D589" s="28"/>
      <c r="E589" s="16"/>
    </row>
    <row r="590" spans="3:5" x14ac:dyDescent="0.35">
      <c r="C590" s="18"/>
      <c r="D590" s="28"/>
      <c r="E590" s="16"/>
    </row>
    <row r="591" spans="3:5" x14ac:dyDescent="0.35">
      <c r="C591" s="18"/>
      <c r="D591" s="28"/>
      <c r="E591" s="16"/>
    </row>
    <row r="592" spans="3:5" x14ac:dyDescent="0.35">
      <c r="C592" s="18"/>
      <c r="D592" s="28"/>
      <c r="E592" s="16"/>
    </row>
    <row r="593" spans="3:5" x14ac:dyDescent="0.35">
      <c r="C593" s="18"/>
      <c r="D593" s="28"/>
      <c r="E593" s="16"/>
    </row>
    <row r="594" spans="3:5" x14ac:dyDescent="0.35">
      <c r="C594" s="18"/>
      <c r="D594" s="28"/>
      <c r="E594" s="16"/>
    </row>
    <row r="595" spans="3:5" x14ac:dyDescent="0.35">
      <c r="C595" s="18"/>
      <c r="D595" s="28"/>
      <c r="E595" s="16"/>
    </row>
    <row r="596" spans="3:5" x14ac:dyDescent="0.35">
      <c r="C596" s="18"/>
      <c r="D596" s="28"/>
      <c r="E596" s="16"/>
    </row>
    <row r="597" spans="3:5" x14ac:dyDescent="0.35">
      <c r="C597" s="18"/>
      <c r="D597" s="28"/>
      <c r="E597" s="16"/>
    </row>
    <row r="598" spans="3:5" x14ac:dyDescent="0.35">
      <c r="C598" s="18"/>
      <c r="D598" s="28"/>
      <c r="E598" s="16"/>
    </row>
    <row r="599" spans="3:5" x14ac:dyDescent="0.35">
      <c r="C599" s="18"/>
      <c r="D599" s="28"/>
      <c r="E599" s="16"/>
    </row>
    <row r="600" spans="3:5" x14ac:dyDescent="0.35">
      <c r="C600" s="18"/>
      <c r="D600" s="28"/>
      <c r="E600" s="16"/>
    </row>
    <row r="601" spans="3:5" x14ac:dyDescent="0.35">
      <c r="C601" s="18"/>
      <c r="D601" s="28"/>
      <c r="E601" s="16"/>
    </row>
    <row r="602" spans="3:5" x14ac:dyDescent="0.35">
      <c r="C602" s="18"/>
      <c r="D602" s="28"/>
      <c r="E602" s="16"/>
    </row>
    <row r="603" spans="3:5" x14ac:dyDescent="0.35">
      <c r="C603" s="18"/>
      <c r="D603" s="28"/>
      <c r="E603" s="16"/>
    </row>
    <row r="604" spans="3:5" x14ac:dyDescent="0.35">
      <c r="C604" s="18"/>
      <c r="D604" s="28"/>
      <c r="E604" s="16"/>
    </row>
    <row r="605" spans="3:5" x14ac:dyDescent="0.35">
      <c r="C605" s="18"/>
      <c r="D605" s="28"/>
      <c r="E605" s="16"/>
    </row>
    <row r="606" spans="3:5" x14ac:dyDescent="0.35">
      <c r="C606" s="18"/>
      <c r="D606" s="28"/>
      <c r="E606" s="16"/>
    </row>
    <row r="607" spans="3:5" x14ac:dyDescent="0.35">
      <c r="C607" s="18"/>
      <c r="D607" s="28"/>
      <c r="E607" s="16"/>
    </row>
    <row r="608" spans="3:5" x14ac:dyDescent="0.35">
      <c r="C608" s="18"/>
      <c r="D608" s="28"/>
      <c r="E608" s="16"/>
    </row>
    <row r="609" spans="3:5" x14ac:dyDescent="0.35">
      <c r="C609" s="18"/>
      <c r="D609" s="28"/>
      <c r="E609" s="16"/>
    </row>
    <row r="610" spans="3:5" x14ac:dyDescent="0.35">
      <c r="C610" s="18"/>
      <c r="D610" s="28"/>
      <c r="E610" s="16"/>
    </row>
    <row r="611" spans="3:5" x14ac:dyDescent="0.35">
      <c r="C611" s="18"/>
      <c r="D611" s="28"/>
      <c r="E611" s="16"/>
    </row>
    <row r="612" spans="3:5" x14ac:dyDescent="0.35">
      <c r="C612" s="18"/>
      <c r="D612" s="28"/>
      <c r="E612" s="16"/>
    </row>
    <row r="613" spans="3:5" x14ac:dyDescent="0.35">
      <c r="C613" s="18"/>
      <c r="D613" s="28"/>
      <c r="E613" s="16"/>
    </row>
    <row r="614" spans="3:5" x14ac:dyDescent="0.35">
      <c r="C614" s="18"/>
      <c r="D614" s="28"/>
      <c r="E614" s="16"/>
    </row>
    <row r="615" spans="3:5" x14ac:dyDescent="0.35">
      <c r="C615" s="18"/>
      <c r="D615" s="28"/>
      <c r="E615" s="16"/>
    </row>
    <row r="616" spans="3:5" x14ac:dyDescent="0.35">
      <c r="C616" s="18"/>
      <c r="D616" s="28"/>
      <c r="E616" s="16"/>
    </row>
    <row r="617" spans="3:5" x14ac:dyDescent="0.35">
      <c r="C617" s="18"/>
      <c r="D617" s="28"/>
      <c r="E617" s="16"/>
    </row>
    <row r="618" spans="3:5" x14ac:dyDescent="0.35">
      <c r="C618" s="18"/>
      <c r="D618" s="28"/>
      <c r="E618" s="16"/>
    </row>
    <row r="619" spans="3:5" x14ac:dyDescent="0.35">
      <c r="C619" s="18"/>
      <c r="D619" s="28"/>
      <c r="E619" s="16"/>
    </row>
    <row r="620" spans="3:5" x14ac:dyDescent="0.35">
      <c r="C620" s="18"/>
      <c r="D620" s="28"/>
      <c r="E620" s="16"/>
    </row>
    <row r="621" spans="3:5" x14ac:dyDescent="0.35">
      <c r="C621" s="18"/>
      <c r="D621" s="28"/>
      <c r="E621" s="16"/>
    </row>
    <row r="622" spans="3:5" x14ac:dyDescent="0.35">
      <c r="C622" s="18"/>
      <c r="D622" s="28"/>
      <c r="E622" s="16"/>
    </row>
    <row r="623" spans="3:5" x14ac:dyDescent="0.35">
      <c r="C623" s="18"/>
      <c r="D623" s="28"/>
      <c r="E623" s="16"/>
    </row>
    <row r="624" spans="3:5" x14ac:dyDescent="0.35">
      <c r="C624" s="18"/>
      <c r="D624" s="28"/>
      <c r="E624" s="16"/>
    </row>
    <row r="625" spans="3:5" x14ac:dyDescent="0.35">
      <c r="C625" s="18"/>
      <c r="D625" s="28"/>
      <c r="E625" s="16"/>
    </row>
    <row r="626" spans="3:5" x14ac:dyDescent="0.35">
      <c r="C626" s="18"/>
      <c r="D626" s="28"/>
      <c r="E626" s="16"/>
    </row>
    <row r="627" spans="3:5" x14ac:dyDescent="0.35">
      <c r="C627" s="18"/>
      <c r="D627" s="28"/>
      <c r="E627" s="16"/>
    </row>
    <row r="628" spans="3:5" x14ac:dyDescent="0.35">
      <c r="C628" s="18"/>
      <c r="D628" s="28"/>
      <c r="E628" s="16"/>
    </row>
    <row r="629" spans="3:5" x14ac:dyDescent="0.35">
      <c r="C629" s="18"/>
      <c r="D629" s="28"/>
      <c r="E629" s="16"/>
    </row>
    <row r="630" spans="3:5" x14ac:dyDescent="0.35">
      <c r="C630" s="18"/>
      <c r="D630" s="28"/>
      <c r="E630" s="16"/>
    </row>
    <row r="631" spans="3:5" x14ac:dyDescent="0.35">
      <c r="C631" s="18"/>
      <c r="D631" s="28"/>
      <c r="E631" s="16"/>
    </row>
    <row r="632" spans="3:5" x14ac:dyDescent="0.35">
      <c r="C632" s="18"/>
      <c r="D632" s="28"/>
      <c r="E632" s="16"/>
    </row>
    <row r="633" spans="3:5" x14ac:dyDescent="0.35">
      <c r="C633" s="18"/>
      <c r="D633" s="28"/>
      <c r="E633" s="16"/>
    </row>
    <row r="634" spans="3:5" x14ac:dyDescent="0.35">
      <c r="C634" s="18"/>
      <c r="D634" s="28"/>
      <c r="E634" s="16"/>
    </row>
    <row r="635" spans="3:5" x14ac:dyDescent="0.35">
      <c r="C635" s="18"/>
      <c r="D635" s="28"/>
      <c r="E635" s="16"/>
    </row>
    <row r="636" spans="3:5" x14ac:dyDescent="0.35">
      <c r="C636" s="18"/>
      <c r="D636" s="28"/>
      <c r="E636" s="16"/>
    </row>
    <row r="637" spans="3:5" x14ac:dyDescent="0.35">
      <c r="C637" s="18"/>
      <c r="D637" s="28"/>
      <c r="E637" s="16"/>
    </row>
    <row r="638" spans="3:5" x14ac:dyDescent="0.35">
      <c r="C638" s="18"/>
      <c r="D638" s="28"/>
      <c r="E638" s="16"/>
    </row>
    <row r="639" spans="3:5" x14ac:dyDescent="0.35">
      <c r="C639" s="18"/>
      <c r="D639" s="28"/>
      <c r="E639" s="16"/>
    </row>
    <row r="640" spans="3:5" x14ac:dyDescent="0.35">
      <c r="C640" s="18"/>
      <c r="D640" s="28"/>
      <c r="E640" s="16"/>
    </row>
    <row r="641" spans="3:5" x14ac:dyDescent="0.35">
      <c r="C641" s="18"/>
      <c r="D641" s="28"/>
      <c r="E641" s="16"/>
    </row>
    <row r="642" spans="3:5" x14ac:dyDescent="0.35">
      <c r="C642" s="18"/>
      <c r="D642" s="28"/>
      <c r="E642" s="16"/>
    </row>
    <row r="643" spans="3:5" x14ac:dyDescent="0.35">
      <c r="C643" s="18"/>
      <c r="D643" s="28"/>
      <c r="E643" s="16"/>
    </row>
    <row r="644" spans="3:5" x14ac:dyDescent="0.35">
      <c r="C644" s="18"/>
      <c r="D644" s="28"/>
      <c r="E644" s="16"/>
    </row>
    <row r="645" spans="3:5" x14ac:dyDescent="0.35">
      <c r="C645" s="18"/>
      <c r="D645" s="28"/>
      <c r="E645" s="16"/>
    </row>
    <row r="646" spans="3:5" x14ac:dyDescent="0.35">
      <c r="C646" s="18"/>
      <c r="D646" s="28"/>
      <c r="E646" s="16"/>
    </row>
    <row r="647" spans="3:5" x14ac:dyDescent="0.35">
      <c r="C647" s="18"/>
      <c r="D647" s="28"/>
      <c r="E647" s="16"/>
    </row>
    <row r="648" spans="3:5" x14ac:dyDescent="0.35">
      <c r="C648" s="18"/>
      <c r="D648" s="28"/>
      <c r="E648" s="16"/>
    </row>
    <row r="649" spans="3:5" x14ac:dyDescent="0.35">
      <c r="C649" s="18"/>
      <c r="D649" s="28"/>
      <c r="E649" s="16"/>
    </row>
    <row r="650" spans="3:5" x14ac:dyDescent="0.35">
      <c r="C650" s="18"/>
      <c r="D650" s="28"/>
      <c r="E650" s="16"/>
    </row>
    <row r="651" spans="3:5" x14ac:dyDescent="0.35">
      <c r="C651" s="18"/>
      <c r="D651" s="28"/>
      <c r="E651" s="16"/>
    </row>
    <row r="652" spans="3:5" x14ac:dyDescent="0.35">
      <c r="C652" s="18"/>
      <c r="D652" s="28"/>
      <c r="E652" s="16"/>
    </row>
    <row r="653" spans="3:5" x14ac:dyDescent="0.35">
      <c r="C653" s="18"/>
      <c r="D653" s="28"/>
      <c r="E653" s="16"/>
    </row>
    <row r="654" spans="3:5" x14ac:dyDescent="0.35">
      <c r="C654" s="18"/>
      <c r="D654" s="28"/>
      <c r="E654" s="16"/>
    </row>
    <row r="655" spans="3:5" x14ac:dyDescent="0.35">
      <c r="C655" s="18"/>
      <c r="D655" s="28"/>
      <c r="E655" s="16"/>
    </row>
    <row r="656" spans="3:5" x14ac:dyDescent="0.35">
      <c r="C656" s="18"/>
      <c r="D656" s="28"/>
      <c r="E656" s="16"/>
    </row>
    <row r="657" spans="3:5" x14ac:dyDescent="0.35">
      <c r="C657" s="18"/>
      <c r="D657" s="28"/>
      <c r="E657" s="16"/>
    </row>
    <row r="658" spans="3:5" x14ac:dyDescent="0.35">
      <c r="C658" s="18"/>
      <c r="D658" s="28"/>
      <c r="E658" s="16"/>
    </row>
    <row r="659" spans="3:5" x14ac:dyDescent="0.35">
      <c r="C659" s="18"/>
      <c r="D659" s="28"/>
      <c r="E659" s="16"/>
    </row>
    <row r="660" spans="3:5" x14ac:dyDescent="0.35">
      <c r="C660" s="18"/>
      <c r="D660" s="28"/>
      <c r="E660" s="16"/>
    </row>
    <row r="661" spans="3:5" x14ac:dyDescent="0.35">
      <c r="C661" s="18"/>
      <c r="D661" s="28"/>
      <c r="E661" s="16"/>
    </row>
    <row r="662" spans="3:5" x14ac:dyDescent="0.35">
      <c r="C662" s="18"/>
      <c r="D662" s="28"/>
      <c r="E662" s="16"/>
    </row>
    <row r="663" spans="3:5" x14ac:dyDescent="0.35">
      <c r="C663" s="18"/>
      <c r="D663" s="28"/>
      <c r="E663" s="16"/>
    </row>
    <row r="664" spans="3:5" x14ac:dyDescent="0.35">
      <c r="C664" s="18"/>
      <c r="D664" s="28"/>
      <c r="E664" s="16"/>
    </row>
    <row r="665" spans="3:5" x14ac:dyDescent="0.35">
      <c r="C665" s="18"/>
      <c r="D665" s="28"/>
      <c r="E665" s="16"/>
    </row>
    <row r="666" spans="3:5" x14ac:dyDescent="0.35">
      <c r="C666" s="18"/>
      <c r="D666" s="28"/>
      <c r="E666" s="16"/>
    </row>
    <row r="667" spans="3:5" x14ac:dyDescent="0.35">
      <c r="C667" s="18"/>
      <c r="D667" s="28"/>
      <c r="E667" s="16"/>
    </row>
    <row r="668" spans="3:5" x14ac:dyDescent="0.35">
      <c r="C668" s="18"/>
      <c r="D668" s="28"/>
      <c r="E668" s="16"/>
    </row>
    <row r="669" spans="3:5" x14ac:dyDescent="0.35">
      <c r="C669" s="18"/>
      <c r="D669" s="28"/>
      <c r="E669" s="16"/>
    </row>
    <row r="670" spans="3:5" x14ac:dyDescent="0.35">
      <c r="C670" s="18"/>
      <c r="D670" s="28"/>
      <c r="E670" s="16"/>
    </row>
    <row r="671" spans="3:5" x14ac:dyDescent="0.35">
      <c r="C671" s="18"/>
      <c r="D671" s="28"/>
      <c r="E671" s="16"/>
    </row>
    <row r="672" spans="3:5" x14ac:dyDescent="0.35">
      <c r="C672" s="18"/>
      <c r="D672" s="28"/>
      <c r="E672" s="16"/>
    </row>
    <row r="673" spans="3:5" x14ac:dyDescent="0.35">
      <c r="C673" s="18"/>
      <c r="D673" s="28"/>
      <c r="E673" s="16"/>
    </row>
    <row r="674" spans="3:5" x14ac:dyDescent="0.35">
      <c r="C674" s="18"/>
      <c r="D674" s="28"/>
      <c r="E674" s="16"/>
    </row>
    <row r="675" spans="3:5" x14ac:dyDescent="0.35">
      <c r="C675" s="18"/>
      <c r="D675" s="28"/>
      <c r="E675" s="16"/>
    </row>
    <row r="676" spans="3:5" x14ac:dyDescent="0.35">
      <c r="C676" s="18"/>
      <c r="D676" s="28"/>
      <c r="E676" s="16"/>
    </row>
    <row r="677" spans="3:5" x14ac:dyDescent="0.35">
      <c r="C677" s="18"/>
      <c r="D677" s="28"/>
      <c r="E677" s="16"/>
    </row>
    <row r="678" spans="3:5" x14ac:dyDescent="0.35">
      <c r="C678" s="18"/>
      <c r="D678" s="28"/>
      <c r="E678" s="16"/>
    </row>
    <row r="679" spans="3:5" x14ac:dyDescent="0.35">
      <c r="C679" s="18"/>
      <c r="D679" s="28"/>
      <c r="E679" s="16"/>
    </row>
    <row r="680" spans="3:5" x14ac:dyDescent="0.35">
      <c r="C680" s="18"/>
      <c r="D680" s="28"/>
      <c r="E680" s="16"/>
    </row>
    <row r="681" spans="3:5" x14ac:dyDescent="0.35">
      <c r="C681" s="18"/>
      <c r="D681" s="28"/>
      <c r="E681" s="16"/>
    </row>
    <row r="682" spans="3:5" x14ac:dyDescent="0.35">
      <c r="C682" s="18"/>
      <c r="D682" s="28"/>
      <c r="E682" s="16"/>
    </row>
    <row r="683" spans="3:5" x14ac:dyDescent="0.35">
      <c r="C683" s="18"/>
      <c r="D683" s="28"/>
      <c r="E683" s="16"/>
    </row>
    <row r="684" spans="3:5" x14ac:dyDescent="0.35">
      <c r="C684" s="18"/>
      <c r="D684" s="28"/>
      <c r="E684" s="16"/>
    </row>
    <row r="685" spans="3:5" x14ac:dyDescent="0.35">
      <c r="C685" s="18"/>
      <c r="D685" s="28"/>
      <c r="E685" s="16"/>
    </row>
    <row r="686" spans="3:5" x14ac:dyDescent="0.35">
      <c r="C686" s="18"/>
      <c r="D686" s="28"/>
      <c r="E686" s="16"/>
    </row>
    <row r="687" spans="3:5" x14ac:dyDescent="0.35">
      <c r="C687" s="18"/>
      <c r="D687" s="28"/>
      <c r="E687" s="16"/>
    </row>
    <row r="688" spans="3:5" x14ac:dyDescent="0.35">
      <c r="C688" s="18"/>
      <c r="D688" s="28"/>
      <c r="E688" s="16"/>
    </row>
    <row r="689" spans="3:5" x14ac:dyDescent="0.35">
      <c r="C689" s="18"/>
      <c r="D689" s="28"/>
      <c r="E689" s="16"/>
    </row>
    <row r="690" spans="3:5" x14ac:dyDescent="0.35">
      <c r="C690" s="18"/>
      <c r="D690" s="28"/>
      <c r="E690" s="16"/>
    </row>
    <row r="691" spans="3:5" x14ac:dyDescent="0.35">
      <c r="C691" s="18"/>
      <c r="D691" s="28"/>
      <c r="E691" s="16"/>
    </row>
    <row r="692" spans="3:5" x14ac:dyDescent="0.35">
      <c r="C692" s="18"/>
      <c r="D692" s="28"/>
      <c r="E692" s="16"/>
    </row>
    <row r="693" spans="3:5" x14ac:dyDescent="0.35">
      <c r="C693" s="18"/>
      <c r="D693" s="28"/>
      <c r="E693" s="16"/>
    </row>
    <row r="694" spans="3:5" x14ac:dyDescent="0.35">
      <c r="C694" s="18"/>
      <c r="D694" s="28"/>
      <c r="E694" s="16"/>
    </row>
    <row r="695" spans="3:5" x14ac:dyDescent="0.35">
      <c r="C695" s="18"/>
      <c r="D695" s="28"/>
      <c r="E695" s="16"/>
    </row>
    <row r="696" spans="3:5" x14ac:dyDescent="0.35">
      <c r="C696" s="18"/>
      <c r="D696" s="28"/>
      <c r="E696" s="16"/>
    </row>
    <row r="697" spans="3:5" x14ac:dyDescent="0.35">
      <c r="C697" s="18"/>
      <c r="D697" s="28"/>
      <c r="E697" s="16"/>
    </row>
    <row r="698" spans="3:5" x14ac:dyDescent="0.35">
      <c r="C698" s="18"/>
      <c r="D698" s="28"/>
      <c r="E698" s="16"/>
    </row>
    <row r="699" spans="3:5" x14ac:dyDescent="0.35">
      <c r="C699" s="18"/>
      <c r="D699" s="28"/>
      <c r="E699" s="16"/>
    </row>
    <row r="700" spans="3:5" x14ac:dyDescent="0.35">
      <c r="C700" s="18"/>
      <c r="D700" s="28"/>
      <c r="E700" s="16"/>
    </row>
    <row r="701" spans="3:5" x14ac:dyDescent="0.35">
      <c r="C701" s="18"/>
      <c r="D701" s="28"/>
      <c r="E701" s="16"/>
    </row>
    <row r="702" spans="3:5" x14ac:dyDescent="0.35">
      <c r="C702" s="18"/>
      <c r="D702" s="28"/>
      <c r="E702" s="16"/>
    </row>
    <row r="703" spans="3:5" x14ac:dyDescent="0.35">
      <c r="C703" s="18"/>
      <c r="D703" s="28"/>
      <c r="E703" s="16"/>
    </row>
    <row r="704" spans="3:5" x14ac:dyDescent="0.35">
      <c r="C704" s="18"/>
      <c r="D704" s="28"/>
      <c r="E704" s="16"/>
    </row>
    <row r="705" spans="3:5" x14ac:dyDescent="0.35">
      <c r="C705" s="18"/>
      <c r="D705" s="28"/>
      <c r="E705" s="16"/>
    </row>
    <row r="706" spans="3:5" x14ac:dyDescent="0.35">
      <c r="C706" s="18"/>
      <c r="D706" s="28"/>
      <c r="E706" s="16"/>
    </row>
    <row r="707" spans="3:5" x14ac:dyDescent="0.35">
      <c r="C707" s="18"/>
      <c r="D707" s="28"/>
      <c r="E707" s="16"/>
    </row>
    <row r="708" spans="3:5" x14ac:dyDescent="0.35">
      <c r="C708" s="18"/>
      <c r="D708" s="28"/>
      <c r="E708" s="16"/>
    </row>
    <row r="709" spans="3:5" x14ac:dyDescent="0.35">
      <c r="C709" s="18"/>
      <c r="D709" s="28"/>
      <c r="E709" s="16"/>
    </row>
    <row r="710" spans="3:5" x14ac:dyDescent="0.35">
      <c r="C710" s="18"/>
      <c r="D710" s="28"/>
      <c r="E710" s="16"/>
    </row>
    <row r="711" spans="3:5" x14ac:dyDescent="0.35">
      <c r="C711" s="18"/>
      <c r="D711" s="28"/>
      <c r="E711" s="16"/>
    </row>
    <row r="712" spans="3:5" x14ac:dyDescent="0.35">
      <c r="C712" s="18"/>
      <c r="D712" s="28"/>
      <c r="E712" s="16"/>
    </row>
    <row r="713" spans="3:5" x14ac:dyDescent="0.35">
      <c r="C713" s="18"/>
      <c r="D713" s="28"/>
      <c r="E713" s="16"/>
    </row>
    <row r="714" spans="3:5" x14ac:dyDescent="0.35">
      <c r="C714" s="18"/>
      <c r="D714" s="28"/>
      <c r="E714" s="16"/>
    </row>
    <row r="715" spans="3:5" x14ac:dyDescent="0.35">
      <c r="C715" s="18"/>
      <c r="D715" s="28"/>
      <c r="E715" s="16"/>
    </row>
    <row r="716" spans="3:5" x14ac:dyDescent="0.35">
      <c r="C716" s="18"/>
      <c r="D716" s="28"/>
      <c r="E716" s="16"/>
    </row>
    <row r="717" spans="3:5" x14ac:dyDescent="0.35">
      <c r="C717" s="18"/>
      <c r="D717" s="28"/>
      <c r="E717" s="16"/>
    </row>
    <row r="718" spans="3:5" x14ac:dyDescent="0.35">
      <c r="C718" s="18"/>
      <c r="D718" s="28"/>
      <c r="E718" s="16"/>
    </row>
    <row r="719" spans="3:5" x14ac:dyDescent="0.35">
      <c r="C719" s="18"/>
      <c r="D719" s="28"/>
      <c r="E719" s="16"/>
    </row>
    <row r="720" spans="3:5" x14ac:dyDescent="0.35">
      <c r="C720" s="18"/>
      <c r="D720" s="28"/>
      <c r="E720" s="16"/>
    </row>
    <row r="721" spans="3:5" x14ac:dyDescent="0.35">
      <c r="C721" s="18"/>
      <c r="D721" s="28"/>
      <c r="E721" s="16"/>
    </row>
    <row r="722" spans="3:5" x14ac:dyDescent="0.35">
      <c r="C722" s="18"/>
      <c r="D722" s="28"/>
      <c r="E722" s="16"/>
    </row>
    <row r="723" spans="3:5" x14ac:dyDescent="0.35">
      <c r="C723" s="18"/>
      <c r="D723" s="28"/>
      <c r="E723" s="16"/>
    </row>
    <row r="724" spans="3:5" x14ac:dyDescent="0.35">
      <c r="C724" s="18"/>
      <c r="D724" s="28"/>
      <c r="E724" s="16"/>
    </row>
    <row r="725" spans="3:5" x14ac:dyDescent="0.35">
      <c r="C725" s="18"/>
      <c r="D725" s="28"/>
      <c r="E725" s="16"/>
    </row>
    <row r="726" spans="3:5" x14ac:dyDescent="0.35">
      <c r="C726" s="18"/>
      <c r="D726" s="28"/>
      <c r="E726" s="16"/>
    </row>
    <row r="727" spans="3:5" x14ac:dyDescent="0.35">
      <c r="C727" s="18"/>
      <c r="D727" s="28"/>
      <c r="E727" s="16"/>
    </row>
    <row r="728" spans="3:5" x14ac:dyDescent="0.35">
      <c r="C728" s="18"/>
      <c r="D728" s="28"/>
      <c r="E728" s="16"/>
    </row>
    <row r="729" spans="3:5" x14ac:dyDescent="0.35">
      <c r="C729" s="18"/>
      <c r="D729" s="28"/>
      <c r="E729" s="16"/>
    </row>
    <row r="730" spans="3:5" x14ac:dyDescent="0.35">
      <c r="C730" s="18"/>
      <c r="D730" s="28"/>
      <c r="E730" s="16"/>
    </row>
    <row r="731" spans="3:5" x14ac:dyDescent="0.35">
      <c r="C731" s="18"/>
      <c r="D731" s="28"/>
      <c r="E731" s="16"/>
    </row>
    <row r="732" spans="3:5" x14ac:dyDescent="0.35">
      <c r="C732" s="18"/>
      <c r="D732" s="28"/>
      <c r="E732" s="16"/>
    </row>
    <row r="733" spans="3:5" x14ac:dyDescent="0.35">
      <c r="C733" s="18"/>
      <c r="D733" s="28"/>
      <c r="E733" s="16"/>
    </row>
    <row r="734" spans="3:5" x14ac:dyDescent="0.35">
      <c r="C734" s="18"/>
      <c r="D734" s="28"/>
      <c r="E734" s="16"/>
    </row>
    <row r="735" spans="3:5" x14ac:dyDescent="0.35">
      <c r="C735" s="18"/>
      <c r="D735" s="28"/>
      <c r="E735" s="16"/>
    </row>
    <row r="736" spans="3:5" x14ac:dyDescent="0.35">
      <c r="C736" s="18"/>
      <c r="D736" s="28"/>
      <c r="E736" s="16"/>
    </row>
    <row r="737" spans="3:5" x14ac:dyDescent="0.35">
      <c r="C737" s="18"/>
      <c r="D737" s="28"/>
      <c r="E737" s="16"/>
    </row>
    <row r="738" spans="3:5" x14ac:dyDescent="0.35">
      <c r="C738" s="18"/>
      <c r="D738" s="28"/>
      <c r="E738" s="16"/>
    </row>
    <row r="739" spans="3:5" x14ac:dyDescent="0.35">
      <c r="C739" s="18"/>
      <c r="D739" s="28"/>
      <c r="E739" s="16"/>
    </row>
    <row r="740" spans="3:5" x14ac:dyDescent="0.35">
      <c r="C740" s="18"/>
      <c r="D740" s="28"/>
      <c r="E740" s="16"/>
    </row>
    <row r="741" spans="3:5" x14ac:dyDescent="0.35">
      <c r="C741" s="18"/>
      <c r="D741" s="28"/>
      <c r="E741" s="16"/>
    </row>
    <row r="742" spans="3:5" x14ac:dyDescent="0.35">
      <c r="C742" s="18"/>
      <c r="D742" s="28"/>
      <c r="E742" s="16"/>
    </row>
    <row r="743" spans="3:5" x14ac:dyDescent="0.35">
      <c r="C743" s="18"/>
      <c r="D743" s="28"/>
      <c r="E743" s="16"/>
    </row>
    <row r="744" spans="3:5" x14ac:dyDescent="0.35">
      <c r="C744" s="18"/>
      <c r="D744" s="28"/>
      <c r="E744" s="16"/>
    </row>
    <row r="745" spans="3:5" x14ac:dyDescent="0.35">
      <c r="C745" s="18"/>
      <c r="D745" s="28"/>
      <c r="E745" s="16"/>
    </row>
    <row r="746" spans="3:5" x14ac:dyDescent="0.35">
      <c r="C746" s="18"/>
      <c r="D746" s="28"/>
      <c r="E746" s="16"/>
    </row>
    <row r="747" spans="3:5" x14ac:dyDescent="0.35">
      <c r="C747" s="18"/>
      <c r="D747" s="28"/>
      <c r="E747" s="16"/>
    </row>
    <row r="748" spans="3:5" x14ac:dyDescent="0.35">
      <c r="C748" s="18"/>
      <c r="D748" s="28"/>
      <c r="E748" s="16"/>
    </row>
    <row r="749" spans="3:5" x14ac:dyDescent="0.35">
      <c r="C749" s="18"/>
      <c r="D749" s="28"/>
      <c r="E749" s="16"/>
    </row>
    <row r="750" spans="3:5" x14ac:dyDescent="0.35">
      <c r="C750" s="18"/>
      <c r="D750" s="28"/>
      <c r="E750" s="16"/>
    </row>
    <row r="751" spans="3:5" x14ac:dyDescent="0.35">
      <c r="C751" s="18"/>
      <c r="D751" s="28"/>
      <c r="E751" s="16"/>
    </row>
    <row r="752" spans="3:5" x14ac:dyDescent="0.35">
      <c r="C752" s="18"/>
      <c r="D752" s="28"/>
      <c r="E752" s="16"/>
    </row>
    <row r="753" spans="3:5" x14ac:dyDescent="0.35">
      <c r="C753" s="18"/>
      <c r="D753" s="28"/>
      <c r="E753" s="16"/>
    </row>
    <row r="754" spans="3:5" x14ac:dyDescent="0.35">
      <c r="C754" s="18"/>
      <c r="D754" s="28"/>
      <c r="E754" s="16"/>
    </row>
    <row r="755" spans="3:5" x14ac:dyDescent="0.35">
      <c r="C755" s="18"/>
      <c r="D755" s="28"/>
      <c r="E755" s="16"/>
    </row>
    <row r="756" spans="3:5" x14ac:dyDescent="0.35">
      <c r="C756" s="18"/>
      <c r="D756" s="28"/>
      <c r="E756" s="16"/>
    </row>
    <row r="757" spans="3:5" x14ac:dyDescent="0.35">
      <c r="C757" s="18"/>
      <c r="D757" s="28"/>
      <c r="E757" s="16"/>
    </row>
    <row r="758" spans="3:5" x14ac:dyDescent="0.35">
      <c r="C758" s="18"/>
      <c r="D758" s="28"/>
      <c r="E758" s="16"/>
    </row>
    <row r="759" spans="3:5" x14ac:dyDescent="0.35">
      <c r="C759" s="18"/>
      <c r="D759" s="28"/>
      <c r="E759" s="16"/>
    </row>
    <row r="760" spans="3:5" x14ac:dyDescent="0.35">
      <c r="C760" s="18"/>
      <c r="D760" s="28"/>
      <c r="E760" s="16"/>
    </row>
    <row r="761" spans="3:5" x14ac:dyDescent="0.35">
      <c r="C761" s="18"/>
      <c r="D761" s="28"/>
      <c r="E761" s="16"/>
    </row>
    <row r="762" spans="3:5" x14ac:dyDescent="0.35">
      <c r="C762" s="18"/>
      <c r="D762" s="28"/>
      <c r="E762" s="16"/>
    </row>
    <row r="763" spans="3:5" x14ac:dyDescent="0.35">
      <c r="C763" s="18"/>
      <c r="D763" s="28"/>
      <c r="E763" s="16"/>
    </row>
    <row r="764" spans="3:5" x14ac:dyDescent="0.35">
      <c r="C764" s="18"/>
      <c r="D764" s="28"/>
      <c r="E764" s="16"/>
    </row>
    <row r="765" spans="3:5" x14ac:dyDescent="0.35">
      <c r="C765" s="18"/>
      <c r="D765" s="28"/>
      <c r="E765" s="16"/>
    </row>
    <row r="766" spans="3:5" x14ac:dyDescent="0.35">
      <c r="C766" s="18"/>
      <c r="D766" s="28"/>
      <c r="E766" s="16"/>
    </row>
    <row r="767" spans="3:5" x14ac:dyDescent="0.35">
      <c r="C767" s="18"/>
      <c r="D767" s="28"/>
      <c r="E767" s="16"/>
    </row>
    <row r="768" spans="3:5" x14ac:dyDescent="0.35">
      <c r="C768" s="18"/>
      <c r="D768" s="28"/>
      <c r="E768" s="16"/>
    </row>
    <row r="769" spans="3:5" x14ac:dyDescent="0.35">
      <c r="C769" s="18"/>
      <c r="D769" s="28"/>
      <c r="E769" s="16"/>
    </row>
    <row r="770" spans="3:5" x14ac:dyDescent="0.35">
      <c r="C770" s="18"/>
      <c r="D770" s="28"/>
      <c r="E770" s="16"/>
    </row>
    <row r="771" spans="3:5" x14ac:dyDescent="0.35">
      <c r="C771" s="18"/>
      <c r="D771" s="28"/>
      <c r="E771" s="16"/>
    </row>
    <row r="772" spans="3:5" x14ac:dyDescent="0.35">
      <c r="C772" s="18"/>
      <c r="D772" s="28"/>
      <c r="E772" s="16"/>
    </row>
    <row r="773" spans="3:5" x14ac:dyDescent="0.35">
      <c r="C773" s="18"/>
      <c r="D773" s="28"/>
      <c r="E773" s="16"/>
    </row>
    <row r="774" spans="3:5" x14ac:dyDescent="0.35">
      <c r="C774" s="18"/>
      <c r="D774" s="28"/>
      <c r="E774" s="16"/>
    </row>
    <row r="775" spans="3:5" x14ac:dyDescent="0.35">
      <c r="C775" s="18"/>
      <c r="D775" s="28"/>
      <c r="E775" s="16"/>
    </row>
    <row r="776" spans="3:5" x14ac:dyDescent="0.35">
      <c r="C776" s="18"/>
      <c r="D776" s="28"/>
      <c r="E776" s="16"/>
    </row>
    <row r="777" spans="3:5" x14ac:dyDescent="0.35">
      <c r="C777" s="18"/>
      <c r="D777" s="28"/>
      <c r="E777" s="16"/>
    </row>
    <row r="778" spans="3:5" x14ac:dyDescent="0.35">
      <c r="C778" s="18"/>
      <c r="D778" s="28"/>
      <c r="E778" s="16"/>
    </row>
    <row r="779" spans="3:5" x14ac:dyDescent="0.35">
      <c r="C779" s="18"/>
      <c r="D779" s="28"/>
      <c r="E779" s="16"/>
    </row>
    <row r="780" spans="3:5" x14ac:dyDescent="0.35">
      <c r="C780" s="18"/>
      <c r="D780" s="28"/>
      <c r="E780" s="16"/>
    </row>
    <row r="781" spans="3:5" x14ac:dyDescent="0.35">
      <c r="C781" s="18"/>
      <c r="D781" s="28"/>
      <c r="E781" s="16"/>
    </row>
    <row r="782" spans="3:5" x14ac:dyDescent="0.35">
      <c r="C782" s="18"/>
      <c r="D782" s="28"/>
      <c r="E782" s="16"/>
    </row>
    <row r="783" spans="3:5" x14ac:dyDescent="0.35">
      <c r="C783" s="18"/>
      <c r="D783" s="28"/>
      <c r="E783" s="16"/>
    </row>
    <row r="784" spans="3:5" x14ac:dyDescent="0.35">
      <c r="C784" s="18"/>
      <c r="D784" s="28"/>
      <c r="E784" s="16"/>
    </row>
    <row r="785" spans="3:5" x14ac:dyDescent="0.35">
      <c r="C785" s="18"/>
      <c r="D785" s="28"/>
      <c r="E785" s="16"/>
    </row>
    <row r="786" spans="3:5" x14ac:dyDescent="0.35">
      <c r="C786" s="18"/>
      <c r="D786" s="28"/>
      <c r="E786" s="16"/>
    </row>
    <row r="787" spans="3:5" x14ac:dyDescent="0.35">
      <c r="C787" s="18"/>
      <c r="D787" s="28"/>
      <c r="E787" s="16"/>
    </row>
    <row r="788" spans="3:5" x14ac:dyDescent="0.35">
      <c r="C788" s="18"/>
      <c r="D788" s="28"/>
      <c r="E788" s="16"/>
    </row>
    <row r="789" spans="3:5" x14ac:dyDescent="0.35">
      <c r="C789" s="18"/>
      <c r="D789" s="28"/>
      <c r="E789" s="16"/>
    </row>
    <row r="790" spans="3:5" x14ac:dyDescent="0.35">
      <c r="C790" s="18"/>
      <c r="D790" s="28"/>
      <c r="E790" s="16"/>
    </row>
    <row r="791" spans="3:5" x14ac:dyDescent="0.35">
      <c r="C791" s="18"/>
      <c r="D791" s="28"/>
      <c r="E791" s="16"/>
    </row>
    <row r="792" spans="3:5" x14ac:dyDescent="0.35">
      <c r="C792" s="18"/>
      <c r="D792" s="28"/>
      <c r="E792" s="16"/>
    </row>
    <row r="793" spans="3:5" x14ac:dyDescent="0.35">
      <c r="C793" s="18"/>
      <c r="D793" s="28"/>
      <c r="E793" s="16"/>
    </row>
    <row r="794" spans="3:5" x14ac:dyDescent="0.35">
      <c r="C794" s="18"/>
      <c r="D794" s="28"/>
      <c r="E794" s="16"/>
    </row>
    <row r="795" spans="3:5" x14ac:dyDescent="0.35">
      <c r="C795" s="18"/>
      <c r="D795" s="28"/>
      <c r="E795" s="16"/>
    </row>
    <row r="796" spans="3:5" x14ac:dyDescent="0.35">
      <c r="C796" s="18"/>
      <c r="D796" s="28"/>
      <c r="E796" s="16"/>
    </row>
    <row r="797" spans="3:5" x14ac:dyDescent="0.35">
      <c r="C797" s="18"/>
      <c r="D797" s="28"/>
      <c r="E797" s="16"/>
    </row>
    <row r="798" spans="3:5" x14ac:dyDescent="0.35">
      <c r="C798" s="18"/>
      <c r="D798" s="28"/>
      <c r="E798" s="16"/>
    </row>
    <row r="799" spans="3:5" x14ac:dyDescent="0.35">
      <c r="C799" s="18"/>
      <c r="D799" s="28"/>
      <c r="E799" s="16"/>
    </row>
    <row r="800" spans="3:5" x14ac:dyDescent="0.35">
      <c r="C800" s="18"/>
      <c r="D800" s="28"/>
      <c r="E800" s="16"/>
    </row>
    <row r="801" spans="3:5" x14ac:dyDescent="0.35">
      <c r="C801" s="18"/>
      <c r="D801" s="28"/>
      <c r="E801" s="16"/>
    </row>
    <row r="802" spans="3:5" x14ac:dyDescent="0.35">
      <c r="C802" s="18"/>
      <c r="D802" s="28"/>
      <c r="E802" s="16"/>
    </row>
    <row r="803" spans="3:5" x14ac:dyDescent="0.35">
      <c r="C803" s="18"/>
      <c r="D803" s="28"/>
      <c r="E803" s="16"/>
    </row>
    <row r="804" spans="3:5" x14ac:dyDescent="0.35">
      <c r="C804" s="18"/>
      <c r="D804" s="28"/>
      <c r="E804" s="16"/>
    </row>
    <row r="805" spans="3:5" x14ac:dyDescent="0.35">
      <c r="C805" s="18"/>
      <c r="D805" s="28"/>
      <c r="E805" s="16"/>
    </row>
    <row r="806" spans="3:5" x14ac:dyDescent="0.35">
      <c r="C806" s="18"/>
      <c r="D806" s="28"/>
      <c r="E806" s="16"/>
    </row>
    <row r="807" spans="3:5" x14ac:dyDescent="0.35">
      <c r="C807" s="18"/>
      <c r="D807" s="28"/>
      <c r="E807" s="16"/>
    </row>
    <row r="808" spans="3:5" x14ac:dyDescent="0.35">
      <c r="C808" s="18"/>
      <c r="D808" s="28"/>
      <c r="E808" s="16"/>
    </row>
    <row r="809" spans="3:5" x14ac:dyDescent="0.35">
      <c r="C809" s="18"/>
      <c r="D809" s="28"/>
      <c r="E809" s="16"/>
    </row>
    <row r="810" spans="3:5" x14ac:dyDescent="0.35">
      <c r="C810" s="18"/>
      <c r="D810" s="28"/>
      <c r="E810" s="16"/>
    </row>
    <row r="811" spans="3:5" x14ac:dyDescent="0.35">
      <c r="C811" s="18"/>
      <c r="D811" s="28"/>
      <c r="E811" s="16"/>
    </row>
    <row r="812" spans="3:5" x14ac:dyDescent="0.35">
      <c r="C812" s="18"/>
      <c r="D812" s="28"/>
      <c r="E812" s="16"/>
    </row>
    <row r="813" spans="3:5" x14ac:dyDescent="0.35">
      <c r="C813" s="18"/>
      <c r="D813" s="28"/>
      <c r="E813" s="16"/>
    </row>
    <row r="814" spans="3:5" x14ac:dyDescent="0.35">
      <c r="C814" s="18"/>
      <c r="D814" s="28"/>
      <c r="E814" s="16"/>
    </row>
    <row r="815" spans="3:5" x14ac:dyDescent="0.35">
      <c r="C815" s="18"/>
      <c r="D815" s="28"/>
      <c r="E815" s="16"/>
    </row>
    <row r="816" spans="3:5" x14ac:dyDescent="0.35">
      <c r="C816" s="18"/>
      <c r="D816" s="28"/>
      <c r="E816" s="16"/>
    </row>
    <row r="817" spans="3:5" x14ac:dyDescent="0.35">
      <c r="C817" s="18"/>
      <c r="D817" s="28"/>
      <c r="E817" s="16"/>
    </row>
    <row r="818" spans="3:5" x14ac:dyDescent="0.35">
      <c r="C818" s="18"/>
      <c r="D818" s="28"/>
      <c r="E818" s="16"/>
    </row>
    <row r="819" spans="3:5" x14ac:dyDescent="0.35">
      <c r="C819" s="18"/>
      <c r="D819" s="28"/>
      <c r="E819" s="16"/>
    </row>
    <row r="820" spans="3:5" x14ac:dyDescent="0.35">
      <c r="C820" s="18"/>
      <c r="D820" s="28"/>
      <c r="E820" s="16"/>
    </row>
    <row r="821" spans="3:5" x14ac:dyDescent="0.35">
      <c r="C821" s="18"/>
      <c r="D821" s="28"/>
      <c r="E821" s="16"/>
    </row>
    <row r="822" spans="3:5" x14ac:dyDescent="0.35">
      <c r="C822" s="18"/>
      <c r="D822" s="28"/>
      <c r="E822" s="16"/>
    </row>
    <row r="823" spans="3:5" x14ac:dyDescent="0.35">
      <c r="C823" s="18"/>
      <c r="D823" s="28"/>
      <c r="E823" s="16"/>
    </row>
    <row r="824" spans="3:5" x14ac:dyDescent="0.35">
      <c r="C824" s="18"/>
      <c r="D824" s="28"/>
      <c r="E824" s="16"/>
    </row>
    <row r="825" spans="3:5" x14ac:dyDescent="0.35">
      <c r="C825" s="18"/>
      <c r="D825" s="28"/>
      <c r="E825" s="16"/>
    </row>
    <row r="826" spans="3:5" x14ac:dyDescent="0.35">
      <c r="C826" s="18"/>
      <c r="D826" s="28"/>
      <c r="E826" s="16"/>
    </row>
    <row r="827" spans="3:5" x14ac:dyDescent="0.35">
      <c r="C827" s="18"/>
      <c r="D827" s="28"/>
      <c r="E827" s="16"/>
    </row>
    <row r="828" spans="3:5" x14ac:dyDescent="0.35">
      <c r="C828" s="18"/>
      <c r="D828" s="28"/>
      <c r="E828" s="16"/>
    </row>
    <row r="829" spans="3:5" x14ac:dyDescent="0.35">
      <c r="C829" s="18"/>
      <c r="D829" s="28"/>
      <c r="E829" s="16"/>
    </row>
    <row r="830" spans="3:5" x14ac:dyDescent="0.35">
      <c r="C830" s="18"/>
      <c r="D830" s="28"/>
      <c r="E830" s="16"/>
    </row>
    <row r="831" spans="3:5" x14ac:dyDescent="0.35">
      <c r="C831" s="18"/>
      <c r="D831" s="28"/>
      <c r="E831" s="16"/>
    </row>
    <row r="832" spans="3:5" x14ac:dyDescent="0.35">
      <c r="C832" s="18"/>
      <c r="D832" s="28"/>
      <c r="E832" s="16"/>
    </row>
    <row r="833" spans="3:5" x14ac:dyDescent="0.35">
      <c r="C833" s="18"/>
      <c r="D833" s="28"/>
      <c r="E833" s="16"/>
    </row>
    <row r="834" spans="3:5" x14ac:dyDescent="0.35">
      <c r="C834" s="18"/>
      <c r="D834" s="28"/>
      <c r="E834" s="16"/>
    </row>
    <row r="835" spans="3:5" x14ac:dyDescent="0.35">
      <c r="C835" s="18"/>
      <c r="D835" s="28"/>
      <c r="E835" s="16"/>
    </row>
    <row r="836" spans="3:5" x14ac:dyDescent="0.35">
      <c r="C836" s="18"/>
      <c r="D836" s="28"/>
      <c r="E836" s="16"/>
    </row>
    <row r="837" spans="3:5" x14ac:dyDescent="0.35">
      <c r="C837" s="18"/>
      <c r="D837" s="28"/>
      <c r="E837" s="16"/>
    </row>
    <row r="838" spans="3:5" x14ac:dyDescent="0.35">
      <c r="C838" s="18"/>
      <c r="D838" s="28"/>
      <c r="E838" s="16"/>
    </row>
    <row r="839" spans="3:5" x14ac:dyDescent="0.3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4.5" x14ac:dyDescent="0.35"/>
  <cols>
    <col min="1" max="1" width="9.1796875" customWidth="1"/>
    <col min="2" max="2" width="12.7265625" customWidth="1"/>
    <col min="3" max="3" width="14.453125" customWidth="1"/>
    <col min="4" max="4" width="23.7265625" customWidth="1"/>
    <col min="5" max="5" width="14.453125" style="49" customWidth="1"/>
    <col min="6" max="6" width="14.26953125" customWidth="1"/>
    <col min="7" max="7" width="12" customWidth="1"/>
    <col min="8" max="8" width="8" customWidth="1"/>
    <col min="9" max="9" width="13.1796875" customWidth="1"/>
    <col min="10" max="10" width="12.1796875" customWidth="1"/>
    <col min="11" max="11" width="16" customWidth="1"/>
    <col min="12" max="12" width="11.7265625" customWidth="1"/>
    <col min="13" max="13" width="14.54296875" bestFit="1" customWidth="1"/>
    <col min="14" max="14" width="11.54296875" customWidth="1"/>
    <col min="15" max="15" width="10.26953125" bestFit="1" customWidth="1"/>
    <col min="16" max="16" width="12.26953125" bestFit="1" customWidth="1"/>
  </cols>
  <sheetData>
    <row r="1" spans="1:16" x14ac:dyDescent="0.3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3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G6" sqref="G6:G16"/>
    </sheetView>
  </sheetViews>
  <sheetFormatPr defaultRowHeight="14.5" x14ac:dyDescent="0.35"/>
  <cols>
    <col min="1" max="1" width="26.54296875" bestFit="1" customWidth="1"/>
    <col min="2" max="2" width="31.1796875" customWidth="1"/>
    <col min="3" max="3" width="26.81640625" style="66" customWidth="1"/>
    <col min="4" max="4" width="14" customWidth="1"/>
    <col min="5" max="5" width="28.26953125" bestFit="1" customWidth="1"/>
    <col min="6" max="6" width="3.26953125" customWidth="1"/>
    <col min="7" max="7" width="17.54296875" customWidth="1"/>
    <col min="8" max="8" width="10.54296875" bestFit="1" customWidth="1"/>
    <col min="9" max="9" width="15.1796875" bestFit="1" customWidth="1"/>
  </cols>
  <sheetData>
    <row r="2" spans="1:12" hidden="1" x14ac:dyDescent="0.35"/>
    <row r="3" spans="1:12" hidden="1" x14ac:dyDescent="0.35"/>
    <row r="5" spans="1:12" x14ac:dyDescent="0.3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  <c r="I5" s="73" t="s">
        <v>302</v>
      </c>
      <c r="J5" s="73" t="s">
        <v>303</v>
      </c>
      <c r="L5">
        <v>182376</v>
      </c>
    </row>
    <row r="6" spans="1:12" x14ac:dyDescent="0.35">
      <c r="A6" t="s">
        <v>17</v>
      </c>
      <c r="B6" t="s">
        <v>315</v>
      </c>
      <c r="C6" s="66" t="s">
        <v>60</v>
      </c>
      <c r="D6" t="s">
        <v>228</v>
      </c>
      <c r="E6">
        <v>22</v>
      </c>
      <c r="G6">
        <v>1</v>
      </c>
      <c r="H6">
        <f>_xlfn.IFNA(VLOOKUP(G6,BARANG!$BQ:$BQ,1,FALSE),"TERSEDIA")</f>
        <v>1</v>
      </c>
      <c r="I6" t="s">
        <v>301</v>
      </c>
      <c r="J6" t="b">
        <v>1</v>
      </c>
    </row>
    <row r="7" spans="1:12" x14ac:dyDescent="0.35">
      <c r="A7" t="s">
        <v>166</v>
      </c>
      <c r="B7" t="s">
        <v>316</v>
      </c>
      <c r="C7" s="66" t="s">
        <v>60</v>
      </c>
      <c r="D7" t="s">
        <v>295</v>
      </c>
      <c r="E7" t="s">
        <v>318</v>
      </c>
      <c r="G7">
        <v>2</v>
      </c>
      <c r="H7">
        <f>_xlfn.IFNA(VLOOKUP(G7,BARANG!$BQ:$BQ,1,FALSE),"TERSEDIA")</f>
        <v>2</v>
      </c>
      <c r="I7" t="s">
        <v>304</v>
      </c>
      <c r="J7" t="b">
        <v>0</v>
      </c>
    </row>
    <row r="8" spans="1:12" x14ac:dyDescent="0.35">
      <c r="A8" t="s">
        <v>61</v>
      </c>
      <c r="B8" s="13" t="s">
        <v>317</v>
      </c>
      <c r="C8" s="66" t="s">
        <v>60</v>
      </c>
      <c r="H8" t="str">
        <f>_xlfn.IFNA(VLOOKUP(G8,BARANG!$BQ:$BQ,1,FALSE),"TERSEDIA")</f>
        <v>TERSEDIA</v>
      </c>
    </row>
    <row r="9" spans="1:12" x14ac:dyDescent="0.35">
      <c r="A9" t="s">
        <v>84</v>
      </c>
      <c r="B9">
        <v>1</v>
      </c>
      <c r="C9" s="66" t="s">
        <v>60</v>
      </c>
      <c r="H9" t="str">
        <f>_xlfn.IFNA(VLOOKUP(G9,BARANG!$BQ:$BQ,1,FALSE),"TERSEDIA")</f>
        <v>TERSEDIA</v>
      </c>
    </row>
    <row r="10" spans="1:12" x14ac:dyDescent="0.35">
      <c r="A10" s="82" t="s">
        <v>312</v>
      </c>
      <c r="B10">
        <v>0</v>
      </c>
      <c r="E10" s="13"/>
      <c r="H10" t="str">
        <f>_xlfn.IFNA(VLOOKUP(G10,BARANG!$BQ:$BQ,1,FALSE),"TERSEDIA")</f>
        <v>TERSEDIA</v>
      </c>
    </row>
    <row r="11" spans="1:12" x14ac:dyDescent="0.35">
      <c r="A11" s="82" t="s">
        <v>289</v>
      </c>
      <c r="B11">
        <v>0</v>
      </c>
      <c r="C11" s="66" t="s">
        <v>60</v>
      </c>
      <c r="H11" t="str">
        <f>_xlfn.IFNA(VLOOKUP(G11,BARANG!$BQ:$BQ,1,FALSE),"TERSEDIA")</f>
        <v>TERSEDIA</v>
      </c>
    </row>
    <row r="12" spans="1:12" x14ac:dyDescent="0.35">
      <c r="A12" t="s">
        <v>85</v>
      </c>
      <c r="C12" s="66" t="s">
        <v>60</v>
      </c>
    </row>
    <row r="13" spans="1:12" x14ac:dyDescent="0.35">
      <c r="A13" s="82" t="s">
        <v>291</v>
      </c>
      <c r="B13">
        <v>1</v>
      </c>
      <c r="C13" s="66" t="s">
        <v>60</v>
      </c>
    </row>
    <row r="14" spans="1:12" x14ac:dyDescent="0.35">
      <c r="A14" t="s">
        <v>164</v>
      </c>
      <c r="C14" s="66" t="s">
        <v>60</v>
      </c>
    </row>
    <row r="15" spans="1:12" x14ac:dyDescent="0.35">
      <c r="A15" t="s">
        <v>167</v>
      </c>
      <c r="B15" s="13" t="s">
        <v>352</v>
      </c>
      <c r="C15" s="66" t="s">
        <v>60</v>
      </c>
    </row>
    <row r="16" spans="1:12" x14ac:dyDescent="0.35">
      <c r="A16" s="82" t="s">
        <v>287</v>
      </c>
      <c r="B16">
        <v>0</v>
      </c>
      <c r="C16" s="66" t="s">
        <v>60</v>
      </c>
    </row>
    <row r="17" spans="1:5" x14ac:dyDescent="0.35">
      <c r="A17" s="82" t="s">
        <v>288</v>
      </c>
      <c r="B17">
        <v>1</v>
      </c>
      <c r="C17" s="66" t="s">
        <v>60</v>
      </c>
      <c r="E17" s="13"/>
    </row>
    <row r="18" spans="1:5" x14ac:dyDescent="0.35">
      <c r="A18" t="s">
        <v>290</v>
      </c>
      <c r="B18">
        <v>1</v>
      </c>
      <c r="C18" s="66" t="s">
        <v>60</v>
      </c>
    </row>
    <row r="19" spans="1:5" x14ac:dyDescent="0.35">
      <c r="A19" t="s">
        <v>292</v>
      </c>
      <c r="B19" t="s">
        <v>293</v>
      </c>
      <c r="C19" s="66" t="s">
        <v>60</v>
      </c>
    </row>
    <row r="20" spans="1:5" x14ac:dyDescent="0.35">
      <c r="A20" t="s">
        <v>311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23" sqref="A23"/>
    </sheetView>
  </sheetViews>
  <sheetFormatPr defaultRowHeight="14.5" x14ac:dyDescent="0.35"/>
  <cols>
    <col min="1" max="1" width="37" bestFit="1" customWidth="1"/>
    <col min="2" max="2" width="34" style="4" customWidth="1"/>
    <col min="3" max="3" width="8.7265625" customWidth="1"/>
    <col min="4" max="4" width="3.453125" customWidth="1"/>
    <col min="5" max="5" width="8.1796875" customWidth="1"/>
    <col min="6" max="6" width="10.26953125" customWidth="1"/>
    <col min="7" max="7" width="3.453125" customWidth="1"/>
    <col min="8" max="12" width="1.7265625" style="61" customWidth="1"/>
    <col min="13" max="13" width="3.453125" customWidth="1"/>
    <col min="14" max="14" width="20.81640625" bestFit="1" customWidth="1"/>
    <col min="15" max="15" width="30" bestFit="1" customWidth="1"/>
    <col min="16" max="16" width="3.453125" customWidth="1"/>
    <col min="17" max="17" width="9.7265625" bestFit="1" customWidth="1"/>
    <col min="18" max="18" width="13.7265625" customWidth="1"/>
    <col min="19" max="19" width="11.81640625" customWidth="1"/>
    <col min="20" max="20" width="11.453125" customWidth="1"/>
  </cols>
  <sheetData>
    <row r="1" spans="1:20" x14ac:dyDescent="0.35">
      <c r="D1" s="8" t="s">
        <v>90</v>
      </c>
      <c r="G1" s="8"/>
      <c r="M1" s="8"/>
      <c r="P1" s="8"/>
    </row>
    <row r="2" spans="1:20" hidden="1" x14ac:dyDescent="0.35">
      <c r="D2" s="8"/>
      <c r="G2" s="8"/>
      <c r="M2" s="8"/>
      <c r="P2" s="8"/>
    </row>
    <row r="3" spans="1:20" hidden="1" x14ac:dyDescent="0.35">
      <c r="D3" s="8"/>
      <c r="G3" s="8"/>
      <c r="M3" s="8"/>
      <c r="P3" s="8"/>
    </row>
    <row r="4" spans="1:20" x14ac:dyDescent="0.3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3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3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3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3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3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35">
      <c r="A10" t="s">
        <v>7</v>
      </c>
      <c r="B10" s="4" t="s">
        <v>8</v>
      </c>
    </row>
    <row r="11" spans="1:20" x14ac:dyDescent="0.35">
      <c r="A11" t="s">
        <v>51</v>
      </c>
      <c r="B11" s="4" t="s">
        <v>44</v>
      </c>
    </row>
    <row r="12" spans="1:20" x14ac:dyDescent="0.35">
      <c r="A12" t="s">
        <v>50</v>
      </c>
      <c r="B12" s="4" t="s">
        <v>46</v>
      </c>
    </row>
    <row r="13" spans="1:20" x14ac:dyDescent="0.35">
      <c r="A13" t="s">
        <v>49</v>
      </c>
      <c r="B13" s="4" t="s">
        <v>21</v>
      </c>
    </row>
    <row r="14" spans="1:20" x14ac:dyDescent="0.35">
      <c r="A14" t="s">
        <v>48</v>
      </c>
      <c r="B14" s="4" t="s">
        <v>16</v>
      </c>
    </row>
    <row r="15" spans="1:20" x14ac:dyDescent="0.35">
      <c r="A15" t="s">
        <v>52</v>
      </c>
      <c r="B15" s="4">
        <v>3</v>
      </c>
      <c r="C15" t="s">
        <v>57</v>
      </c>
    </row>
    <row r="16" spans="1:20" x14ac:dyDescent="0.35">
      <c r="A16" t="s">
        <v>47</v>
      </c>
      <c r="B16" s="5" t="s">
        <v>45</v>
      </c>
    </row>
    <row r="17" spans="1:3" x14ac:dyDescent="0.35">
      <c r="A17" t="s">
        <v>53</v>
      </c>
      <c r="B17" s="4">
        <v>217</v>
      </c>
    </row>
    <row r="18" spans="1:3" x14ac:dyDescent="0.35">
      <c r="A18" t="s">
        <v>54</v>
      </c>
      <c r="B18" s="4">
        <v>380</v>
      </c>
    </row>
    <row r="19" spans="1:3" x14ac:dyDescent="0.35">
      <c r="A19" t="s">
        <v>55</v>
      </c>
      <c r="B19" s="4" t="s">
        <v>232</v>
      </c>
    </row>
    <row r="20" spans="1:3" x14ac:dyDescent="0.35">
      <c r="A20" t="s">
        <v>56</v>
      </c>
      <c r="B20" s="4" t="str">
        <f ca="1">"/PSB/GG/" &amp; C20</f>
        <v>/PSB/GG/XI/2024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XI/2024</v>
      </c>
    </row>
    <row r="21" spans="1:3" x14ac:dyDescent="0.35">
      <c r="A21" t="s">
        <v>20</v>
      </c>
      <c r="B21" s="4">
        <v>11</v>
      </c>
    </row>
    <row r="22" spans="1:3" x14ac:dyDescent="0.3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12"/>
  <sheetViews>
    <sheetView workbookViewId="0">
      <selection activeCell="I2" sqref="I2:J12"/>
    </sheetView>
  </sheetViews>
  <sheetFormatPr defaultColWidth="9.1796875" defaultRowHeight="14.5" x14ac:dyDescent="0.35"/>
  <cols>
    <col min="1" max="1" width="6.7265625" style="5" customWidth="1"/>
    <col min="2" max="2" width="17.7265625" style="5" bestFit="1" customWidth="1"/>
    <col min="3" max="3" width="22.1796875" style="5" bestFit="1" customWidth="1"/>
    <col min="4" max="4" width="21.81640625" style="59" bestFit="1" customWidth="1"/>
    <col min="5" max="5" width="5.7265625" style="5" customWidth="1"/>
    <col min="6" max="6" width="5.26953125" style="5" customWidth="1"/>
    <col min="7" max="7" width="5.453125" style="5" customWidth="1"/>
    <col min="8" max="8" width="18.7265625" style="5" customWidth="1"/>
    <col min="9" max="9" width="20.26953125" style="5" bestFit="1" customWidth="1"/>
    <col min="10" max="10" width="21.81640625" style="59" bestFit="1" customWidth="1"/>
    <col min="11" max="11" width="10.453125" style="5" bestFit="1" customWidth="1"/>
    <col min="12" max="16384" width="9.1796875" style="5"/>
  </cols>
  <sheetData>
    <row r="1" spans="1:10" ht="15.5" x14ac:dyDescent="0.35">
      <c r="A1" s="55" t="s">
        <v>225</v>
      </c>
      <c r="B1" s="55" t="s">
        <v>224</v>
      </c>
      <c r="C1" s="55" t="s">
        <v>226</v>
      </c>
      <c r="D1" s="58" t="s">
        <v>227</v>
      </c>
      <c r="G1" s="78" t="s">
        <v>225</v>
      </c>
      <c r="H1" s="78" t="s">
        <v>224</v>
      </c>
      <c r="I1" s="78" t="s">
        <v>226</v>
      </c>
      <c r="J1" s="79" t="s">
        <v>227</v>
      </c>
    </row>
    <row r="2" spans="1:10" x14ac:dyDescent="0.35">
      <c r="B2" s="63">
        <v>380</v>
      </c>
      <c r="C2" s="5" t="s">
        <v>314</v>
      </c>
      <c r="D2" s="59" t="s">
        <v>319</v>
      </c>
      <c r="H2" s="5">
        <v>40</v>
      </c>
      <c r="I2" s="5">
        <v>124380</v>
      </c>
      <c r="J2" s="59" t="s">
        <v>343</v>
      </c>
    </row>
    <row r="3" spans="1:10" x14ac:dyDescent="0.35">
      <c r="B3" s="63">
        <v>217</v>
      </c>
      <c r="C3" s="5" t="s">
        <v>314</v>
      </c>
      <c r="D3" s="59" t="s">
        <v>319</v>
      </c>
      <c r="H3" s="5">
        <v>40</v>
      </c>
      <c r="I3" s="5">
        <v>131104</v>
      </c>
      <c r="J3" s="59" t="s">
        <v>344</v>
      </c>
    </row>
    <row r="4" spans="1:10" x14ac:dyDescent="0.35">
      <c r="H4" s="5">
        <v>40</v>
      </c>
      <c r="I4" s="5" t="s">
        <v>330</v>
      </c>
      <c r="J4" s="59" t="s">
        <v>345</v>
      </c>
    </row>
    <row r="5" spans="1:10" x14ac:dyDescent="0.35">
      <c r="H5" s="5">
        <v>40</v>
      </c>
      <c r="I5" s="5">
        <v>132233</v>
      </c>
      <c r="J5" s="59" t="s">
        <v>346</v>
      </c>
    </row>
    <row r="6" spans="1:10" x14ac:dyDescent="0.35">
      <c r="H6" s="5">
        <v>40</v>
      </c>
      <c r="I6" s="5">
        <v>110367</v>
      </c>
      <c r="J6" s="59" t="s">
        <v>347</v>
      </c>
    </row>
    <row r="7" spans="1:10" x14ac:dyDescent="0.35">
      <c r="H7" s="5">
        <v>40</v>
      </c>
      <c r="I7" s="5" t="s">
        <v>331</v>
      </c>
      <c r="J7" s="59" t="s">
        <v>348</v>
      </c>
    </row>
    <row r="8" spans="1:10" x14ac:dyDescent="0.35">
      <c r="H8" s="5">
        <v>40</v>
      </c>
      <c r="I8" s="5">
        <v>120736</v>
      </c>
      <c r="J8" s="59" t="s">
        <v>349</v>
      </c>
    </row>
    <row r="9" spans="1:10" x14ac:dyDescent="0.35">
      <c r="H9" s="5">
        <v>40</v>
      </c>
      <c r="I9" s="5">
        <v>124222</v>
      </c>
      <c r="J9" s="59" t="s">
        <v>343</v>
      </c>
    </row>
    <row r="10" spans="1:10" x14ac:dyDescent="0.35">
      <c r="H10" s="5">
        <v>40</v>
      </c>
      <c r="I10" s="5">
        <v>110637</v>
      </c>
      <c r="J10" s="59" t="s">
        <v>347</v>
      </c>
    </row>
    <row r="11" spans="1:10" x14ac:dyDescent="0.35">
      <c r="H11" s="5">
        <v>40</v>
      </c>
      <c r="I11" s="5">
        <v>133246</v>
      </c>
      <c r="J11" s="59" t="s">
        <v>350</v>
      </c>
    </row>
    <row r="12" spans="1:10" x14ac:dyDescent="0.35">
      <c r="H12" s="5">
        <v>40</v>
      </c>
      <c r="I12" s="5">
        <v>144708</v>
      </c>
      <c r="J12" s="59" t="s">
        <v>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3"/>
  <sheetViews>
    <sheetView topLeftCell="Z1" workbookViewId="0">
      <selection activeCell="B2" sqref="B2:BT4"/>
    </sheetView>
  </sheetViews>
  <sheetFormatPr defaultRowHeight="14.5" x14ac:dyDescent="0.35"/>
  <cols>
    <col min="1" max="1" width="13.26953125" bestFit="1" customWidth="1"/>
    <col min="2" max="2" width="14.26953125" bestFit="1" customWidth="1"/>
    <col min="3" max="3" width="10" customWidth="1"/>
    <col min="4" max="4" width="20.81640625" bestFit="1" customWidth="1"/>
    <col min="5" max="5" width="34.453125" customWidth="1"/>
    <col min="6" max="6" width="9" customWidth="1"/>
    <col min="7" max="7" width="6" customWidth="1"/>
    <col min="8" max="8" width="10.81640625" customWidth="1"/>
    <col min="9" max="9" width="16.7265625" bestFit="1" customWidth="1"/>
    <col min="10" max="10" width="17.54296875" bestFit="1" customWidth="1"/>
    <col min="11" max="11" width="20.26953125" bestFit="1" customWidth="1"/>
    <col min="12" max="12" width="19.54296875" bestFit="1" customWidth="1"/>
    <col min="13" max="13" width="19.81640625" bestFit="1" customWidth="1"/>
    <col min="14" max="14" width="21.54296875" bestFit="1" customWidth="1"/>
    <col min="15" max="15" width="19.7265625" bestFit="1" customWidth="1"/>
    <col min="16" max="16" width="21.453125" bestFit="1" customWidth="1"/>
    <col min="17" max="17" width="23.1796875" bestFit="1" customWidth="1"/>
    <col min="18" max="18" width="17.1796875" bestFit="1" customWidth="1"/>
    <col min="19" max="19" width="18.81640625" bestFit="1" customWidth="1"/>
    <col min="20" max="20" width="9.81640625" bestFit="1" customWidth="1"/>
    <col min="21" max="21" width="10.1796875" customWidth="1"/>
    <col min="22" max="22" width="12" customWidth="1"/>
    <col min="23" max="23" width="13.26953125" bestFit="1" customWidth="1"/>
    <col min="24" max="24" width="13.54296875" bestFit="1" customWidth="1"/>
    <col min="25" max="25" width="18.1796875" bestFit="1" customWidth="1"/>
    <col min="26" max="26" width="3.81640625" bestFit="1" customWidth="1"/>
    <col min="27" max="27" width="14" bestFit="1" customWidth="1"/>
    <col min="28" max="28" width="8.54296875" bestFit="1" customWidth="1"/>
    <col min="29" max="29" width="7.1796875" bestFit="1" customWidth="1"/>
    <col min="30" max="30" width="10.453125" bestFit="1" customWidth="1"/>
    <col min="31" max="31" width="9" bestFit="1" customWidth="1"/>
    <col min="32" max="32" width="14.1796875" bestFit="1" customWidth="1"/>
    <col min="33" max="33" width="8.1796875" bestFit="1" customWidth="1"/>
    <col min="34" max="34" width="22.453125" bestFit="1" customWidth="1"/>
    <col min="35" max="35" width="23" bestFit="1" customWidth="1"/>
    <col min="36" max="36" width="16.81640625" bestFit="1" customWidth="1"/>
    <col min="37" max="37" width="15.54296875" bestFit="1" customWidth="1"/>
    <col min="38" max="38" width="17" bestFit="1" customWidth="1"/>
    <col min="39" max="39" width="14.1796875" bestFit="1" customWidth="1"/>
    <col min="40" max="40" width="13.7265625" bestFit="1" customWidth="1"/>
    <col min="41" max="41" width="18.1796875" bestFit="1" customWidth="1"/>
    <col min="42" max="42" width="13.1796875" bestFit="1" customWidth="1"/>
    <col min="43" max="43" width="19.453125" bestFit="1" customWidth="1"/>
    <col min="44" max="44" width="20" bestFit="1" customWidth="1"/>
    <col min="45" max="45" width="19.81640625" bestFit="1" customWidth="1"/>
    <col min="46" max="46" width="20.7265625" bestFit="1" customWidth="1"/>
    <col min="47" max="47" width="16.81640625" bestFit="1" customWidth="1"/>
    <col min="48" max="48" width="22" bestFit="1" customWidth="1"/>
    <col min="49" max="49" width="24.7265625" bestFit="1" customWidth="1"/>
    <col min="50" max="50" width="23" bestFit="1" customWidth="1"/>
    <col min="51" max="51" width="19.81640625" bestFit="1" customWidth="1"/>
    <col min="52" max="52" width="20.1796875" bestFit="1" customWidth="1"/>
    <col min="53" max="53" width="21" bestFit="1" customWidth="1"/>
    <col min="54" max="54" width="14.54296875" bestFit="1" customWidth="1"/>
    <col min="55" max="55" width="9.453125" bestFit="1" customWidth="1"/>
    <col min="56" max="56" width="19.54296875" bestFit="1" customWidth="1"/>
    <col min="57" max="57" width="20.1796875" bestFit="1" customWidth="1"/>
    <col min="58" max="58" width="10.54296875" bestFit="1" customWidth="1"/>
    <col min="59" max="59" width="20.453125" bestFit="1" customWidth="1"/>
    <col min="60" max="60" width="24.81640625" bestFit="1" customWidth="1"/>
    <col min="61" max="61" width="9.1796875" bestFit="1" customWidth="1"/>
    <col min="62" max="62" width="20.7265625" bestFit="1" customWidth="1"/>
    <col min="63" max="63" width="24.54296875" bestFit="1" customWidth="1"/>
    <col min="64" max="64" width="24" customWidth="1"/>
    <col min="65" max="65" width="13.453125" customWidth="1"/>
    <col min="66" max="66" width="15.54296875" customWidth="1"/>
    <col min="67" max="67" width="24.54296875" bestFit="1" customWidth="1"/>
    <col min="68" max="68" width="26.453125" bestFit="1" customWidth="1"/>
    <col min="69" max="69" width="24.1796875" bestFit="1" customWidth="1"/>
    <col min="70" max="70" width="10.81640625" bestFit="1" customWidth="1"/>
    <col min="71" max="71" width="11.7265625" bestFit="1" customWidth="1"/>
    <col min="72" max="72" width="16.1796875" bestFit="1" customWidth="1"/>
  </cols>
  <sheetData>
    <row r="1" spans="1:72" ht="15.5" x14ac:dyDescent="0.3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  <c r="BR1" s="60" t="s">
        <v>298</v>
      </c>
      <c r="BS1" s="60" t="s">
        <v>299</v>
      </c>
      <c r="BT1" s="60" t="s">
        <v>300</v>
      </c>
    </row>
    <row r="2" spans="1:72" x14ac:dyDescent="0.35">
      <c r="B2">
        <v>1</v>
      </c>
      <c r="C2">
        <v>39269039</v>
      </c>
      <c r="D2" t="s">
        <v>322</v>
      </c>
      <c r="E2" t="s">
        <v>320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39</v>
      </c>
      <c r="L2" t="s">
        <v>18</v>
      </c>
      <c r="M2">
        <v>1</v>
      </c>
      <c r="T2">
        <v>7.4</v>
      </c>
      <c r="V2">
        <v>0</v>
      </c>
      <c r="Z2">
        <v>0</v>
      </c>
      <c r="AA2">
        <v>0</v>
      </c>
      <c r="AB2">
        <v>0</v>
      </c>
      <c r="AC2">
        <v>0</v>
      </c>
      <c r="AH2">
        <v>3705000</v>
      </c>
      <c r="AI2">
        <v>0</v>
      </c>
      <c r="AK2">
        <v>0</v>
      </c>
      <c r="AM2">
        <v>0</v>
      </c>
      <c r="AN2">
        <v>0</v>
      </c>
      <c r="BJ2">
        <v>0</v>
      </c>
      <c r="BQ2">
        <v>1</v>
      </c>
      <c r="BR2">
        <f>COUNTIF($BQ$1:BQ2,BQ2)</f>
        <v>1</v>
      </c>
      <c r="BS2">
        <f t="shared" ref="BS2:BS3" si="0">COUNTIF($BQ$2:$BQ$13,BQ2)</f>
        <v>1</v>
      </c>
      <c r="BT2" t="str">
        <f t="shared" ref="BT2:BT3" si="1">BQ2&amp;"-"&amp;BR2</f>
        <v>1-1</v>
      </c>
    </row>
    <row r="3" spans="1:72" x14ac:dyDescent="0.35">
      <c r="B3">
        <v>2</v>
      </c>
      <c r="C3">
        <v>39269039</v>
      </c>
      <c r="D3" t="s">
        <v>322</v>
      </c>
      <c r="E3" t="s">
        <v>321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39</v>
      </c>
      <c r="L3" t="s">
        <v>18</v>
      </c>
      <c r="M3">
        <v>1</v>
      </c>
      <c r="T3">
        <v>1</v>
      </c>
      <c r="V3">
        <v>0</v>
      </c>
      <c r="Z3">
        <v>0</v>
      </c>
      <c r="AA3">
        <v>0</v>
      </c>
      <c r="AB3">
        <v>0</v>
      </c>
      <c r="AC3">
        <v>0</v>
      </c>
      <c r="AH3">
        <v>3705000</v>
      </c>
      <c r="AI3">
        <v>0</v>
      </c>
      <c r="AK3">
        <v>0</v>
      </c>
      <c r="AM3">
        <v>0</v>
      </c>
      <c r="AN3">
        <v>0</v>
      </c>
      <c r="BJ3">
        <v>0</v>
      </c>
      <c r="BQ3">
        <v>2</v>
      </c>
      <c r="BR3">
        <f>COUNTIF($BQ$1:BQ3,BQ3)</f>
        <v>1</v>
      </c>
      <c r="BS3">
        <f t="shared" si="0"/>
        <v>1</v>
      </c>
      <c r="BT3" t="str">
        <f t="shared" si="1"/>
        <v>2-1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10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1" sqref="D11"/>
    </sheetView>
  </sheetViews>
  <sheetFormatPr defaultColWidth="9.1796875" defaultRowHeight="14.5" x14ac:dyDescent="0.35"/>
  <cols>
    <col min="1" max="1" width="28.81640625" style="5" customWidth="1"/>
    <col min="2" max="2" width="17.26953125" style="5" bestFit="1" customWidth="1"/>
    <col min="3" max="3" width="22.1796875" style="18" bestFit="1" customWidth="1"/>
    <col min="4" max="4" width="27.453125" style="5" customWidth="1"/>
    <col min="5" max="5" width="12.7265625" style="5" customWidth="1"/>
    <col min="6" max="6" width="17" style="5" customWidth="1"/>
    <col min="7" max="7" width="51.26953125" style="5" customWidth="1"/>
    <col min="8" max="8" width="8.81640625" style="5" customWidth="1"/>
    <col min="9" max="9" width="5" style="5" bestFit="1" customWidth="1"/>
    <col min="10" max="10" width="9.453125" style="5" bestFit="1" customWidth="1"/>
    <col min="11" max="11" width="16.7265625" style="5" bestFit="1" customWidth="1"/>
    <col min="12" max="12" width="15.26953125" style="5" bestFit="1" customWidth="1"/>
    <col min="13" max="13" width="21" style="5" bestFit="1" customWidth="1"/>
    <col min="14" max="14" width="17.26953125" style="5" bestFit="1" customWidth="1"/>
    <col min="15" max="15" width="19.81640625" style="5" bestFit="1" customWidth="1"/>
    <col min="16" max="16" width="23.453125" style="5" bestFit="1" customWidth="1"/>
    <col min="17" max="17" width="22.54296875" style="5" customWidth="1"/>
    <col min="18" max="18" width="25.54296875" style="5" bestFit="1" customWidth="1"/>
    <col min="19" max="19" width="24.7265625" style="5" bestFit="1" customWidth="1"/>
    <col min="20" max="20" width="27.54296875" style="5" customWidth="1"/>
    <col min="21" max="21" width="20" style="108" bestFit="1" customWidth="1"/>
    <col min="22" max="22" width="9" style="5" bestFit="1" customWidth="1"/>
    <col min="23" max="23" width="7.453125" style="5" bestFit="1" customWidth="1"/>
    <col min="24" max="24" width="9.453125" style="5" bestFit="1" customWidth="1"/>
    <col min="25" max="25" width="4.54296875" style="5" customWidth="1"/>
    <col min="26" max="26" width="12.1796875" style="5" customWidth="1"/>
    <col min="27" max="27" width="9.26953125" style="5" customWidth="1"/>
    <col min="28" max="28" width="22.453125" style="5" bestFit="1" customWidth="1"/>
    <col min="29" max="29" width="23.54296875" style="5" bestFit="1" customWidth="1"/>
    <col min="30" max="30" width="14.26953125" style="5" bestFit="1" customWidth="1"/>
    <col min="31" max="31" width="12.7265625" style="5" bestFit="1" customWidth="1"/>
    <col min="32" max="32" width="11.54296875" style="5" bestFit="1" customWidth="1"/>
    <col min="33" max="33" width="10.54296875" style="5" bestFit="1" customWidth="1"/>
    <col min="34" max="34" width="20.453125" style="5" bestFit="1" customWidth="1"/>
    <col min="35" max="35" width="26.453125" style="5" bestFit="1" customWidth="1"/>
    <col min="36" max="36" width="10.1796875" style="5" customWidth="1"/>
    <col min="37" max="37" width="18.453125" style="5" bestFit="1" customWidth="1"/>
    <col min="38" max="38" width="22.26953125" style="5" bestFit="1" customWidth="1"/>
    <col min="39" max="39" width="20.26953125" style="5" customWidth="1"/>
    <col min="40" max="40" width="12.453125" style="5" customWidth="1"/>
    <col min="41" max="41" width="14" style="5" customWidth="1"/>
    <col min="42" max="42" width="3.453125" style="5" customWidth="1"/>
    <col min="43" max="43" width="14" style="5" bestFit="1" customWidth="1"/>
    <col min="44" max="44" width="45.81640625" style="5" bestFit="1" customWidth="1"/>
    <col min="45" max="45" width="39.1796875" style="5" bestFit="1" customWidth="1"/>
    <col min="46" max="46" width="40.453125" style="5" bestFit="1" customWidth="1"/>
    <col min="47" max="47" width="35.453125" style="5" bestFit="1" customWidth="1"/>
    <col min="48" max="48" width="35.26953125" style="5" bestFit="1" customWidth="1"/>
    <col min="49" max="49" width="48.1796875" style="5" bestFit="1" customWidth="1"/>
    <col min="50" max="50" width="12.7265625" style="5" bestFit="1" customWidth="1"/>
    <col min="51" max="51" width="11.26953125" style="5" customWidth="1"/>
    <col min="52" max="52" width="21.7265625" style="5" bestFit="1" customWidth="1"/>
    <col min="53" max="53" width="12.1796875" style="5" bestFit="1" customWidth="1"/>
    <col min="54" max="16384" width="9.1796875" style="5"/>
  </cols>
  <sheetData>
    <row r="1" spans="1:53" s="72" customFormat="1" ht="15.5" x14ac:dyDescent="0.35">
      <c r="A1" s="105" t="s">
        <v>171</v>
      </c>
      <c r="B1" s="105" t="s">
        <v>99</v>
      </c>
      <c r="C1" s="106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107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0" t="s">
        <v>240</v>
      </c>
      <c r="AR1" s="75" t="s">
        <v>283</v>
      </c>
      <c r="AS1" s="75" t="s">
        <v>297</v>
      </c>
      <c r="AT1" s="75" t="s">
        <v>284</v>
      </c>
      <c r="AU1" s="76" t="s">
        <v>285</v>
      </c>
      <c r="AV1" s="75" t="s">
        <v>286</v>
      </c>
      <c r="AW1" s="75" t="s">
        <v>296</v>
      </c>
      <c r="AX1" s="76" t="s">
        <v>282</v>
      </c>
      <c r="AY1" s="81"/>
      <c r="AZ1" s="81"/>
      <c r="BA1" s="81"/>
    </row>
    <row r="2" spans="1:53" x14ac:dyDescent="0.35">
      <c r="A2" s="13" t="s">
        <v>317</v>
      </c>
      <c r="B2" s="5">
        <v>1</v>
      </c>
      <c r="C2" s="18">
        <v>1</v>
      </c>
      <c r="D2" s="5">
        <v>1</v>
      </c>
      <c r="E2" s="5">
        <v>48192000</v>
      </c>
      <c r="F2" s="5">
        <v>280928</v>
      </c>
      <c r="G2" s="5" t="s">
        <v>323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38</v>
      </c>
      <c r="M2" s="5">
        <v>59</v>
      </c>
      <c r="P2" s="5">
        <v>40</v>
      </c>
      <c r="Q2" s="5" t="s">
        <v>80</v>
      </c>
      <c r="R2" s="59" t="s">
        <v>354</v>
      </c>
      <c r="S2" s="77" t="s">
        <v>343</v>
      </c>
      <c r="T2" s="59" t="s">
        <v>332</v>
      </c>
      <c r="U2" s="108">
        <v>2</v>
      </c>
      <c r="V2" s="5">
        <v>0</v>
      </c>
      <c r="Y2" s="5">
        <v>0</v>
      </c>
      <c r="Z2" s="5">
        <v>0</v>
      </c>
      <c r="AA2" s="5">
        <v>0</v>
      </c>
      <c r="AB2" s="5">
        <v>996274</v>
      </c>
      <c r="AC2" s="5">
        <v>0</v>
      </c>
      <c r="AD2" s="5">
        <v>0</v>
      </c>
      <c r="AE2" s="5">
        <v>0</v>
      </c>
      <c r="AQ2" s="5">
        <v>1</v>
      </c>
      <c r="AR2" s="5" t="b">
        <f t="shared" ref="AR2:AR12" si="0">IFERROR(IF(OR(A2="",B2="",C2="",C2=0,D2="",E2="",F2="",G2="",L2="",M2="",P2="",Q2="",R2="",S2="",T2="",AB2="",AQ2=""),FALSE,TRUE),FALSE)</f>
        <v>1</v>
      </c>
      <c r="AS2" s="5" t="b">
        <v>1</v>
      </c>
      <c r="AT2" s="5" t="b">
        <f t="shared" ref="AT2:AT12" si="1">IFERROR(IF(M2&lt;=0,FALSE,TRUE),FALSE)</f>
        <v>1</v>
      </c>
      <c r="AU2" s="5" t="b">
        <f t="shared" ref="AU2:AU12" si="2">IFERROR(IF(OR(P2=40,P2="40"),TRUE,FALSE),FALSE)</f>
        <v>1</v>
      </c>
      <c r="AV2" s="5" t="b">
        <f>Q2=Set_Def!$B$6</f>
        <v>1</v>
      </c>
      <c r="AW2" s="5" t="b">
        <f t="shared" ref="AW2:AW12" si="3">IFERROR(IF(AB2&lt;0,FALSE,TRUE),FALSE)</f>
        <v>1</v>
      </c>
      <c r="AX2" s="5" t="b">
        <f t="shared" ref="AX2:AX12" si="4">IFERROR(IF(OR(AR2=FALSE,AS2=FALSE,AT2=FALSE,AU2=FALSE,AV2=FALSE,AW2=FALSE),FALSE,TRUE),FALSE)</f>
        <v>1</v>
      </c>
    </row>
    <row r="3" spans="1:53" x14ac:dyDescent="0.35">
      <c r="A3" s="13" t="s">
        <v>317</v>
      </c>
      <c r="B3" s="5">
        <v>1</v>
      </c>
      <c r="C3" s="18">
        <v>2</v>
      </c>
      <c r="D3" s="5">
        <v>1</v>
      </c>
      <c r="E3" s="5">
        <v>48192000</v>
      </c>
      <c r="F3" s="5">
        <v>280928</v>
      </c>
      <c r="G3" s="5" t="s">
        <v>323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38</v>
      </c>
      <c r="M3" s="5">
        <v>16</v>
      </c>
      <c r="P3" s="5">
        <v>40</v>
      </c>
      <c r="Q3" s="5" t="s">
        <v>80</v>
      </c>
      <c r="R3" s="59" t="s">
        <v>355</v>
      </c>
      <c r="S3" s="77" t="s">
        <v>344</v>
      </c>
      <c r="T3" s="59" t="s">
        <v>333</v>
      </c>
      <c r="U3" s="108">
        <v>1</v>
      </c>
      <c r="V3" s="5">
        <v>0</v>
      </c>
      <c r="Y3" s="5">
        <v>0</v>
      </c>
      <c r="Z3" s="5">
        <v>0</v>
      </c>
      <c r="AA3" s="5">
        <v>0</v>
      </c>
      <c r="AB3" s="5">
        <v>256672</v>
      </c>
      <c r="AC3" s="5">
        <v>0</v>
      </c>
      <c r="AD3" s="5">
        <v>0</v>
      </c>
      <c r="AE3" s="5">
        <v>0</v>
      </c>
      <c r="AQ3" s="5">
        <v>1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3" x14ac:dyDescent="0.35">
      <c r="A4" s="13" t="s">
        <v>317</v>
      </c>
      <c r="B4" s="5">
        <v>2</v>
      </c>
      <c r="C4" s="18">
        <v>1</v>
      </c>
      <c r="D4" s="5">
        <v>1</v>
      </c>
      <c r="E4" s="5">
        <v>48192000</v>
      </c>
      <c r="F4" s="5">
        <v>280928</v>
      </c>
      <c r="G4" s="5" t="s">
        <v>324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38</v>
      </c>
      <c r="M4" s="5">
        <v>16</v>
      </c>
      <c r="P4" s="5">
        <v>40</v>
      </c>
      <c r="Q4" s="5" t="s">
        <v>80</v>
      </c>
      <c r="R4" s="59" t="s">
        <v>330</v>
      </c>
      <c r="S4" s="77" t="s">
        <v>345</v>
      </c>
      <c r="T4" s="59" t="s">
        <v>334</v>
      </c>
      <c r="U4" s="108">
        <v>1</v>
      </c>
      <c r="V4" s="5">
        <v>0</v>
      </c>
      <c r="Y4" s="5">
        <v>0</v>
      </c>
      <c r="Z4" s="5">
        <v>0</v>
      </c>
      <c r="AA4" s="5">
        <v>0</v>
      </c>
      <c r="AB4" s="5">
        <v>270176</v>
      </c>
      <c r="AC4" s="5">
        <v>0</v>
      </c>
      <c r="AD4" s="5">
        <v>0</v>
      </c>
      <c r="AE4" s="5">
        <v>0</v>
      </c>
      <c r="AQ4" s="5">
        <v>2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3" x14ac:dyDescent="0.35">
      <c r="A5" s="13" t="s">
        <v>317</v>
      </c>
      <c r="B5" s="5">
        <v>1</v>
      </c>
      <c r="C5" s="18">
        <v>3</v>
      </c>
      <c r="D5" s="5">
        <v>1</v>
      </c>
      <c r="E5" s="5">
        <v>48192000</v>
      </c>
      <c r="F5" s="5">
        <v>280928</v>
      </c>
      <c r="G5" s="5" t="s">
        <v>323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38</v>
      </c>
      <c r="M5" s="5">
        <v>11</v>
      </c>
      <c r="P5" s="5">
        <v>40</v>
      </c>
      <c r="Q5" s="5" t="s">
        <v>80</v>
      </c>
      <c r="R5" s="59" t="s">
        <v>356</v>
      </c>
      <c r="S5" s="77" t="s">
        <v>346</v>
      </c>
      <c r="T5" s="59" t="s">
        <v>335</v>
      </c>
      <c r="U5" s="108">
        <v>1</v>
      </c>
      <c r="V5" s="5">
        <v>0</v>
      </c>
      <c r="Y5" s="5">
        <v>0</v>
      </c>
      <c r="Z5" s="5">
        <v>0</v>
      </c>
      <c r="AA5" s="5">
        <v>0</v>
      </c>
      <c r="AB5" s="5">
        <v>176462</v>
      </c>
      <c r="AC5" s="5">
        <v>0</v>
      </c>
      <c r="AD5" s="5">
        <v>0</v>
      </c>
      <c r="AE5" s="5">
        <v>0</v>
      </c>
      <c r="AQ5" s="5">
        <v>1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3" x14ac:dyDescent="0.35">
      <c r="A6" s="13" t="s">
        <v>317</v>
      </c>
      <c r="B6" s="5">
        <v>2</v>
      </c>
      <c r="C6" s="18">
        <v>2</v>
      </c>
      <c r="D6" s="5">
        <v>1</v>
      </c>
      <c r="E6" s="5">
        <v>48192000</v>
      </c>
      <c r="F6" s="5">
        <v>280928</v>
      </c>
      <c r="G6" s="5" t="s">
        <v>323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38</v>
      </c>
      <c r="M6" s="5">
        <v>1</v>
      </c>
      <c r="P6" s="5">
        <v>40</v>
      </c>
      <c r="Q6" s="5" t="s">
        <v>80</v>
      </c>
      <c r="R6" s="59" t="s">
        <v>357</v>
      </c>
      <c r="S6" s="77" t="s">
        <v>347</v>
      </c>
      <c r="T6" s="59" t="s">
        <v>336</v>
      </c>
      <c r="U6" s="108">
        <v>1</v>
      </c>
      <c r="V6" s="5">
        <v>0</v>
      </c>
      <c r="Y6" s="5">
        <v>0</v>
      </c>
      <c r="Z6" s="5">
        <v>0</v>
      </c>
      <c r="AA6" s="5">
        <v>0</v>
      </c>
      <c r="AB6" s="5">
        <v>16886</v>
      </c>
      <c r="AC6" s="5">
        <v>0</v>
      </c>
      <c r="AD6" s="5">
        <v>0</v>
      </c>
      <c r="AE6" s="5">
        <v>0</v>
      </c>
      <c r="AQ6" s="5">
        <v>2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3" x14ac:dyDescent="0.35">
      <c r="A7" s="13" t="s">
        <v>317</v>
      </c>
      <c r="B7" s="5">
        <v>1</v>
      </c>
      <c r="C7" s="18">
        <v>4</v>
      </c>
      <c r="D7" s="5">
        <v>1</v>
      </c>
      <c r="E7" s="5">
        <v>48192000</v>
      </c>
      <c r="F7" s="5">
        <v>283182</v>
      </c>
      <c r="G7" s="5" t="s">
        <v>325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38</v>
      </c>
      <c r="M7" s="5">
        <v>41</v>
      </c>
      <c r="P7" s="5">
        <v>40</v>
      </c>
      <c r="Q7" s="5" t="s">
        <v>80</v>
      </c>
      <c r="R7" s="59" t="s">
        <v>331</v>
      </c>
      <c r="S7" s="77" t="s">
        <v>348</v>
      </c>
      <c r="T7" s="59" t="s">
        <v>337</v>
      </c>
      <c r="U7" s="108">
        <v>1</v>
      </c>
      <c r="V7" s="5">
        <v>0</v>
      </c>
      <c r="Y7" s="5">
        <v>0</v>
      </c>
      <c r="Z7" s="5">
        <v>0</v>
      </c>
      <c r="AA7" s="5">
        <v>0</v>
      </c>
      <c r="AB7" s="5">
        <v>791546</v>
      </c>
      <c r="AC7" s="5">
        <v>0</v>
      </c>
      <c r="AD7" s="5">
        <v>0</v>
      </c>
      <c r="AE7" s="5">
        <v>0</v>
      </c>
      <c r="AQ7" s="5">
        <v>1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3" x14ac:dyDescent="0.35">
      <c r="A8" s="13" t="s">
        <v>317</v>
      </c>
      <c r="B8" s="5">
        <v>1</v>
      </c>
      <c r="C8" s="18">
        <v>5</v>
      </c>
      <c r="D8" s="5">
        <v>1</v>
      </c>
      <c r="E8" s="5">
        <v>48192000</v>
      </c>
      <c r="F8" s="5">
        <v>283182</v>
      </c>
      <c r="G8" s="5" t="s">
        <v>326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38</v>
      </c>
      <c r="M8" s="5">
        <v>10</v>
      </c>
      <c r="P8" s="5">
        <v>40</v>
      </c>
      <c r="Q8" s="5" t="s">
        <v>80</v>
      </c>
      <c r="R8" s="59" t="s">
        <v>358</v>
      </c>
      <c r="S8" s="77" t="s">
        <v>349</v>
      </c>
      <c r="T8" s="59" t="s">
        <v>338</v>
      </c>
      <c r="U8" s="108">
        <v>1</v>
      </c>
      <c r="V8" s="5">
        <v>0</v>
      </c>
      <c r="Y8" s="5">
        <v>0</v>
      </c>
      <c r="Z8" s="5">
        <v>0</v>
      </c>
      <c r="AA8" s="5">
        <v>0</v>
      </c>
      <c r="AB8" s="5">
        <v>193060</v>
      </c>
      <c r="AC8" s="5">
        <v>0</v>
      </c>
      <c r="AD8" s="5">
        <v>0</v>
      </c>
      <c r="AE8" s="5">
        <v>0</v>
      </c>
      <c r="AQ8" s="5">
        <v>1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3" x14ac:dyDescent="0.35">
      <c r="A9" s="13" t="s">
        <v>317</v>
      </c>
      <c r="B9" s="5">
        <v>2</v>
      </c>
      <c r="C9" s="18">
        <v>3</v>
      </c>
      <c r="D9" s="5">
        <v>1</v>
      </c>
      <c r="E9" s="5">
        <v>48192000</v>
      </c>
      <c r="F9" s="5">
        <v>283182</v>
      </c>
      <c r="G9" s="5" t="s">
        <v>326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38</v>
      </c>
      <c r="M9" s="5">
        <v>5</v>
      </c>
      <c r="P9" s="5">
        <v>40</v>
      </c>
      <c r="Q9" s="5" t="s">
        <v>80</v>
      </c>
      <c r="R9" s="59" t="s">
        <v>359</v>
      </c>
      <c r="S9" s="77" t="s">
        <v>343</v>
      </c>
      <c r="T9" s="59" t="s">
        <v>339</v>
      </c>
      <c r="U9" s="108">
        <v>1</v>
      </c>
      <c r="V9" s="5">
        <v>0</v>
      </c>
      <c r="Y9" s="5">
        <v>0</v>
      </c>
      <c r="Z9" s="5">
        <v>0</v>
      </c>
      <c r="AA9" s="5">
        <v>0</v>
      </c>
      <c r="AB9" s="5">
        <v>96530</v>
      </c>
      <c r="AC9" s="5">
        <v>0</v>
      </c>
      <c r="AD9" s="5">
        <v>0</v>
      </c>
      <c r="AE9" s="5">
        <v>0</v>
      </c>
      <c r="AQ9" s="5">
        <v>2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3" x14ac:dyDescent="0.35">
      <c r="A10" s="13" t="s">
        <v>317</v>
      </c>
      <c r="B10" s="5">
        <v>1</v>
      </c>
      <c r="C10" s="18">
        <v>6</v>
      </c>
      <c r="D10" s="5">
        <v>1</v>
      </c>
      <c r="E10" s="5">
        <v>48192000</v>
      </c>
      <c r="F10" s="5">
        <v>283182</v>
      </c>
      <c r="G10" s="5" t="s">
        <v>327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38</v>
      </c>
      <c r="M10" s="5">
        <v>4</v>
      </c>
      <c r="P10" s="5">
        <v>40</v>
      </c>
      <c r="Q10" s="5" t="s">
        <v>80</v>
      </c>
      <c r="R10" s="59" t="s">
        <v>360</v>
      </c>
      <c r="S10" s="77" t="s">
        <v>347</v>
      </c>
      <c r="T10" s="67" t="s">
        <v>340</v>
      </c>
      <c r="U10" s="108">
        <v>1</v>
      </c>
      <c r="V10" s="5">
        <v>0</v>
      </c>
      <c r="Y10" s="5">
        <v>0</v>
      </c>
      <c r="Z10" s="5">
        <v>0</v>
      </c>
      <c r="AA10" s="5">
        <v>0</v>
      </c>
      <c r="AB10" s="5">
        <v>77224</v>
      </c>
      <c r="AC10" s="5">
        <v>0</v>
      </c>
      <c r="AD10" s="5">
        <v>0</v>
      </c>
      <c r="AE10" s="5">
        <v>0</v>
      </c>
      <c r="AQ10" s="5">
        <v>1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3" x14ac:dyDescent="0.35">
      <c r="A11" s="13" t="s">
        <v>317</v>
      </c>
      <c r="B11" s="5">
        <v>2</v>
      </c>
      <c r="C11" s="18">
        <v>4</v>
      </c>
      <c r="D11" s="5">
        <v>1</v>
      </c>
      <c r="E11" s="5">
        <v>48192000</v>
      </c>
      <c r="F11" s="5">
        <v>285352</v>
      </c>
      <c r="G11" s="5" t="s">
        <v>328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38</v>
      </c>
      <c r="M11" s="5">
        <v>3</v>
      </c>
      <c r="P11" s="5">
        <v>40</v>
      </c>
      <c r="Q11" s="5" t="s">
        <v>80</v>
      </c>
      <c r="R11" s="59" t="s">
        <v>361</v>
      </c>
      <c r="S11" s="77" t="s">
        <v>350</v>
      </c>
      <c r="T11" s="59" t="s">
        <v>341</v>
      </c>
      <c r="U11" s="108">
        <v>2</v>
      </c>
      <c r="V11" s="5">
        <v>0</v>
      </c>
      <c r="Y11" s="5">
        <v>0</v>
      </c>
      <c r="Z11" s="5">
        <v>0</v>
      </c>
      <c r="AA11" s="5">
        <v>0</v>
      </c>
      <c r="AB11" s="5">
        <v>58710</v>
      </c>
      <c r="AC11" s="5">
        <v>0</v>
      </c>
      <c r="AD11" s="5">
        <v>0</v>
      </c>
      <c r="AE11" s="5">
        <v>0</v>
      </c>
      <c r="AQ11" s="5">
        <v>2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3" x14ac:dyDescent="0.35">
      <c r="A12" s="13" t="s">
        <v>317</v>
      </c>
      <c r="B12" s="5">
        <v>1</v>
      </c>
      <c r="C12" s="18">
        <v>7</v>
      </c>
      <c r="D12" s="5">
        <v>1</v>
      </c>
      <c r="E12" s="5">
        <v>48192000</v>
      </c>
      <c r="F12" s="5">
        <v>288341</v>
      </c>
      <c r="G12" s="5" t="s">
        <v>329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38</v>
      </c>
      <c r="M12" s="5">
        <v>207</v>
      </c>
      <c r="P12" s="5">
        <v>40</v>
      </c>
      <c r="Q12" s="5" t="s">
        <v>80</v>
      </c>
      <c r="R12" s="59" t="s">
        <v>362</v>
      </c>
      <c r="S12" s="77" t="s">
        <v>351</v>
      </c>
      <c r="T12" s="59" t="s">
        <v>342</v>
      </c>
      <c r="U12" s="108">
        <v>1</v>
      </c>
      <c r="V12" s="5">
        <v>0</v>
      </c>
      <c r="Y12" s="5">
        <v>0</v>
      </c>
      <c r="Z12" s="5">
        <v>0</v>
      </c>
      <c r="AA12" s="5">
        <v>0</v>
      </c>
      <c r="AB12" s="5">
        <v>3519000</v>
      </c>
      <c r="AC12" s="5">
        <v>0</v>
      </c>
      <c r="AD12" s="5">
        <v>0</v>
      </c>
      <c r="AE12" s="5">
        <v>0</v>
      </c>
      <c r="AQ12" s="5">
        <v>1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3" x14ac:dyDescent="0.35">
      <c r="A13" s="13"/>
      <c r="R13" s="59"/>
      <c r="S13" s="77"/>
      <c r="T13" s="59"/>
    </row>
    <row r="14" spans="1:53" x14ac:dyDescent="0.35">
      <c r="A14" s="13"/>
      <c r="R14" s="59"/>
      <c r="S14" s="77"/>
      <c r="T14" s="59"/>
    </row>
    <row r="15" spans="1:53" x14ac:dyDescent="0.35">
      <c r="A15" s="13"/>
      <c r="R15" s="59"/>
      <c r="S15" s="77"/>
      <c r="T15" s="59"/>
    </row>
    <row r="16" spans="1:53" x14ac:dyDescent="0.35">
      <c r="A16" s="13"/>
      <c r="R16" s="59"/>
      <c r="S16" s="77"/>
      <c r="T16" s="59"/>
    </row>
    <row r="17" spans="1:20" x14ac:dyDescent="0.35">
      <c r="A17" s="13"/>
      <c r="R17" s="59"/>
      <c r="S17" s="77"/>
      <c r="T17" s="59"/>
    </row>
    <row r="18" spans="1:20" x14ac:dyDescent="0.35">
      <c r="A18" s="13"/>
      <c r="R18" s="59"/>
      <c r="S18" s="77"/>
      <c r="T18" s="59"/>
    </row>
    <row r="19" spans="1:20" x14ac:dyDescent="0.35">
      <c r="A19" s="13"/>
      <c r="R19" s="59"/>
      <c r="S19" s="77"/>
      <c r="T19" s="59"/>
    </row>
    <row r="20" spans="1:20" x14ac:dyDescent="0.35">
      <c r="A20" s="13"/>
      <c r="R20" s="59"/>
      <c r="S20" s="77"/>
      <c r="T20" s="59"/>
    </row>
    <row r="21" spans="1:20" x14ac:dyDescent="0.35">
      <c r="A21" s="13"/>
      <c r="R21" s="59"/>
      <c r="S21" s="77"/>
      <c r="T21" s="59"/>
    </row>
    <row r="22" spans="1:20" x14ac:dyDescent="0.35">
      <c r="A22" s="13"/>
      <c r="R22" s="59"/>
      <c r="S22" s="77"/>
      <c r="T22" s="59"/>
    </row>
    <row r="23" spans="1:20" x14ac:dyDescent="0.35">
      <c r="A23" s="13"/>
      <c r="R23" s="59"/>
      <c r="S23" s="77"/>
      <c r="T23" s="59"/>
    </row>
    <row r="24" spans="1:20" x14ac:dyDescent="0.35">
      <c r="A24" s="13"/>
      <c r="R24" s="59"/>
      <c r="S24" s="77"/>
      <c r="T24" s="59"/>
    </row>
    <row r="25" spans="1:20" x14ac:dyDescent="0.35">
      <c r="A25" s="13"/>
      <c r="R25" s="59"/>
      <c r="S25" s="77"/>
      <c r="T25" s="59"/>
    </row>
    <row r="26" spans="1:20" x14ac:dyDescent="0.35">
      <c r="A26" s="13"/>
      <c r="R26" s="59"/>
      <c r="S26" s="77"/>
      <c r="T26" s="59"/>
    </row>
    <row r="27" spans="1:20" x14ac:dyDescent="0.35">
      <c r="A27" s="13"/>
      <c r="R27" s="59"/>
      <c r="S27" s="77"/>
      <c r="T27" s="59"/>
    </row>
    <row r="28" spans="1:20" x14ac:dyDescent="0.35">
      <c r="A28" s="13"/>
      <c r="R28" s="59"/>
      <c r="S28" s="77"/>
      <c r="T28" s="59"/>
    </row>
    <row r="29" spans="1:20" x14ac:dyDescent="0.35">
      <c r="A29" s="13"/>
      <c r="R29" s="59"/>
      <c r="S29" s="77"/>
      <c r="T29" s="59"/>
    </row>
    <row r="30" spans="1:20" x14ac:dyDescent="0.35">
      <c r="A30" s="13"/>
      <c r="R30" s="59"/>
      <c r="S30" s="59"/>
      <c r="T30" s="59"/>
    </row>
    <row r="31" spans="1:20" x14ac:dyDescent="0.35">
      <c r="A31" s="13"/>
      <c r="R31" s="59"/>
      <c r="S31" s="59"/>
      <c r="T31" s="59"/>
    </row>
    <row r="32" spans="1:20" x14ac:dyDescent="0.35">
      <c r="A32" s="13"/>
      <c r="R32" s="59"/>
      <c r="S32" s="59"/>
      <c r="T32" s="59"/>
    </row>
    <row r="33" spans="1:20" x14ac:dyDescent="0.35">
      <c r="A33" s="13"/>
      <c r="R33" s="59"/>
      <c r="S33" s="59"/>
      <c r="T33" s="59"/>
    </row>
    <row r="34" spans="1:20" x14ac:dyDescent="0.35">
      <c r="A34" s="13"/>
      <c r="R34" s="59"/>
      <c r="S34" s="59"/>
      <c r="T34" s="59"/>
    </row>
    <row r="35" spans="1:20" x14ac:dyDescent="0.35">
      <c r="A35" s="13"/>
      <c r="R35" s="59"/>
      <c r="S35" s="59"/>
      <c r="T35" s="59"/>
    </row>
    <row r="36" spans="1:20" x14ac:dyDescent="0.35">
      <c r="A36" s="13"/>
      <c r="R36" s="59"/>
      <c r="S36" s="59"/>
      <c r="T36" s="59"/>
    </row>
    <row r="37" spans="1:20" x14ac:dyDescent="0.35">
      <c r="A37" s="13"/>
      <c r="R37" s="59"/>
      <c r="S37" s="59"/>
      <c r="T37" s="59"/>
    </row>
    <row r="38" spans="1:20" x14ac:dyDescent="0.35">
      <c r="A38" s="13"/>
      <c r="R38" s="59"/>
      <c r="S38" s="59"/>
      <c r="T38" s="59"/>
    </row>
    <row r="39" spans="1:20" x14ac:dyDescent="0.35">
      <c r="A39" s="13"/>
      <c r="R39" s="59"/>
      <c r="S39" s="59"/>
      <c r="T39" s="59"/>
    </row>
    <row r="40" spans="1:20" x14ac:dyDescent="0.35">
      <c r="A40" s="13"/>
      <c r="R40" s="59"/>
      <c r="S40" s="59"/>
      <c r="T40" s="59"/>
    </row>
    <row r="41" spans="1:20" x14ac:dyDescent="0.35">
      <c r="A41" s="13"/>
      <c r="R41" s="59"/>
      <c r="S41" s="59"/>
      <c r="T41" s="59"/>
    </row>
    <row r="42" spans="1:20" x14ac:dyDescent="0.35">
      <c r="A42" s="13"/>
      <c r="R42" s="59"/>
      <c r="S42" s="59"/>
      <c r="T42" s="59"/>
    </row>
    <row r="43" spans="1:20" x14ac:dyDescent="0.35">
      <c r="A43" s="13"/>
      <c r="R43" s="59"/>
      <c r="S43" s="59"/>
      <c r="T43" s="59"/>
    </row>
    <row r="44" spans="1:20" x14ac:dyDescent="0.35">
      <c r="A44" s="13"/>
      <c r="R44" s="59"/>
      <c r="S44" s="59"/>
      <c r="T44" s="59"/>
    </row>
    <row r="45" spans="1:20" x14ac:dyDescent="0.35">
      <c r="A45" s="13"/>
      <c r="R45" s="59"/>
      <c r="S45" s="59"/>
      <c r="T45" s="59"/>
    </row>
    <row r="46" spans="1:20" x14ac:dyDescent="0.35">
      <c r="A46" s="13"/>
      <c r="R46" s="59"/>
      <c r="S46" s="59"/>
      <c r="T46" s="59"/>
    </row>
    <row r="47" spans="1:20" x14ac:dyDescent="0.35">
      <c r="A47" s="13"/>
      <c r="R47" s="59"/>
      <c r="S47" s="59"/>
      <c r="T47" s="59"/>
    </row>
    <row r="48" spans="1:20" x14ac:dyDescent="0.35">
      <c r="A48" s="13"/>
      <c r="R48" s="59"/>
      <c r="S48" s="59"/>
      <c r="T48" s="59"/>
    </row>
    <row r="49" spans="1:20" x14ac:dyDescent="0.35">
      <c r="A49" s="13"/>
      <c r="R49" s="59"/>
      <c r="S49" s="59"/>
      <c r="T49" s="59"/>
    </row>
    <row r="50" spans="1:20" x14ac:dyDescent="0.35">
      <c r="A50" s="13"/>
      <c r="R50" s="59"/>
      <c r="S50" s="59"/>
      <c r="T50" s="59"/>
    </row>
    <row r="51" spans="1:20" x14ac:dyDescent="0.35">
      <c r="A51" s="13"/>
      <c r="R51" s="59"/>
      <c r="S51" s="59"/>
      <c r="T51" s="59"/>
    </row>
    <row r="52" spans="1:20" x14ac:dyDescent="0.35">
      <c r="A52" s="13"/>
      <c r="R52" s="59"/>
      <c r="S52" s="59"/>
      <c r="T52" s="59"/>
    </row>
    <row r="53" spans="1:20" x14ac:dyDescent="0.35">
      <c r="A53" s="13"/>
      <c r="R53" s="59"/>
      <c r="S53" s="59"/>
      <c r="T53" s="59"/>
    </row>
    <row r="54" spans="1:20" x14ac:dyDescent="0.35">
      <c r="A54" s="13"/>
      <c r="R54" s="59"/>
      <c r="S54" s="59"/>
      <c r="T54" s="59"/>
    </row>
    <row r="55" spans="1:20" x14ac:dyDescent="0.35">
      <c r="A55" s="13"/>
      <c r="R55" s="59"/>
      <c r="S55" s="59"/>
      <c r="T55" s="59"/>
    </row>
    <row r="56" spans="1:20" x14ac:dyDescent="0.35">
      <c r="A56" s="13"/>
      <c r="R56" s="59"/>
      <c r="S56" s="59"/>
      <c r="T56" s="59"/>
    </row>
    <row r="57" spans="1:20" x14ac:dyDescent="0.35">
      <c r="A57" s="13"/>
      <c r="R57" s="59"/>
      <c r="S57" s="59"/>
      <c r="T57" s="59"/>
    </row>
    <row r="58" spans="1:20" x14ac:dyDescent="0.35">
      <c r="A58" s="13"/>
      <c r="R58" s="59"/>
      <c r="S58" s="59"/>
      <c r="T58" s="59"/>
    </row>
    <row r="59" spans="1:20" x14ac:dyDescent="0.35">
      <c r="A59" s="13"/>
      <c r="R59" s="59"/>
      <c r="S59" s="59"/>
      <c r="T59" s="59"/>
    </row>
    <row r="60" spans="1:20" x14ac:dyDescent="0.35">
      <c r="A60" s="13"/>
      <c r="R60" s="59"/>
      <c r="S60" s="59"/>
      <c r="T60" s="59"/>
    </row>
    <row r="61" spans="1:20" x14ac:dyDescent="0.35">
      <c r="A61" s="13"/>
      <c r="R61" s="59"/>
      <c r="S61" s="59"/>
      <c r="T61" s="59"/>
    </row>
    <row r="62" spans="1:20" x14ac:dyDescent="0.35">
      <c r="A62" s="13"/>
      <c r="R62" s="59"/>
      <c r="S62" s="59"/>
      <c r="T62" s="59"/>
    </row>
    <row r="63" spans="1:20" x14ac:dyDescent="0.35">
      <c r="A63" s="13"/>
      <c r="R63" s="59"/>
      <c r="S63" s="59"/>
      <c r="T63" s="59"/>
    </row>
    <row r="64" spans="1:20" x14ac:dyDescent="0.35">
      <c r="A64" s="13"/>
      <c r="R64" s="59"/>
      <c r="S64" s="59"/>
      <c r="T64" s="59"/>
    </row>
    <row r="65" spans="1:20" x14ac:dyDescent="0.35">
      <c r="A65" s="13"/>
      <c r="R65" s="59"/>
      <c r="S65" s="59"/>
      <c r="T65" s="59"/>
    </row>
    <row r="66" spans="1:20" x14ac:dyDescent="0.35">
      <c r="A66" s="13"/>
      <c r="R66" s="59"/>
      <c r="S66" s="59"/>
      <c r="T66" s="59"/>
    </row>
    <row r="67" spans="1:20" x14ac:dyDescent="0.35">
      <c r="A67" s="13"/>
      <c r="R67" s="59"/>
      <c r="S67" s="59"/>
      <c r="T67" s="59"/>
    </row>
    <row r="68" spans="1:20" x14ac:dyDescent="0.35">
      <c r="A68" s="13"/>
      <c r="R68" s="59"/>
      <c r="S68" s="59"/>
      <c r="T68" s="59"/>
    </row>
    <row r="69" spans="1:20" x14ac:dyDescent="0.35">
      <c r="A69" s="13"/>
      <c r="R69" s="59"/>
      <c r="S69" s="59"/>
      <c r="T69" s="59"/>
    </row>
    <row r="70" spans="1:20" x14ac:dyDescent="0.35">
      <c r="R70" s="59"/>
    </row>
    <row r="71" spans="1:20" x14ac:dyDescent="0.35">
      <c r="R71" s="59"/>
    </row>
    <row r="72" spans="1:20" x14ac:dyDescent="0.35">
      <c r="R72" s="59"/>
    </row>
    <row r="73" spans="1:20" x14ac:dyDescent="0.35">
      <c r="R73" s="59"/>
    </row>
    <row r="74" spans="1:20" x14ac:dyDescent="0.35">
      <c r="R74" s="59"/>
    </row>
    <row r="75" spans="1:20" x14ac:dyDescent="0.35">
      <c r="R75" s="59"/>
    </row>
    <row r="76" spans="1:20" x14ac:dyDescent="0.35">
      <c r="R76" s="59"/>
    </row>
    <row r="77" spans="1:20" x14ac:dyDescent="0.35">
      <c r="R77" s="59"/>
    </row>
    <row r="78" spans="1:20" x14ac:dyDescent="0.35">
      <c r="R78" s="59"/>
    </row>
    <row r="79" spans="1:20" x14ac:dyDescent="0.35">
      <c r="R79" s="59"/>
    </row>
    <row r="80" spans="1:20" x14ac:dyDescent="0.35">
      <c r="R80" s="59"/>
    </row>
    <row r="81" spans="18:18" x14ac:dyDescent="0.35">
      <c r="R81" s="59"/>
    </row>
    <row r="82" spans="18:18" x14ac:dyDescent="0.35">
      <c r="R82" s="59"/>
    </row>
    <row r="83" spans="18:18" x14ac:dyDescent="0.35">
      <c r="R83" s="59"/>
    </row>
    <row r="84" spans="18:18" x14ac:dyDescent="0.35">
      <c r="R84" s="59"/>
    </row>
    <row r="85" spans="18:18" x14ac:dyDescent="0.35">
      <c r="R85" s="59"/>
    </row>
    <row r="86" spans="18:18" x14ac:dyDescent="0.35">
      <c r="R86" s="59"/>
    </row>
    <row r="87" spans="18:18" x14ac:dyDescent="0.35">
      <c r="R87" s="59"/>
    </row>
    <row r="88" spans="18:18" x14ac:dyDescent="0.35">
      <c r="R88" s="59"/>
    </row>
    <row r="89" spans="18:18" x14ac:dyDescent="0.35">
      <c r="R89" s="59"/>
    </row>
    <row r="90" spans="18:18" x14ac:dyDescent="0.35">
      <c r="R90" s="59"/>
    </row>
    <row r="91" spans="18:18" x14ac:dyDescent="0.35">
      <c r="R91" s="59"/>
    </row>
    <row r="92" spans="18:18" x14ac:dyDescent="0.35">
      <c r="R92" s="59"/>
    </row>
    <row r="93" spans="18:18" x14ac:dyDescent="0.35">
      <c r="R93" s="59"/>
    </row>
    <row r="94" spans="18:18" x14ac:dyDescent="0.35">
      <c r="R94" s="59"/>
    </row>
    <row r="95" spans="18:18" x14ac:dyDescent="0.35">
      <c r="R95" s="59"/>
    </row>
    <row r="96" spans="18:18" x14ac:dyDescent="0.35">
      <c r="R96" s="59"/>
    </row>
    <row r="97" spans="18:18" x14ac:dyDescent="0.35">
      <c r="R97" s="59"/>
    </row>
    <row r="98" spans="18:18" x14ac:dyDescent="0.35">
      <c r="R98" s="59"/>
    </row>
    <row r="99" spans="18:18" x14ac:dyDescent="0.35">
      <c r="R99" s="59"/>
    </row>
    <row r="100" spans="18:18" x14ac:dyDescent="0.35">
      <c r="R100" s="59"/>
    </row>
    <row r="101" spans="18:18" x14ac:dyDescent="0.35">
      <c r="R101" s="59"/>
    </row>
    <row r="102" spans="18:18" x14ac:dyDescent="0.35">
      <c r="R102" s="59"/>
    </row>
    <row r="103" spans="18:18" x14ac:dyDescent="0.35">
      <c r="R103" s="59"/>
    </row>
    <row r="104" spans="18:18" x14ac:dyDescent="0.35">
      <c r="R104" s="59"/>
    </row>
    <row r="105" spans="18:18" x14ac:dyDescent="0.35">
      <c r="R105" s="59"/>
    </row>
    <row r="106" spans="18:18" x14ac:dyDescent="0.35">
      <c r="R106" s="59"/>
    </row>
    <row r="107" spans="18:18" x14ac:dyDescent="0.35">
      <c r="R107" s="59"/>
    </row>
    <row r="108" spans="18:18" x14ac:dyDescent="0.35">
      <c r="R108" s="59"/>
    </row>
    <row r="109" spans="18:18" x14ac:dyDescent="0.35">
      <c r="R109" s="59"/>
    </row>
    <row r="110" spans="18:18" x14ac:dyDescent="0.35">
      <c r="R110" s="59"/>
    </row>
    <row r="111" spans="18:18" x14ac:dyDescent="0.35">
      <c r="R111" s="59"/>
    </row>
    <row r="112" spans="18:18" x14ac:dyDescent="0.35">
      <c r="R112" s="59"/>
    </row>
    <row r="113" spans="18:18" x14ac:dyDescent="0.35">
      <c r="R113" s="59"/>
    </row>
    <row r="114" spans="18:18" x14ac:dyDescent="0.35">
      <c r="R114" s="59"/>
    </row>
    <row r="115" spans="18:18" x14ac:dyDescent="0.35">
      <c r="R115" s="59"/>
    </row>
    <row r="116" spans="18:18" x14ac:dyDescent="0.35">
      <c r="R116" s="59"/>
    </row>
    <row r="117" spans="18:18" x14ac:dyDescent="0.35">
      <c r="R117" s="59"/>
    </row>
    <row r="118" spans="18:18" x14ac:dyDescent="0.35">
      <c r="R118" s="59"/>
    </row>
    <row r="119" spans="18:18" x14ac:dyDescent="0.35">
      <c r="R119" s="59"/>
    </row>
    <row r="120" spans="18:18" x14ac:dyDescent="0.35">
      <c r="R120" s="59"/>
    </row>
    <row r="121" spans="18:18" x14ac:dyDescent="0.35">
      <c r="R121" s="59"/>
    </row>
    <row r="122" spans="18:18" x14ac:dyDescent="0.35">
      <c r="R122" s="59"/>
    </row>
    <row r="123" spans="18:18" x14ac:dyDescent="0.35">
      <c r="R123" s="59"/>
    </row>
    <row r="124" spans="18:18" x14ac:dyDescent="0.35">
      <c r="R124" s="59"/>
    </row>
    <row r="125" spans="18:18" x14ac:dyDescent="0.35">
      <c r="R125" s="59"/>
    </row>
    <row r="126" spans="18:18" x14ac:dyDescent="0.35">
      <c r="R126" s="59"/>
    </row>
    <row r="127" spans="18:18" x14ac:dyDescent="0.35">
      <c r="R127" s="59"/>
    </row>
    <row r="128" spans="18:18" x14ac:dyDescent="0.35">
      <c r="R128" s="59"/>
    </row>
    <row r="129" spans="18:18" x14ac:dyDescent="0.35">
      <c r="R129" s="59"/>
    </row>
    <row r="130" spans="18:18" x14ac:dyDescent="0.35">
      <c r="R130" s="59"/>
    </row>
    <row r="131" spans="18:18" x14ac:dyDescent="0.35">
      <c r="R131" s="59"/>
    </row>
    <row r="132" spans="18:18" x14ac:dyDescent="0.35">
      <c r="R132" s="59"/>
    </row>
    <row r="133" spans="18:18" x14ac:dyDescent="0.35">
      <c r="R133" s="59"/>
    </row>
    <row r="134" spans="18:18" x14ac:dyDescent="0.35">
      <c r="R134" s="59"/>
    </row>
    <row r="135" spans="18:18" x14ac:dyDescent="0.35">
      <c r="R135" s="59"/>
    </row>
    <row r="136" spans="18:18" x14ac:dyDescent="0.35">
      <c r="R136" s="59"/>
    </row>
    <row r="137" spans="18:18" x14ac:dyDescent="0.35">
      <c r="R137" s="59"/>
    </row>
    <row r="138" spans="18:18" x14ac:dyDescent="0.35">
      <c r="R138" s="59"/>
    </row>
    <row r="139" spans="18:18" x14ac:dyDescent="0.35">
      <c r="R139" s="59"/>
    </row>
    <row r="140" spans="18:18" x14ac:dyDescent="0.35">
      <c r="R140" s="59"/>
    </row>
    <row r="141" spans="18:18" x14ac:dyDescent="0.35">
      <c r="R141" s="59"/>
    </row>
    <row r="142" spans="18:18" x14ac:dyDescent="0.35">
      <c r="R142" s="59"/>
    </row>
    <row r="143" spans="18:18" x14ac:dyDescent="0.35">
      <c r="R143" s="59"/>
    </row>
    <row r="144" spans="18:18" x14ac:dyDescent="0.35">
      <c r="R144" s="59"/>
    </row>
    <row r="145" spans="18:18" x14ac:dyDescent="0.35">
      <c r="R145" s="59"/>
    </row>
    <row r="146" spans="18:18" x14ac:dyDescent="0.35">
      <c r="R146" s="59"/>
    </row>
    <row r="147" spans="18:18" x14ac:dyDescent="0.35">
      <c r="R147" s="59"/>
    </row>
    <row r="148" spans="18:18" x14ac:dyDescent="0.35">
      <c r="R148" s="59"/>
    </row>
    <row r="149" spans="18:18" x14ac:dyDescent="0.35">
      <c r="R149" s="59"/>
    </row>
    <row r="150" spans="18:18" x14ac:dyDescent="0.35">
      <c r="R150" s="59"/>
    </row>
    <row r="151" spans="18:18" x14ac:dyDescent="0.35">
      <c r="R151" s="59"/>
    </row>
    <row r="152" spans="18:18" x14ac:dyDescent="0.35">
      <c r="R152" s="59"/>
    </row>
    <row r="153" spans="18:18" x14ac:dyDescent="0.35">
      <c r="R153" s="59"/>
    </row>
    <row r="154" spans="18:18" x14ac:dyDescent="0.35">
      <c r="R154" s="59"/>
    </row>
    <row r="155" spans="18:18" x14ac:dyDescent="0.35">
      <c r="R155" s="59"/>
    </row>
    <row r="156" spans="18:18" x14ac:dyDescent="0.35">
      <c r="R156" s="59"/>
    </row>
    <row r="157" spans="18:18" x14ac:dyDescent="0.35">
      <c r="R157" s="59"/>
    </row>
    <row r="158" spans="18:18" x14ac:dyDescent="0.35">
      <c r="R158" s="59"/>
    </row>
    <row r="159" spans="18:18" x14ac:dyDescent="0.35">
      <c r="R159" s="59"/>
    </row>
    <row r="160" spans="18:18" x14ac:dyDescent="0.35">
      <c r="R160" s="59"/>
    </row>
    <row r="161" spans="18:18" x14ac:dyDescent="0.35">
      <c r="R161" s="59"/>
    </row>
    <row r="162" spans="18:18" x14ac:dyDescent="0.35">
      <c r="R162" s="59"/>
    </row>
    <row r="163" spans="18:18" x14ac:dyDescent="0.35">
      <c r="R163" s="59"/>
    </row>
    <row r="164" spans="18:18" x14ac:dyDescent="0.35">
      <c r="R164" s="59"/>
    </row>
    <row r="165" spans="18:18" x14ac:dyDescent="0.35">
      <c r="R165" s="59"/>
    </row>
    <row r="166" spans="18:18" x14ac:dyDescent="0.35">
      <c r="R166" s="59"/>
    </row>
    <row r="167" spans="18:18" x14ac:dyDescent="0.35">
      <c r="R167" s="59"/>
    </row>
    <row r="168" spans="18:18" x14ac:dyDescent="0.35">
      <c r="R168" s="59"/>
    </row>
    <row r="169" spans="18:18" x14ac:dyDescent="0.35">
      <c r="R169" s="59"/>
    </row>
    <row r="170" spans="18:18" x14ac:dyDescent="0.35">
      <c r="R170" s="59"/>
    </row>
    <row r="171" spans="18:18" x14ac:dyDescent="0.35">
      <c r="R171" s="59"/>
    </row>
    <row r="172" spans="18:18" x14ac:dyDescent="0.35">
      <c r="R172" s="59"/>
    </row>
    <row r="173" spans="18:18" x14ac:dyDescent="0.35">
      <c r="R173" s="59"/>
    </row>
    <row r="174" spans="18:18" x14ac:dyDescent="0.35">
      <c r="R174" s="59"/>
    </row>
    <row r="175" spans="18:18" x14ac:dyDescent="0.35">
      <c r="R175" s="59"/>
    </row>
    <row r="176" spans="18:18" x14ac:dyDescent="0.35">
      <c r="R176" s="59"/>
    </row>
    <row r="177" spans="18:18" x14ac:dyDescent="0.35">
      <c r="R177" s="59"/>
    </row>
    <row r="178" spans="18:18" x14ac:dyDescent="0.35">
      <c r="R178" s="59"/>
    </row>
    <row r="179" spans="18:18" x14ac:dyDescent="0.35">
      <c r="R179" s="59"/>
    </row>
    <row r="180" spans="18:18" x14ac:dyDescent="0.35">
      <c r="R180" s="59"/>
    </row>
    <row r="181" spans="18:18" x14ac:dyDescent="0.35">
      <c r="R181" s="59"/>
    </row>
    <row r="182" spans="18:18" x14ac:dyDescent="0.35">
      <c r="R182" s="59"/>
    </row>
    <row r="183" spans="18:18" x14ac:dyDescent="0.35">
      <c r="R183" s="59"/>
    </row>
    <row r="184" spans="18:18" x14ac:dyDescent="0.35">
      <c r="R184" s="59"/>
    </row>
    <row r="185" spans="18:18" x14ac:dyDescent="0.35">
      <c r="R185" s="59"/>
    </row>
    <row r="186" spans="18:18" x14ac:dyDescent="0.35">
      <c r="R186" s="59"/>
    </row>
    <row r="187" spans="18:18" x14ac:dyDescent="0.35">
      <c r="R187" s="59"/>
    </row>
    <row r="188" spans="18:18" x14ac:dyDescent="0.35">
      <c r="R188" s="59"/>
    </row>
    <row r="189" spans="18:18" x14ac:dyDescent="0.35">
      <c r="R189" s="59"/>
    </row>
    <row r="190" spans="18:18" x14ac:dyDescent="0.35">
      <c r="R190" s="59"/>
    </row>
    <row r="191" spans="18:18" x14ac:dyDescent="0.35">
      <c r="R191" s="59"/>
    </row>
    <row r="192" spans="18:18" x14ac:dyDescent="0.35">
      <c r="R192" s="59"/>
    </row>
    <row r="193" spans="18:18" x14ac:dyDescent="0.35">
      <c r="R193" s="59"/>
    </row>
    <row r="194" spans="18:18" x14ac:dyDescent="0.35">
      <c r="R194" s="59"/>
    </row>
    <row r="195" spans="18:18" x14ac:dyDescent="0.35">
      <c r="R195" s="59"/>
    </row>
    <row r="196" spans="18:18" x14ac:dyDescent="0.35">
      <c r="R196" s="59"/>
    </row>
    <row r="197" spans="18:18" x14ac:dyDescent="0.35">
      <c r="R197" s="59"/>
    </row>
    <row r="198" spans="18:18" x14ac:dyDescent="0.35">
      <c r="R198" s="59"/>
    </row>
    <row r="199" spans="18:18" x14ac:dyDescent="0.35">
      <c r="R199" s="59"/>
    </row>
    <row r="200" spans="18:18" x14ac:dyDescent="0.35">
      <c r="R200" s="59"/>
    </row>
    <row r="201" spans="18:18" x14ac:dyDescent="0.35">
      <c r="R201" s="59"/>
    </row>
    <row r="202" spans="18:18" x14ac:dyDescent="0.35">
      <c r="R202" s="59"/>
    </row>
    <row r="203" spans="18:18" x14ac:dyDescent="0.35">
      <c r="R203" s="59"/>
    </row>
    <row r="204" spans="18:18" x14ac:dyDescent="0.35">
      <c r="R204" s="59"/>
    </row>
    <row r="205" spans="18:18" x14ac:dyDescent="0.35">
      <c r="R205" s="59"/>
    </row>
    <row r="206" spans="18:18" x14ac:dyDescent="0.35">
      <c r="R206" s="59"/>
    </row>
    <row r="207" spans="18:18" x14ac:dyDescent="0.35">
      <c r="R207" s="59"/>
    </row>
    <row r="208" spans="18:18" x14ac:dyDescent="0.35">
      <c r="R208" s="59"/>
    </row>
    <row r="209" spans="18:18" x14ac:dyDescent="0.35">
      <c r="R209" s="59"/>
    </row>
    <row r="210" spans="18:18" x14ac:dyDescent="0.35">
      <c r="R210" s="59"/>
    </row>
    <row r="211" spans="18:18" x14ac:dyDescent="0.35">
      <c r="R211" s="59"/>
    </row>
    <row r="212" spans="18:18" x14ac:dyDescent="0.35">
      <c r="R212" s="59"/>
    </row>
    <row r="213" spans="18:18" x14ac:dyDescent="0.35">
      <c r="R213" s="59"/>
    </row>
    <row r="214" spans="18:18" x14ac:dyDescent="0.35">
      <c r="R214" s="59"/>
    </row>
    <row r="215" spans="18:18" x14ac:dyDescent="0.35">
      <c r="R215" s="59"/>
    </row>
    <row r="216" spans="18:18" x14ac:dyDescent="0.35">
      <c r="R216" s="59"/>
    </row>
    <row r="217" spans="18:18" x14ac:dyDescent="0.35">
      <c r="R217" s="59"/>
    </row>
    <row r="218" spans="18:18" x14ac:dyDescent="0.35">
      <c r="R218" s="59"/>
    </row>
    <row r="219" spans="18:18" x14ac:dyDescent="0.35">
      <c r="R219" s="59"/>
    </row>
    <row r="220" spans="18:18" x14ac:dyDescent="0.35">
      <c r="R220" s="59"/>
    </row>
    <row r="221" spans="18:18" x14ac:dyDescent="0.35">
      <c r="R221" s="59"/>
    </row>
    <row r="222" spans="18:18" x14ac:dyDescent="0.35">
      <c r="R222" s="59"/>
    </row>
    <row r="223" spans="18:18" x14ac:dyDescent="0.35">
      <c r="R223" s="59"/>
    </row>
    <row r="224" spans="18:18" x14ac:dyDescent="0.35">
      <c r="R224" s="59"/>
    </row>
    <row r="225" spans="18:18" x14ac:dyDescent="0.35">
      <c r="R225" s="59"/>
    </row>
    <row r="226" spans="18:18" x14ac:dyDescent="0.35">
      <c r="R226" s="59"/>
    </row>
    <row r="227" spans="18:18" x14ac:dyDescent="0.35">
      <c r="R227" s="59"/>
    </row>
    <row r="228" spans="18:18" x14ac:dyDescent="0.35">
      <c r="R228" s="59"/>
    </row>
    <row r="229" spans="18:18" x14ac:dyDescent="0.35">
      <c r="R229" s="59"/>
    </row>
    <row r="230" spans="18:18" x14ac:dyDescent="0.35">
      <c r="R230" s="59"/>
    </row>
    <row r="231" spans="18:18" x14ac:dyDescent="0.35">
      <c r="R231" s="59"/>
    </row>
    <row r="232" spans="18:18" x14ac:dyDescent="0.35">
      <c r="R232" s="59"/>
    </row>
    <row r="233" spans="18:18" x14ac:dyDescent="0.35">
      <c r="R233" s="59"/>
    </row>
    <row r="234" spans="18:18" x14ac:dyDescent="0.35">
      <c r="R234" s="59"/>
    </row>
    <row r="235" spans="18:18" x14ac:dyDescent="0.35">
      <c r="R235" s="59"/>
    </row>
    <row r="236" spans="18:18" x14ac:dyDescent="0.35">
      <c r="R236" s="59"/>
    </row>
    <row r="237" spans="18:18" x14ac:dyDescent="0.35">
      <c r="R237" s="59"/>
    </row>
    <row r="238" spans="18:18" x14ac:dyDescent="0.35">
      <c r="R238" s="59"/>
    </row>
    <row r="239" spans="18:18" x14ac:dyDescent="0.35">
      <c r="R239" s="59"/>
    </row>
    <row r="240" spans="18:18" x14ac:dyDescent="0.35">
      <c r="R240" s="59"/>
    </row>
    <row r="241" spans="18:18" x14ac:dyDescent="0.35">
      <c r="R241" s="59"/>
    </row>
    <row r="242" spans="18:18" x14ac:dyDescent="0.35">
      <c r="R242" s="59"/>
    </row>
    <row r="243" spans="18:18" x14ac:dyDescent="0.35">
      <c r="R243" s="59"/>
    </row>
    <row r="244" spans="18:18" x14ac:dyDescent="0.35">
      <c r="R244" s="59"/>
    </row>
    <row r="245" spans="18:18" x14ac:dyDescent="0.35">
      <c r="R245" s="59"/>
    </row>
    <row r="246" spans="18:18" x14ac:dyDescent="0.35">
      <c r="R246" s="59"/>
    </row>
    <row r="247" spans="18:18" x14ac:dyDescent="0.35">
      <c r="R247" s="59"/>
    </row>
    <row r="248" spans="18:18" x14ac:dyDescent="0.35">
      <c r="R248" s="59"/>
    </row>
    <row r="249" spans="18:18" x14ac:dyDescent="0.35">
      <c r="R249" s="59"/>
    </row>
    <row r="250" spans="18:18" x14ac:dyDescent="0.35">
      <c r="R250" s="59"/>
    </row>
    <row r="251" spans="18:18" x14ac:dyDescent="0.35">
      <c r="R251" s="59"/>
    </row>
    <row r="252" spans="18:18" x14ac:dyDescent="0.35">
      <c r="R252" s="59"/>
    </row>
    <row r="253" spans="18:18" x14ac:dyDescent="0.35">
      <c r="R253" s="59"/>
    </row>
    <row r="254" spans="18:18" x14ac:dyDescent="0.35">
      <c r="R254" s="59"/>
    </row>
    <row r="255" spans="18:18" x14ac:dyDescent="0.35">
      <c r="R255" s="59"/>
    </row>
    <row r="256" spans="18:18" x14ac:dyDescent="0.35">
      <c r="R256" s="59"/>
    </row>
    <row r="257" spans="18:18" x14ac:dyDescent="0.35">
      <c r="R257" s="59"/>
    </row>
    <row r="258" spans="18:18" x14ac:dyDescent="0.35">
      <c r="R258" s="59"/>
    </row>
    <row r="259" spans="18:18" x14ac:dyDescent="0.35">
      <c r="R259" s="59"/>
    </row>
    <row r="260" spans="18:18" x14ac:dyDescent="0.35">
      <c r="R260" s="59"/>
    </row>
    <row r="261" spans="18:18" x14ac:dyDescent="0.35">
      <c r="R261" s="59"/>
    </row>
    <row r="262" spans="18:18" x14ac:dyDescent="0.35">
      <c r="R262" s="59"/>
    </row>
    <row r="263" spans="18:18" x14ac:dyDescent="0.35">
      <c r="R263" s="59"/>
    </row>
    <row r="264" spans="18:18" x14ac:dyDescent="0.35">
      <c r="R264" s="59"/>
    </row>
    <row r="265" spans="18:18" x14ac:dyDescent="0.35">
      <c r="R265" s="59"/>
    </row>
    <row r="266" spans="18:18" x14ac:dyDescent="0.35">
      <c r="R266" s="59"/>
    </row>
    <row r="267" spans="18:18" x14ac:dyDescent="0.35">
      <c r="R267" s="59"/>
    </row>
    <row r="268" spans="18:18" x14ac:dyDescent="0.35">
      <c r="R268" s="59"/>
    </row>
    <row r="269" spans="18:18" x14ac:dyDescent="0.35">
      <c r="R269" s="59"/>
    </row>
    <row r="270" spans="18:18" x14ac:dyDescent="0.35">
      <c r="R270" s="59"/>
    </row>
    <row r="271" spans="18:18" x14ac:dyDescent="0.35">
      <c r="R271" s="59"/>
    </row>
    <row r="272" spans="18:18" x14ac:dyDescent="0.35">
      <c r="R272" s="59"/>
    </row>
    <row r="273" spans="18:18" x14ac:dyDescent="0.35">
      <c r="R273" s="59"/>
    </row>
    <row r="274" spans="18:18" x14ac:dyDescent="0.35">
      <c r="R274" s="59"/>
    </row>
    <row r="275" spans="18:18" x14ac:dyDescent="0.35">
      <c r="R275" s="59"/>
    </row>
    <row r="276" spans="18:18" x14ac:dyDescent="0.35">
      <c r="R276" s="59"/>
    </row>
    <row r="277" spans="18:18" x14ac:dyDescent="0.35">
      <c r="R277" s="59"/>
    </row>
    <row r="278" spans="18:18" x14ac:dyDescent="0.35">
      <c r="R278" s="59"/>
    </row>
    <row r="279" spans="18:18" x14ac:dyDescent="0.35">
      <c r="R279" s="59"/>
    </row>
    <row r="280" spans="18:18" x14ac:dyDescent="0.35">
      <c r="R280" s="59"/>
    </row>
    <row r="281" spans="18:18" x14ac:dyDescent="0.35">
      <c r="R281" s="59"/>
    </row>
    <row r="282" spans="18:18" x14ac:dyDescent="0.35">
      <c r="R282" s="59"/>
    </row>
    <row r="283" spans="18:18" x14ac:dyDescent="0.35">
      <c r="R283" s="59"/>
    </row>
    <row r="284" spans="18:18" x14ac:dyDescent="0.35">
      <c r="R284" s="59"/>
    </row>
    <row r="285" spans="18:18" x14ac:dyDescent="0.35">
      <c r="R285" s="59"/>
    </row>
    <row r="286" spans="18:18" x14ac:dyDescent="0.35">
      <c r="R286" s="59"/>
    </row>
    <row r="287" spans="18:18" x14ac:dyDescent="0.35">
      <c r="R287" s="59"/>
    </row>
    <row r="288" spans="18:18" x14ac:dyDescent="0.35">
      <c r="R288" s="59"/>
    </row>
    <row r="289" spans="18:18" x14ac:dyDescent="0.35">
      <c r="R289" s="59"/>
    </row>
    <row r="290" spans="18:18" x14ac:dyDescent="0.35">
      <c r="R290" s="59"/>
    </row>
    <row r="291" spans="18:18" x14ac:dyDescent="0.35">
      <c r="R291" s="59"/>
    </row>
    <row r="292" spans="18:18" x14ac:dyDescent="0.35">
      <c r="R292" s="59"/>
    </row>
    <row r="293" spans="18:18" x14ac:dyDescent="0.35">
      <c r="R293" s="59"/>
    </row>
    <row r="294" spans="18:18" x14ac:dyDescent="0.35">
      <c r="R294" s="59"/>
    </row>
    <row r="295" spans="18:18" x14ac:dyDescent="0.35">
      <c r="R295" s="59"/>
    </row>
    <row r="296" spans="18:18" x14ac:dyDescent="0.35">
      <c r="R296" s="59"/>
    </row>
    <row r="297" spans="18:18" x14ac:dyDescent="0.35">
      <c r="R297" s="59"/>
    </row>
    <row r="298" spans="18:18" x14ac:dyDescent="0.35">
      <c r="R298" s="59"/>
    </row>
    <row r="299" spans="18:18" x14ac:dyDescent="0.35">
      <c r="R299" s="59"/>
    </row>
    <row r="300" spans="18:18" x14ac:dyDescent="0.35">
      <c r="R300" s="59"/>
    </row>
    <row r="301" spans="18:18" x14ac:dyDescent="0.35">
      <c r="R301" s="59"/>
    </row>
    <row r="302" spans="18:18" x14ac:dyDescent="0.35">
      <c r="R302" s="59"/>
    </row>
    <row r="303" spans="18:18" x14ac:dyDescent="0.35">
      <c r="R303" s="59"/>
    </row>
    <row r="304" spans="18:18" x14ac:dyDescent="0.35">
      <c r="R304" s="59"/>
    </row>
    <row r="305" spans="18:18" x14ac:dyDescent="0.35">
      <c r="R305" s="59"/>
    </row>
    <row r="306" spans="18:18" x14ac:dyDescent="0.35">
      <c r="R306" s="59"/>
    </row>
    <row r="307" spans="18:18" x14ac:dyDescent="0.35">
      <c r="R307" s="59"/>
    </row>
    <row r="308" spans="18:18" x14ac:dyDescent="0.35">
      <c r="R308" s="59"/>
    </row>
    <row r="309" spans="18:18" x14ac:dyDescent="0.35">
      <c r="R309" s="59"/>
    </row>
    <row r="310" spans="18:18" x14ac:dyDescent="0.35">
      <c r="R310" s="59"/>
    </row>
    <row r="311" spans="18:18" x14ac:dyDescent="0.35">
      <c r="R311" s="59"/>
    </row>
    <row r="312" spans="18:18" x14ac:dyDescent="0.35">
      <c r="R312" s="59"/>
    </row>
    <row r="313" spans="18:18" x14ac:dyDescent="0.35">
      <c r="R313" s="59"/>
    </row>
    <row r="314" spans="18:18" x14ac:dyDescent="0.35">
      <c r="R314" s="59"/>
    </row>
    <row r="315" spans="18:18" x14ac:dyDescent="0.35">
      <c r="R315" s="59"/>
    </row>
    <row r="316" spans="18:18" x14ac:dyDescent="0.35">
      <c r="R316" s="59"/>
    </row>
    <row r="317" spans="18:18" x14ac:dyDescent="0.35">
      <c r="R317" s="59"/>
    </row>
    <row r="318" spans="18:18" x14ac:dyDescent="0.35">
      <c r="R318" s="59"/>
    </row>
    <row r="319" spans="18:18" x14ac:dyDescent="0.35">
      <c r="R319" s="59"/>
    </row>
    <row r="320" spans="18:18" x14ac:dyDescent="0.35">
      <c r="R320" s="59"/>
    </row>
    <row r="321" spans="18:18" x14ac:dyDescent="0.35">
      <c r="R321" s="59"/>
    </row>
    <row r="322" spans="18:18" x14ac:dyDescent="0.35">
      <c r="R322" s="59"/>
    </row>
    <row r="323" spans="18:18" x14ac:dyDescent="0.35">
      <c r="R323" s="59"/>
    </row>
    <row r="324" spans="18:18" x14ac:dyDescent="0.35">
      <c r="R324" s="59"/>
    </row>
    <row r="325" spans="18:18" x14ac:dyDescent="0.35">
      <c r="R325" s="59"/>
    </row>
    <row r="326" spans="18:18" x14ac:dyDescent="0.35">
      <c r="R326" s="59"/>
    </row>
    <row r="327" spans="18:18" x14ac:dyDescent="0.35">
      <c r="R327" s="59"/>
    </row>
    <row r="328" spans="18:18" x14ac:dyDescent="0.35">
      <c r="R328" s="59"/>
    </row>
    <row r="329" spans="18:18" x14ac:dyDescent="0.35">
      <c r="R329" s="59"/>
    </row>
    <row r="330" spans="18:18" x14ac:dyDescent="0.35">
      <c r="R330" s="59"/>
    </row>
    <row r="331" spans="18:18" x14ac:dyDescent="0.35">
      <c r="R331" s="59"/>
    </row>
    <row r="332" spans="18:18" x14ac:dyDescent="0.35">
      <c r="R332" s="59"/>
    </row>
    <row r="333" spans="18:18" x14ac:dyDescent="0.35">
      <c r="R333" s="59"/>
    </row>
    <row r="334" spans="18:18" x14ac:dyDescent="0.35">
      <c r="R334" s="59"/>
    </row>
    <row r="335" spans="18:18" x14ac:dyDescent="0.35">
      <c r="R335" s="59"/>
    </row>
    <row r="336" spans="18:18" x14ac:dyDescent="0.35">
      <c r="R336" s="59"/>
    </row>
    <row r="337" spans="18:18" x14ac:dyDescent="0.35">
      <c r="R337" s="59"/>
    </row>
    <row r="338" spans="18:18" x14ac:dyDescent="0.35">
      <c r="R338" s="59"/>
    </row>
    <row r="339" spans="18:18" x14ac:dyDescent="0.35">
      <c r="R339" s="59"/>
    </row>
    <row r="340" spans="18:18" x14ac:dyDescent="0.35">
      <c r="R340" s="59"/>
    </row>
    <row r="341" spans="18:18" x14ac:dyDescent="0.35">
      <c r="R341" s="59"/>
    </row>
    <row r="342" spans="18:18" x14ac:dyDescent="0.35">
      <c r="R342" s="59"/>
    </row>
    <row r="343" spans="18:18" x14ac:dyDescent="0.35">
      <c r="R343" s="59"/>
    </row>
    <row r="344" spans="18:18" x14ac:dyDescent="0.35">
      <c r="R344" s="59"/>
    </row>
    <row r="345" spans="18:18" x14ac:dyDescent="0.35">
      <c r="R345" s="59"/>
    </row>
    <row r="346" spans="18:18" x14ac:dyDescent="0.35">
      <c r="R346" s="59"/>
    </row>
    <row r="347" spans="18:18" x14ac:dyDescent="0.35">
      <c r="R347" s="59"/>
    </row>
    <row r="348" spans="18:18" x14ac:dyDescent="0.35">
      <c r="R348" s="59"/>
    </row>
    <row r="349" spans="18:18" x14ac:dyDescent="0.35">
      <c r="R349" s="59"/>
    </row>
    <row r="350" spans="18:18" x14ac:dyDescent="0.35">
      <c r="R350" s="59"/>
    </row>
    <row r="351" spans="18:18" x14ac:dyDescent="0.35">
      <c r="R351" s="59"/>
    </row>
    <row r="352" spans="18:18" x14ac:dyDescent="0.35">
      <c r="R352" s="59"/>
    </row>
    <row r="353" spans="18:18" x14ac:dyDescent="0.35">
      <c r="R353" s="59"/>
    </row>
    <row r="354" spans="18:18" x14ac:dyDescent="0.35">
      <c r="R354" s="59"/>
    </row>
    <row r="355" spans="18:18" x14ac:dyDescent="0.35">
      <c r="R355" s="59"/>
    </row>
    <row r="356" spans="18:18" x14ac:dyDescent="0.35">
      <c r="R356" s="59"/>
    </row>
    <row r="357" spans="18:18" x14ac:dyDescent="0.35">
      <c r="R357" s="59"/>
    </row>
    <row r="358" spans="18:18" x14ac:dyDescent="0.35">
      <c r="R358" s="59"/>
    </row>
    <row r="359" spans="18:18" x14ac:dyDescent="0.35">
      <c r="R359" s="59"/>
    </row>
    <row r="360" spans="18:18" x14ac:dyDescent="0.35">
      <c r="R360" s="59"/>
    </row>
    <row r="361" spans="18:18" x14ac:dyDescent="0.35">
      <c r="R361" s="59"/>
    </row>
    <row r="362" spans="18:18" x14ac:dyDescent="0.35">
      <c r="R362" s="59"/>
    </row>
    <row r="363" spans="18:18" x14ac:dyDescent="0.35">
      <c r="R363" s="59"/>
    </row>
    <row r="364" spans="18:18" x14ac:dyDescent="0.35">
      <c r="R364" s="59"/>
    </row>
    <row r="365" spans="18:18" x14ac:dyDescent="0.35">
      <c r="R365" s="59"/>
    </row>
    <row r="366" spans="18:18" x14ac:dyDescent="0.35">
      <c r="R366" s="59"/>
    </row>
    <row r="367" spans="18:18" x14ac:dyDescent="0.35">
      <c r="R367" s="59"/>
    </row>
    <row r="368" spans="18:18" x14ac:dyDescent="0.35">
      <c r="R368" s="59"/>
    </row>
    <row r="369" spans="18:18" x14ac:dyDescent="0.35">
      <c r="R369" s="59"/>
    </row>
    <row r="370" spans="18:18" x14ac:dyDescent="0.35">
      <c r="R370" s="59"/>
    </row>
    <row r="371" spans="18:18" x14ac:dyDescent="0.35">
      <c r="R371" s="59"/>
    </row>
    <row r="372" spans="18:18" x14ac:dyDescent="0.35">
      <c r="R372" s="59"/>
    </row>
    <row r="373" spans="18:18" x14ac:dyDescent="0.35">
      <c r="R373" s="59"/>
    </row>
    <row r="374" spans="18:18" x14ac:dyDescent="0.35">
      <c r="R374" s="59"/>
    </row>
    <row r="375" spans="18:18" x14ac:dyDescent="0.35">
      <c r="R375" s="59"/>
    </row>
    <row r="376" spans="18:18" x14ac:dyDescent="0.35">
      <c r="R376" s="59"/>
    </row>
    <row r="377" spans="18:18" x14ac:dyDescent="0.35">
      <c r="R377" s="59"/>
    </row>
    <row r="378" spans="18:18" x14ac:dyDescent="0.35">
      <c r="R378" s="59"/>
    </row>
    <row r="379" spans="18:18" x14ac:dyDescent="0.35">
      <c r="R379" s="59"/>
    </row>
    <row r="380" spans="18:18" x14ac:dyDescent="0.35">
      <c r="R380" s="59"/>
    </row>
    <row r="381" spans="18:18" x14ac:dyDescent="0.35">
      <c r="R381" s="59"/>
    </row>
    <row r="382" spans="18:18" x14ac:dyDescent="0.35">
      <c r="R382" s="59"/>
    </row>
    <row r="383" spans="18:18" x14ac:dyDescent="0.35">
      <c r="R383" s="59"/>
    </row>
    <row r="384" spans="18:18" x14ac:dyDescent="0.35">
      <c r="R384" s="59"/>
    </row>
    <row r="385" spans="18:18" x14ac:dyDescent="0.35">
      <c r="R385" s="59"/>
    </row>
    <row r="386" spans="18:18" x14ac:dyDescent="0.35">
      <c r="R386" s="59"/>
    </row>
    <row r="387" spans="18:18" x14ac:dyDescent="0.35">
      <c r="R387" s="59"/>
    </row>
    <row r="388" spans="18:18" x14ac:dyDescent="0.35">
      <c r="R388" s="59"/>
    </row>
    <row r="389" spans="18:18" x14ac:dyDescent="0.35">
      <c r="R389" s="59"/>
    </row>
    <row r="390" spans="18:18" x14ac:dyDescent="0.35">
      <c r="R390" s="59"/>
    </row>
    <row r="391" spans="18:18" x14ac:dyDescent="0.35">
      <c r="R391" s="59"/>
    </row>
    <row r="392" spans="18:18" x14ac:dyDescent="0.35">
      <c r="R392" s="59"/>
    </row>
    <row r="393" spans="18:18" x14ac:dyDescent="0.35">
      <c r="R393" s="59"/>
    </row>
    <row r="394" spans="18:18" x14ac:dyDescent="0.35">
      <c r="R394" s="59"/>
    </row>
    <row r="395" spans="18:18" x14ac:dyDescent="0.35">
      <c r="R395" s="59"/>
    </row>
    <row r="396" spans="18:18" x14ac:dyDescent="0.35">
      <c r="R396" s="59"/>
    </row>
    <row r="397" spans="18:18" x14ac:dyDescent="0.35">
      <c r="R397" s="59"/>
    </row>
    <row r="398" spans="18:18" x14ac:dyDescent="0.35">
      <c r="R398" s="59"/>
    </row>
    <row r="399" spans="18:18" x14ac:dyDescent="0.35">
      <c r="R399" s="59"/>
    </row>
    <row r="400" spans="18:18" x14ac:dyDescent="0.35">
      <c r="R400" s="59"/>
    </row>
    <row r="401" spans="18:18" x14ac:dyDescent="0.35">
      <c r="R401" s="59"/>
    </row>
    <row r="402" spans="18:18" x14ac:dyDescent="0.35">
      <c r="R402" s="59"/>
    </row>
    <row r="403" spans="18:18" x14ac:dyDescent="0.35">
      <c r="R403" s="59"/>
    </row>
    <row r="404" spans="18:18" x14ac:dyDescent="0.35">
      <c r="R404" s="59"/>
    </row>
    <row r="405" spans="18:18" x14ac:dyDescent="0.35">
      <c r="R405" s="59"/>
    </row>
    <row r="406" spans="18:18" x14ac:dyDescent="0.35">
      <c r="R406" s="59"/>
    </row>
    <row r="407" spans="18:18" x14ac:dyDescent="0.35">
      <c r="R407" s="59"/>
    </row>
    <row r="408" spans="18:18" x14ac:dyDescent="0.35">
      <c r="R408" s="59"/>
    </row>
    <row r="409" spans="18:18" x14ac:dyDescent="0.35">
      <c r="R409" s="59"/>
    </row>
    <row r="410" spans="18:18" x14ac:dyDescent="0.35">
      <c r="R410" s="59"/>
    </row>
    <row r="411" spans="18:18" x14ac:dyDescent="0.35">
      <c r="R411" s="59"/>
    </row>
    <row r="412" spans="18:18" x14ac:dyDescent="0.35">
      <c r="R412" s="59"/>
    </row>
    <row r="413" spans="18:18" x14ac:dyDescent="0.35">
      <c r="R413" s="59"/>
    </row>
    <row r="414" spans="18:18" x14ac:dyDescent="0.35">
      <c r="R414" s="59"/>
    </row>
    <row r="415" spans="18:18" x14ac:dyDescent="0.35">
      <c r="R415" s="59"/>
    </row>
    <row r="416" spans="18:18" x14ac:dyDescent="0.35">
      <c r="R416" s="59"/>
    </row>
    <row r="417" spans="18:18" x14ac:dyDescent="0.35">
      <c r="R417" s="59"/>
    </row>
    <row r="418" spans="18:18" x14ac:dyDescent="0.35">
      <c r="R418" s="59"/>
    </row>
    <row r="419" spans="18:18" x14ac:dyDescent="0.35">
      <c r="R419" s="59"/>
    </row>
    <row r="420" spans="18:18" x14ac:dyDescent="0.35">
      <c r="R420" s="59"/>
    </row>
    <row r="421" spans="18:18" x14ac:dyDescent="0.35">
      <c r="R421" s="59"/>
    </row>
    <row r="422" spans="18:18" x14ac:dyDescent="0.35">
      <c r="R422" s="59"/>
    </row>
    <row r="423" spans="18:18" x14ac:dyDescent="0.35">
      <c r="R423" s="59"/>
    </row>
    <row r="424" spans="18:18" x14ac:dyDescent="0.35">
      <c r="R424" s="59"/>
    </row>
    <row r="425" spans="18:18" x14ac:dyDescent="0.35">
      <c r="R425" s="59"/>
    </row>
    <row r="426" spans="18:18" x14ac:dyDescent="0.35">
      <c r="R426" s="59"/>
    </row>
    <row r="427" spans="18:18" x14ac:dyDescent="0.35">
      <c r="R427" s="59"/>
    </row>
    <row r="428" spans="18:18" x14ac:dyDescent="0.35">
      <c r="R428" s="59"/>
    </row>
    <row r="429" spans="18:18" x14ac:dyDescent="0.35">
      <c r="R429" s="59"/>
    </row>
    <row r="430" spans="18:18" x14ac:dyDescent="0.35">
      <c r="R430" s="59"/>
    </row>
    <row r="431" spans="18:18" x14ac:dyDescent="0.35">
      <c r="R431" s="59"/>
    </row>
    <row r="432" spans="18:18" x14ac:dyDescent="0.35">
      <c r="R432" s="59"/>
    </row>
    <row r="433" spans="18:18" x14ac:dyDescent="0.35">
      <c r="R433" s="59"/>
    </row>
    <row r="434" spans="18:18" x14ac:dyDescent="0.35">
      <c r="R434" s="59"/>
    </row>
    <row r="435" spans="18:18" x14ac:dyDescent="0.35">
      <c r="R435" s="59"/>
    </row>
    <row r="436" spans="18:18" x14ac:dyDescent="0.35">
      <c r="R436" s="59"/>
    </row>
    <row r="437" spans="18:18" x14ac:dyDescent="0.35">
      <c r="R437" s="59"/>
    </row>
    <row r="438" spans="18:18" x14ac:dyDescent="0.35">
      <c r="R438" s="59"/>
    </row>
    <row r="439" spans="18:18" x14ac:dyDescent="0.35">
      <c r="R439" s="59"/>
    </row>
    <row r="440" spans="18:18" x14ac:dyDescent="0.35">
      <c r="R440" s="59"/>
    </row>
    <row r="441" spans="18:18" x14ac:dyDescent="0.35">
      <c r="R441" s="59"/>
    </row>
    <row r="442" spans="18:18" x14ac:dyDescent="0.35">
      <c r="R442" s="59"/>
    </row>
    <row r="443" spans="18:18" x14ac:dyDescent="0.35">
      <c r="R443" s="59"/>
    </row>
    <row r="444" spans="18:18" x14ac:dyDescent="0.35">
      <c r="R444" s="59"/>
    </row>
    <row r="445" spans="18:18" x14ac:dyDescent="0.35">
      <c r="R445" s="59"/>
    </row>
    <row r="446" spans="18:18" x14ac:dyDescent="0.35">
      <c r="R446" s="59"/>
    </row>
    <row r="447" spans="18:18" x14ac:dyDescent="0.35">
      <c r="R447" s="59"/>
    </row>
    <row r="448" spans="18:18" x14ac:dyDescent="0.35">
      <c r="R448" s="59"/>
    </row>
    <row r="449" spans="18:18" x14ac:dyDescent="0.35">
      <c r="R449" s="59"/>
    </row>
    <row r="450" spans="18:18" x14ac:dyDescent="0.35">
      <c r="R450" s="59"/>
    </row>
    <row r="451" spans="18:18" x14ac:dyDescent="0.35">
      <c r="R451" s="59"/>
    </row>
    <row r="452" spans="18:18" x14ac:dyDescent="0.35">
      <c r="R452" s="59"/>
    </row>
    <row r="453" spans="18:18" x14ac:dyDescent="0.35">
      <c r="R453" s="59"/>
    </row>
    <row r="454" spans="18:18" x14ac:dyDescent="0.35">
      <c r="R454" s="59"/>
    </row>
    <row r="455" spans="18:18" x14ac:dyDescent="0.35">
      <c r="R455" s="59"/>
    </row>
    <row r="456" spans="18:18" x14ac:dyDescent="0.35">
      <c r="R456" s="59"/>
    </row>
    <row r="457" spans="18:18" x14ac:dyDescent="0.35">
      <c r="R457" s="59"/>
    </row>
    <row r="458" spans="18:18" x14ac:dyDescent="0.35">
      <c r="R458" s="59"/>
    </row>
    <row r="459" spans="18:18" x14ac:dyDescent="0.35">
      <c r="R459" s="59"/>
    </row>
    <row r="460" spans="18:18" x14ac:dyDescent="0.35">
      <c r="R460" s="59"/>
    </row>
    <row r="461" spans="18:18" x14ac:dyDescent="0.35">
      <c r="R461" s="59"/>
    </row>
    <row r="462" spans="18:18" x14ac:dyDescent="0.35">
      <c r="R462" s="59"/>
    </row>
    <row r="463" spans="18:18" x14ac:dyDescent="0.35">
      <c r="R463" s="59"/>
    </row>
    <row r="464" spans="18:18" x14ac:dyDescent="0.35">
      <c r="R464" s="59"/>
    </row>
    <row r="465" spans="18:18" x14ac:dyDescent="0.35">
      <c r="R465" s="59"/>
    </row>
    <row r="466" spans="18:18" x14ac:dyDescent="0.35">
      <c r="R466" s="59"/>
    </row>
    <row r="467" spans="18:18" x14ac:dyDescent="0.35">
      <c r="R467" s="59"/>
    </row>
    <row r="468" spans="18:18" x14ac:dyDescent="0.35">
      <c r="R468" s="59"/>
    </row>
    <row r="469" spans="18:18" x14ac:dyDescent="0.35">
      <c r="R469" s="59"/>
    </row>
    <row r="470" spans="18:18" x14ac:dyDescent="0.35">
      <c r="R470" s="59"/>
    </row>
    <row r="471" spans="18:18" x14ac:dyDescent="0.35">
      <c r="R471" s="59"/>
    </row>
    <row r="472" spans="18:18" x14ac:dyDescent="0.35">
      <c r="R472" s="59"/>
    </row>
    <row r="473" spans="18:18" x14ac:dyDescent="0.35">
      <c r="R473" s="59"/>
    </row>
    <row r="474" spans="18:18" x14ac:dyDescent="0.35">
      <c r="R474" s="59"/>
    </row>
    <row r="475" spans="18:18" x14ac:dyDescent="0.35">
      <c r="R475" s="59"/>
    </row>
    <row r="476" spans="18:18" x14ac:dyDescent="0.35">
      <c r="R476" s="59"/>
    </row>
    <row r="477" spans="18:18" x14ac:dyDescent="0.35">
      <c r="R477" s="59"/>
    </row>
    <row r="478" spans="18:18" x14ac:dyDescent="0.35">
      <c r="R478" s="59"/>
    </row>
    <row r="479" spans="18:18" x14ac:dyDescent="0.35">
      <c r="R479" s="59"/>
    </row>
    <row r="480" spans="18:18" x14ac:dyDescent="0.35">
      <c r="R480" s="59"/>
    </row>
    <row r="481" spans="18:18" x14ac:dyDescent="0.35">
      <c r="R481" s="59"/>
    </row>
    <row r="482" spans="18:18" x14ac:dyDescent="0.35">
      <c r="R482" s="59"/>
    </row>
    <row r="483" spans="18:18" x14ac:dyDescent="0.35">
      <c r="R483" s="59"/>
    </row>
    <row r="484" spans="18:18" x14ac:dyDescent="0.35">
      <c r="R484" s="59"/>
    </row>
    <row r="485" spans="18:18" x14ac:dyDescent="0.35">
      <c r="R485" s="59"/>
    </row>
    <row r="486" spans="18:18" x14ac:dyDescent="0.35">
      <c r="R486" s="59"/>
    </row>
    <row r="487" spans="18:18" x14ac:dyDescent="0.35">
      <c r="R487" s="59"/>
    </row>
    <row r="488" spans="18:18" x14ac:dyDescent="0.35">
      <c r="R488" s="59"/>
    </row>
    <row r="489" spans="18:18" x14ac:dyDescent="0.35">
      <c r="R489" s="59"/>
    </row>
    <row r="490" spans="18:18" x14ac:dyDescent="0.35">
      <c r="R490" s="59"/>
    </row>
    <row r="491" spans="18:18" x14ac:dyDescent="0.35">
      <c r="R491" s="59"/>
    </row>
    <row r="492" spans="18:18" x14ac:dyDescent="0.35">
      <c r="R492" s="59"/>
    </row>
    <row r="493" spans="18:18" x14ac:dyDescent="0.35">
      <c r="R493" s="59"/>
    </row>
    <row r="494" spans="18:18" x14ac:dyDescent="0.35">
      <c r="R494" s="59"/>
    </row>
    <row r="495" spans="18:18" x14ac:dyDescent="0.35">
      <c r="R495" s="59"/>
    </row>
    <row r="496" spans="18:18" x14ac:dyDescent="0.35">
      <c r="R496" s="59"/>
    </row>
    <row r="497" spans="18:18" x14ac:dyDescent="0.35">
      <c r="R497" s="59"/>
    </row>
    <row r="498" spans="18:18" x14ac:dyDescent="0.35">
      <c r="R498" s="59"/>
    </row>
    <row r="499" spans="18:18" x14ac:dyDescent="0.35">
      <c r="R499" s="59"/>
    </row>
    <row r="500" spans="18:18" x14ac:dyDescent="0.35">
      <c r="R500" s="59"/>
    </row>
    <row r="501" spans="18:18" x14ac:dyDescent="0.35">
      <c r="R501" s="59"/>
    </row>
    <row r="502" spans="18:18" x14ac:dyDescent="0.35">
      <c r="R502" s="59"/>
    </row>
    <row r="503" spans="18:18" x14ac:dyDescent="0.35">
      <c r="R503" s="59"/>
    </row>
    <row r="504" spans="18:18" x14ac:dyDescent="0.35">
      <c r="R504" s="59"/>
    </row>
    <row r="505" spans="18:18" x14ac:dyDescent="0.35">
      <c r="R505" s="59"/>
    </row>
    <row r="506" spans="18:18" x14ac:dyDescent="0.35">
      <c r="R506" s="59"/>
    </row>
    <row r="507" spans="18:18" x14ac:dyDescent="0.35">
      <c r="R507" s="59"/>
    </row>
    <row r="508" spans="18:18" x14ac:dyDescent="0.35">
      <c r="R508" s="59"/>
    </row>
    <row r="509" spans="18:18" x14ac:dyDescent="0.35">
      <c r="R509" s="59"/>
    </row>
    <row r="510" spans="18:18" x14ac:dyDescent="0.35">
      <c r="R510" s="59"/>
    </row>
    <row r="511" spans="18:18" x14ac:dyDescent="0.35">
      <c r="R511" s="59"/>
    </row>
    <row r="512" spans="18:18" x14ac:dyDescent="0.35">
      <c r="R512" s="59"/>
    </row>
    <row r="513" spans="18:18" x14ac:dyDescent="0.35">
      <c r="R513" s="59"/>
    </row>
    <row r="514" spans="18:18" x14ac:dyDescent="0.35">
      <c r="R514" s="59"/>
    </row>
    <row r="515" spans="18:18" x14ac:dyDescent="0.35">
      <c r="R515" s="59"/>
    </row>
    <row r="516" spans="18:18" x14ac:dyDescent="0.35">
      <c r="R516" s="59"/>
    </row>
    <row r="517" spans="18:18" x14ac:dyDescent="0.35">
      <c r="R517" s="59"/>
    </row>
    <row r="518" spans="18:18" x14ac:dyDescent="0.35">
      <c r="R518" s="59"/>
    </row>
    <row r="519" spans="18:18" x14ac:dyDescent="0.35">
      <c r="R519" s="59"/>
    </row>
    <row r="520" spans="18:18" x14ac:dyDescent="0.35">
      <c r="R520" s="59"/>
    </row>
    <row r="521" spans="18:18" x14ac:dyDescent="0.35">
      <c r="R521" s="59"/>
    </row>
    <row r="522" spans="18:18" x14ac:dyDescent="0.35">
      <c r="R522" s="59"/>
    </row>
    <row r="523" spans="18:18" x14ac:dyDescent="0.35">
      <c r="R523" s="59"/>
    </row>
    <row r="524" spans="18:18" x14ac:dyDescent="0.35">
      <c r="R524" s="59"/>
    </row>
    <row r="525" spans="18:18" x14ac:dyDescent="0.35">
      <c r="R525" s="59"/>
    </row>
    <row r="526" spans="18:18" x14ac:dyDescent="0.35">
      <c r="R526" s="59"/>
    </row>
    <row r="527" spans="18:18" x14ac:dyDescent="0.35">
      <c r="R527" s="59"/>
    </row>
    <row r="528" spans="18:18" x14ac:dyDescent="0.35">
      <c r="R528" s="59"/>
    </row>
    <row r="529" spans="18:18" x14ac:dyDescent="0.35">
      <c r="R529" s="59"/>
    </row>
    <row r="530" spans="18:18" x14ac:dyDescent="0.35">
      <c r="R530" s="59"/>
    </row>
    <row r="531" spans="18:18" x14ac:dyDescent="0.35">
      <c r="R531" s="59"/>
    </row>
    <row r="532" spans="18:18" x14ac:dyDescent="0.35">
      <c r="R532" s="59"/>
    </row>
    <row r="533" spans="18:18" x14ac:dyDescent="0.35">
      <c r="R533" s="59"/>
    </row>
    <row r="534" spans="18:18" x14ac:dyDescent="0.35">
      <c r="R534" s="59"/>
    </row>
    <row r="535" spans="18:18" x14ac:dyDescent="0.35">
      <c r="R535" s="59"/>
    </row>
    <row r="536" spans="18:18" x14ac:dyDescent="0.35">
      <c r="R536" s="59"/>
    </row>
    <row r="537" spans="18:18" x14ac:dyDescent="0.35">
      <c r="R537" s="59"/>
    </row>
    <row r="538" spans="18:18" x14ac:dyDescent="0.35">
      <c r="R538" s="59"/>
    </row>
    <row r="539" spans="18:18" x14ac:dyDescent="0.35">
      <c r="R539" s="59"/>
    </row>
    <row r="540" spans="18:18" x14ac:dyDescent="0.35">
      <c r="R540" s="59"/>
    </row>
    <row r="541" spans="18:18" x14ac:dyDescent="0.35">
      <c r="R541" s="59"/>
    </row>
    <row r="542" spans="18:18" x14ac:dyDescent="0.35">
      <c r="R542" s="59"/>
    </row>
    <row r="543" spans="18:18" x14ac:dyDescent="0.35">
      <c r="R543" s="59"/>
    </row>
    <row r="544" spans="18:18" x14ac:dyDescent="0.35">
      <c r="R544" s="59"/>
    </row>
    <row r="545" spans="18:18" x14ac:dyDescent="0.35">
      <c r="R545" s="59"/>
    </row>
    <row r="546" spans="18:18" x14ac:dyDescent="0.35">
      <c r="R546" s="59"/>
    </row>
    <row r="547" spans="18:18" x14ac:dyDescent="0.35">
      <c r="R547" s="59"/>
    </row>
    <row r="548" spans="18:18" x14ac:dyDescent="0.35">
      <c r="R548" s="59"/>
    </row>
    <row r="549" spans="18:18" x14ac:dyDescent="0.35">
      <c r="R549" s="59"/>
    </row>
    <row r="550" spans="18:18" x14ac:dyDescent="0.35">
      <c r="R550" s="59"/>
    </row>
    <row r="551" spans="18:18" x14ac:dyDescent="0.35">
      <c r="R551" s="59"/>
    </row>
    <row r="552" spans="18:18" x14ac:dyDescent="0.35">
      <c r="R552" s="59"/>
    </row>
    <row r="553" spans="18:18" x14ac:dyDescent="0.35">
      <c r="R553" s="59"/>
    </row>
    <row r="554" spans="18:18" x14ac:dyDescent="0.35">
      <c r="R554" s="59"/>
    </row>
    <row r="555" spans="18:18" x14ac:dyDescent="0.35">
      <c r="R555" s="59"/>
    </row>
    <row r="556" spans="18:18" x14ac:dyDescent="0.35">
      <c r="R556" s="59"/>
    </row>
    <row r="557" spans="18:18" x14ac:dyDescent="0.35">
      <c r="R557" s="59"/>
    </row>
    <row r="558" spans="18:18" x14ac:dyDescent="0.35">
      <c r="R558" s="59"/>
    </row>
    <row r="559" spans="18:18" x14ac:dyDescent="0.35">
      <c r="R559" s="59"/>
    </row>
    <row r="560" spans="18:18" x14ac:dyDescent="0.35">
      <c r="R560" s="59"/>
    </row>
    <row r="561" spans="18:18" x14ac:dyDescent="0.35">
      <c r="R561" s="59"/>
    </row>
    <row r="562" spans="18:18" x14ac:dyDescent="0.35">
      <c r="R562" s="59"/>
    </row>
    <row r="563" spans="18:18" x14ac:dyDescent="0.35">
      <c r="R563" s="59"/>
    </row>
    <row r="564" spans="18:18" x14ac:dyDescent="0.35">
      <c r="R564" s="59"/>
    </row>
    <row r="565" spans="18:18" x14ac:dyDescent="0.35">
      <c r="R565" s="59"/>
    </row>
    <row r="566" spans="18:18" x14ac:dyDescent="0.35">
      <c r="R566" s="59"/>
    </row>
    <row r="567" spans="18:18" x14ac:dyDescent="0.35">
      <c r="R567" s="59"/>
    </row>
    <row r="568" spans="18:18" x14ac:dyDescent="0.35">
      <c r="R568" s="59"/>
    </row>
    <row r="569" spans="18:18" x14ac:dyDescent="0.35">
      <c r="R569" s="59"/>
    </row>
    <row r="570" spans="18:18" x14ac:dyDescent="0.35">
      <c r="R570" s="59"/>
    </row>
    <row r="571" spans="18:18" x14ac:dyDescent="0.35">
      <c r="R571" s="59"/>
    </row>
    <row r="572" spans="18:18" x14ac:dyDescent="0.35">
      <c r="R572" s="59"/>
    </row>
    <row r="573" spans="18:18" x14ac:dyDescent="0.35">
      <c r="R573" s="59"/>
    </row>
    <row r="574" spans="18:18" x14ac:dyDescent="0.35">
      <c r="R574" s="59"/>
    </row>
    <row r="575" spans="18:18" x14ac:dyDescent="0.35">
      <c r="R575" s="59"/>
    </row>
    <row r="576" spans="18:18" x14ac:dyDescent="0.35">
      <c r="R576" s="59"/>
    </row>
    <row r="577" spans="18:18" x14ac:dyDescent="0.35">
      <c r="R577" s="59"/>
    </row>
    <row r="578" spans="18:18" x14ac:dyDescent="0.35">
      <c r="R578" s="59"/>
    </row>
    <row r="579" spans="18:18" x14ac:dyDescent="0.35">
      <c r="R579" s="59"/>
    </row>
    <row r="580" spans="18:18" x14ac:dyDescent="0.35">
      <c r="R580" s="59"/>
    </row>
    <row r="581" spans="18:18" x14ac:dyDescent="0.35">
      <c r="R581" s="59"/>
    </row>
    <row r="582" spans="18:18" x14ac:dyDescent="0.35">
      <c r="R582" s="59"/>
    </row>
    <row r="583" spans="18:18" x14ac:dyDescent="0.35">
      <c r="R583" s="59"/>
    </row>
    <row r="584" spans="18:18" x14ac:dyDescent="0.35">
      <c r="R584" s="59"/>
    </row>
    <row r="585" spans="18:18" x14ac:dyDescent="0.35">
      <c r="R585" s="59"/>
    </row>
    <row r="586" spans="18:18" x14ac:dyDescent="0.35">
      <c r="R586" s="59"/>
    </row>
    <row r="587" spans="18:18" x14ac:dyDescent="0.35">
      <c r="R587" s="59"/>
    </row>
    <row r="588" spans="18:18" x14ac:dyDescent="0.35">
      <c r="R588" s="59"/>
    </row>
    <row r="589" spans="18:18" x14ac:dyDescent="0.35">
      <c r="R589" s="59"/>
    </row>
    <row r="590" spans="18:18" x14ac:dyDescent="0.35">
      <c r="R590" s="59"/>
    </row>
    <row r="591" spans="18:18" x14ac:dyDescent="0.35">
      <c r="R591" s="59"/>
    </row>
    <row r="592" spans="18:18" x14ac:dyDescent="0.35">
      <c r="R592" s="59"/>
    </row>
    <row r="593" spans="18:18" x14ac:dyDescent="0.35">
      <c r="R593" s="59"/>
    </row>
    <row r="594" spans="18:18" x14ac:dyDescent="0.35">
      <c r="R594" s="59"/>
    </row>
    <row r="595" spans="18:18" x14ac:dyDescent="0.35">
      <c r="R595" s="59"/>
    </row>
    <row r="596" spans="18:18" x14ac:dyDescent="0.35">
      <c r="R596" s="59"/>
    </row>
    <row r="597" spans="18:18" x14ac:dyDescent="0.35">
      <c r="R597" s="59"/>
    </row>
    <row r="598" spans="18:18" x14ac:dyDescent="0.35">
      <c r="R598" s="59"/>
    </row>
    <row r="599" spans="18:18" x14ac:dyDescent="0.35">
      <c r="R599" s="59"/>
    </row>
    <row r="600" spans="18:18" x14ac:dyDescent="0.35">
      <c r="R600" s="59"/>
    </row>
    <row r="601" spans="18:18" x14ac:dyDescent="0.35">
      <c r="R601" s="59"/>
    </row>
    <row r="602" spans="18:18" x14ac:dyDescent="0.35">
      <c r="R602" s="59"/>
    </row>
    <row r="603" spans="18:18" x14ac:dyDescent="0.35">
      <c r="R603" s="59"/>
    </row>
    <row r="604" spans="18:18" x14ac:dyDescent="0.35">
      <c r="R604" s="59"/>
    </row>
    <row r="605" spans="18:18" x14ac:dyDescent="0.35">
      <c r="R605" s="59"/>
    </row>
    <row r="606" spans="18:18" x14ac:dyDescent="0.35">
      <c r="R606" s="59"/>
    </row>
    <row r="607" spans="18:18" x14ac:dyDescent="0.35">
      <c r="R607" s="59"/>
    </row>
    <row r="608" spans="18:18" x14ac:dyDescent="0.35">
      <c r="R608" s="59"/>
    </row>
    <row r="609" spans="18:18" x14ac:dyDescent="0.35">
      <c r="R609" s="59"/>
    </row>
    <row r="610" spans="18:18" x14ac:dyDescent="0.35">
      <c r="R610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12"/>
  <sheetViews>
    <sheetView zoomScale="55" zoomScaleNormal="55" workbookViewId="0">
      <selection sqref="A1:ZZ12"/>
    </sheetView>
  </sheetViews>
  <sheetFormatPr defaultRowHeight="14.5" x14ac:dyDescent="0.35"/>
  <sheetData>
    <row r="1" spans="1:72" ht="15.5" x14ac:dyDescent="0.35">
      <c r="A1" s="56" t="s">
        <v>171</v>
      </c>
      <c r="B1" s="57" t="s">
        <v>99</v>
      </c>
      <c r="C1" s="57" t="s">
        <v>241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242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240</v>
      </c>
      <c r="AR1" s="56" t="s">
        <v>305</v>
      </c>
      <c r="AS1" s="56" t="s">
        <v>306</v>
      </c>
      <c r="AT1" s="56" t="s">
        <v>307</v>
      </c>
      <c r="AU1" s="56" t="s">
        <v>308</v>
      </c>
      <c r="AV1" s="56" t="s">
        <v>309</v>
      </c>
      <c r="AW1" s="56" t="s">
        <v>310</v>
      </c>
      <c r="AX1" s="56" t="s">
        <v>282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35">
      <c r="A2" t="s">
        <v>317</v>
      </c>
      <c r="B2">
        <v>1</v>
      </c>
      <c r="C2">
        <v>1</v>
      </c>
      <c r="D2">
        <v>1</v>
      </c>
      <c r="E2">
        <v>48192000</v>
      </c>
      <c r="F2">
        <v>280928</v>
      </c>
      <c r="G2" t="s">
        <v>323</v>
      </c>
      <c r="H2" t="s">
        <v>60</v>
      </c>
      <c r="I2" t="s">
        <v>60</v>
      </c>
      <c r="J2" t="s">
        <v>60</v>
      </c>
      <c r="K2" t="s">
        <v>60</v>
      </c>
      <c r="L2" t="s">
        <v>38</v>
      </c>
      <c r="M2">
        <v>59</v>
      </c>
      <c r="P2">
        <v>40</v>
      </c>
      <c r="Q2" t="s">
        <v>80</v>
      </c>
      <c r="R2">
        <v>124380</v>
      </c>
      <c r="S2" t="s">
        <v>343</v>
      </c>
      <c r="T2" t="s">
        <v>332</v>
      </c>
      <c r="U2">
        <v>2</v>
      </c>
      <c r="V2">
        <v>0</v>
      </c>
      <c r="Y2">
        <v>0</v>
      </c>
      <c r="Z2">
        <v>0</v>
      </c>
      <c r="AA2">
        <v>0</v>
      </c>
      <c r="AB2">
        <v>996274</v>
      </c>
      <c r="AC2">
        <v>0</v>
      </c>
      <c r="AD2">
        <v>0</v>
      </c>
      <c r="AE2">
        <v>0</v>
      </c>
      <c r="AQ2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35">
      <c r="A3" t="s">
        <v>317</v>
      </c>
      <c r="B3">
        <v>1</v>
      </c>
      <c r="C3">
        <v>1</v>
      </c>
      <c r="D3">
        <v>1</v>
      </c>
      <c r="E3">
        <v>48192000</v>
      </c>
      <c r="F3">
        <v>280928</v>
      </c>
      <c r="G3" t="s">
        <v>323</v>
      </c>
      <c r="H3" t="s">
        <v>60</v>
      </c>
      <c r="I3" t="s">
        <v>60</v>
      </c>
      <c r="J3" t="s">
        <v>60</v>
      </c>
      <c r="K3" t="s">
        <v>60</v>
      </c>
      <c r="L3" t="s">
        <v>38</v>
      </c>
      <c r="M3">
        <v>16</v>
      </c>
      <c r="P3">
        <v>40</v>
      </c>
      <c r="Q3" t="s">
        <v>80</v>
      </c>
      <c r="R3">
        <v>131104</v>
      </c>
      <c r="S3" t="s">
        <v>344</v>
      </c>
      <c r="T3" t="s">
        <v>333</v>
      </c>
      <c r="U3">
        <v>1</v>
      </c>
      <c r="V3">
        <v>0</v>
      </c>
      <c r="Y3">
        <v>0</v>
      </c>
      <c r="Z3">
        <v>0</v>
      </c>
      <c r="AA3">
        <v>0</v>
      </c>
      <c r="AB3">
        <v>256672</v>
      </c>
      <c r="AC3">
        <v>0</v>
      </c>
      <c r="AD3">
        <v>0</v>
      </c>
      <c r="AE3">
        <v>0</v>
      </c>
      <c r="AQ3">
        <v>1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35">
      <c r="A4" t="s">
        <v>317</v>
      </c>
      <c r="B4">
        <v>2</v>
      </c>
      <c r="C4">
        <v>2</v>
      </c>
      <c r="D4">
        <v>1</v>
      </c>
      <c r="E4">
        <v>48192000</v>
      </c>
      <c r="F4">
        <v>280928</v>
      </c>
      <c r="G4" t="s">
        <v>324</v>
      </c>
      <c r="H4" t="s">
        <v>60</v>
      </c>
      <c r="I4" t="s">
        <v>60</v>
      </c>
      <c r="J4" t="s">
        <v>60</v>
      </c>
      <c r="K4" t="s">
        <v>60</v>
      </c>
      <c r="L4" t="s">
        <v>38</v>
      </c>
      <c r="M4">
        <v>16</v>
      </c>
      <c r="P4">
        <v>40</v>
      </c>
      <c r="Q4" t="s">
        <v>80</v>
      </c>
      <c r="R4" t="s">
        <v>330</v>
      </c>
      <c r="S4" t="s">
        <v>345</v>
      </c>
      <c r="T4" t="s">
        <v>334</v>
      </c>
      <c r="U4">
        <v>1</v>
      </c>
      <c r="V4">
        <v>0</v>
      </c>
      <c r="Y4">
        <v>0</v>
      </c>
      <c r="Z4">
        <v>0</v>
      </c>
      <c r="AA4">
        <v>0</v>
      </c>
      <c r="AB4">
        <v>270176</v>
      </c>
      <c r="AC4">
        <v>0</v>
      </c>
      <c r="AD4">
        <v>0</v>
      </c>
      <c r="AE4">
        <v>0</v>
      </c>
      <c r="AQ4">
        <v>2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35">
      <c r="A5" t="s">
        <v>317</v>
      </c>
      <c r="B5">
        <v>1</v>
      </c>
      <c r="C5">
        <v>1</v>
      </c>
      <c r="D5">
        <v>1</v>
      </c>
      <c r="E5">
        <v>48192000</v>
      </c>
      <c r="F5">
        <v>280928</v>
      </c>
      <c r="G5" t="s">
        <v>323</v>
      </c>
      <c r="H5" t="s">
        <v>60</v>
      </c>
      <c r="I5" t="s">
        <v>60</v>
      </c>
      <c r="J5" t="s">
        <v>60</v>
      </c>
      <c r="K5" t="s">
        <v>60</v>
      </c>
      <c r="L5" t="s">
        <v>38</v>
      </c>
      <c r="M5">
        <v>11</v>
      </c>
      <c r="P5">
        <v>40</v>
      </c>
      <c r="Q5" t="s">
        <v>80</v>
      </c>
      <c r="R5">
        <v>132233</v>
      </c>
      <c r="S5" t="s">
        <v>346</v>
      </c>
      <c r="T5" t="s">
        <v>335</v>
      </c>
      <c r="U5">
        <v>1</v>
      </c>
      <c r="V5">
        <v>0</v>
      </c>
      <c r="Y5">
        <v>0</v>
      </c>
      <c r="Z5">
        <v>0</v>
      </c>
      <c r="AA5">
        <v>0</v>
      </c>
      <c r="AB5">
        <v>176462</v>
      </c>
      <c r="AC5">
        <v>0</v>
      </c>
      <c r="AD5">
        <v>0</v>
      </c>
      <c r="AE5">
        <v>0</v>
      </c>
      <c r="AQ5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35">
      <c r="A6" t="s">
        <v>317</v>
      </c>
      <c r="B6">
        <v>2</v>
      </c>
      <c r="C6">
        <v>3</v>
      </c>
      <c r="D6">
        <v>1</v>
      </c>
      <c r="E6">
        <v>48192000</v>
      </c>
      <c r="F6">
        <v>280928</v>
      </c>
      <c r="G6" t="s">
        <v>323</v>
      </c>
      <c r="H6" t="s">
        <v>60</v>
      </c>
      <c r="I6" t="s">
        <v>60</v>
      </c>
      <c r="J6" t="s">
        <v>60</v>
      </c>
      <c r="K6" t="s">
        <v>60</v>
      </c>
      <c r="L6" t="s">
        <v>38</v>
      </c>
      <c r="M6">
        <v>1</v>
      </c>
      <c r="P6">
        <v>40</v>
      </c>
      <c r="Q6" t="s">
        <v>80</v>
      </c>
      <c r="R6">
        <v>110367</v>
      </c>
      <c r="S6" t="s">
        <v>347</v>
      </c>
      <c r="T6" t="s">
        <v>336</v>
      </c>
      <c r="U6">
        <v>1</v>
      </c>
      <c r="V6">
        <v>0</v>
      </c>
      <c r="Y6">
        <v>0</v>
      </c>
      <c r="Z6">
        <v>0</v>
      </c>
      <c r="AA6">
        <v>0</v>
      </c>
      <c r="AB6">
        <v>16886</v>
      </c>
      <c r="AC6">
        <v>0</v>
      </c>
      <c r="AD6">
        <v>0</v>
      </c>
      <c r="AE6">
        <v>0</v>
      </c>
      <c r="AQ6">
        <v>2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35">
      <c r="A7" t="s">
        <v>317</v>
      </c>
      <c r="B7">
        <v>1</v>
      </c>
      <c r="C7">
        <v>2</v>
      </c>
      <c r="D7">
        <v>1</v>
      </c>
      <c r="E7">
        <v>48192000</v>
      </c>
      <c r="F7">
        <v>283182</v>
      </c>
      <c r="G7" t="s">
        <v>325</v>
      </c>
      <c r="H7" t="s">
        <v>60</v>
      </c>
      <c r="I7" t="s">
        <v>60</v>
      </c>
      <c r="J7" t="s">
        <v>60</v>
      </c>
      <c r="K7" t="s">
        <v>60</v>
      </c>
      <c r="L7" t="s">
        <v>38</v>
      </c>
      <c r="M7">
        <v>41</v>
      </c>
      <c r="P7">
        <v>40</v>
      </c>
      <c r="Q7" t="s">
        <v>80</v>
      </c>
      <c r="R7" t="s">
        <v>331</v>
      </c>
      <c r="S7" t="s">
        <v>348</v>
      </c>
      <c r="T7" t="s">
        <v>337</v>
      </c>
      <c r="U7">
        <v>1</v>
      </c>
      <c r="V7">
        <v>0</v>
      </c>
      <c r="Y7">
        <v>0</v>
      </c>
      <c r="Z7">
        <v>0</v>
      </c>
      <c r="AA7">
        <v>0</v>
      </c>
      <c r="AB7">
        <v>791546</v>
      </c>
      <c r="AC7">
        <v>0</v>
      </c>
      <c r="AD7">
        <v>0</v>
      </c>
      <c r="AE7">
        <v>0</v>
      </c>
      <c r="AQ7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35">
      <c r="A8" t="s">
        <v>317</v>
      </c>
      <c r="B8">
        <v>1</v>
      </c>
      <c r="C8">
        <v>4</v>
      </c>
      <c r="D8">
        <v>1</v>
      </c>
      <c r="E8">
        <v>48192000</v>
      </c>
      <c r="F8">
        <v>283182</v>
      </c>
      <c r="G8" t="s">
        <v>326</v>
      </c>
      <c r="H8" t="s">
        <v>60</v>
      </c>
      <c r="I8" t="s">
        <v>60</v>
      </c>
      <c r="J8" t="s">
        <v>60</v>
      </c>
      <c r="K8" t="s">
        <v>60</v>
      </c>
      <c r="L8" t="s">
        <v>38</v>
      </c>
      <c r="M8">
        <v>10</v>
      </c>
      <c r="P8">
        <v>40</v>
      </c>
      <c r="Q8" t="s">
        <v>80</v>
      </c>
      <c r="R8">
        <v>120736</v>
      </c>
      <c r="S8" t="s">
        <v>349</v>
      </c>
      <c r="T8" t="s">
        <v>338</v>
      </c>
      <c r="U8">
        <v>1</v>
      </c>
      <c r="V8">
        <v>0</v>
      </c>
      <c r="Y8">
        <v>0</v>
      </c>
      <c r="Z8">
        <v>0</v>
      </c>
      <c r="AA8">
        <v>0</v>
      </c>
      <c r="AB8">
        <v>193060</v>
      </c>
      <c r="AC8">
        <v>0</v>
      </c>
      <c r="AD8">
        <v>0</v>
      </c>
      <c r="AE8">
        <v>0</v>
      </c>
      <c r="AQ8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35">
      <c r="A9" t="s">
        <v>317</v>
      </c>
      <c r="B9">
        <v>2</v>
      </c>
      <c r="C9">
        <v>5</v>
      </c>
      <c r="D9">
        <v>1</v>
      </c>
      <c r="E9">
        <v>48192000</v>
      </c>
      <c r="F9">
        <v>283182</v>
      </c>
      <c r="G9" t="s">
        <v>326</v>
      </c>
      <c r="H9" t="s">
        <v>60</v>
      </c>
      <c r="I9" t="s">
        <v>60</v>
      </c>
      <c r="J9" t="s">
        <v>60</v>
      </c>
      <c r="K9" t="s">
        <v>60</v>
      </c>
      <c r="L9" t="s">
        <v>38</v>
      </c>
      <c r="M9">
        <v>5</v>
      </c>
      <c r="P9">
        <v>40</v>
      </c>
      <c r="Q9" t="s">
        <v>80</v>
      </c>
      <c r="R9">
        <v>124222</v>
      </c>
      <c r="S9" t="s">
        <v>343</v>
      </c>
      <c r="T9" t="s">
        <v>339</v>
      </c>
      <c r="U9">
        <v>1</v>
      </c>
      <c r="V9">
        <v>0</v>
      </c>
      <c r="Y9">
        <v>0</v>
      </c>
      <c r="Z9">
        <v>0</v>
      </c>
      <c r="AA9">
        <v>0</v>
      </c>
      <c r="AB9">
        <v>96530</v>
      </c>
      <c r="AC9">
        <v>0</v>
      </c>
      <c r="AD9">
        <v>0</v>
      </c>
      <c r="AE9">
        <v>0</v>
      </c>
      <c r="AQ9">
        <v>2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35">
      <c r="A10" t="s">
        <v>317</v>
      </c>
      <c r="B10">
        <v>1</v>
      </c>
      <c r="C10">
        <v>3</v>
      </c>
      <c r="D10">
        <v>1</v>
      </c>
      <c r="E10">
        <v>48192000</v>
      </c>
      <c r="F10">
        <v>283182</v>
      </c>
      <c r="G10" t="s">
        <v>327</v>
      </c>
      <c r="H10" t="s">
        <v>60</v>
      </c>
      <c r="I10" t="s">
        <v>60</v>
      </c>
      <c r="J10" t="s">
        <v>60</v>
      </c>
      <c r="K10" t="s">
        <v>60</v>
      </c>
      <c r="L10" t="s">
        <v>38</v>
      </c>
      <c r="M10">
        <v>4</v>
      </c>
      <c r="P10">
        <v>40</v>
      </c>
      <c r="Q10" t="s">
        <v>80</v>
      </c>
      <c r="R10">
        <v>110637</v>
      </c>
      <c r="S10" t="s">
        <v>347</v>
      </c>
      <c r="T10" t="s">
        <v>340</v>
      </c>
      <c r="U10">
        <v>1</v>
      </c>
      <c r="V10">
        <v>0</v>
      </c>
      <c r="Y10">
        <v>0</v>
      </c>
      <c r="Z10">
        <v>0</v>
      </c>
      <c r="AA10">
        <v>0</v>
      </c>
      <c r="AB10">
        <v>77224</v>
      </c>
      <c r="AC10">
        <v>0</v>
      </c>
      <c r="AD10">
        <v>0</v>
      </c>
      <c r="AE10">
        <v>0</v>
      </c>
      <c r="AQ10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35">
      <c r="A11" t="s">
        <v>317</v>
      </c>
      <c r="B11">
        <v>2</v>
      </c>
      <c r="C11">
        <v>6</v>
      </c>
      <c r="D11">
        <v>1</v>
      </c>
      <c r="E11">
        <v>48192000</v>
      </c>
      <c r="F11">
        <v>285352</v>
      </c>
      <c r="G11" t="s">
        <v>328</v>
      </c>
      <c r="H11" t="s">
        <v>60</v>
      </c>
      <c r="I11" t="s">
        <v>60</v>
      </c>
      <c r="J11" t="s">
        <v>60</v>
      </c>
      <c r="K11" t="s">
        <v>60</v>
      </c>
      <c r="L11" t="s">
        <v>38</v>
      </c>
      <c r="M11">
        <v>3</v>
      </c>
      <c r="P11">
        <v>40</v>
      </c>
      <c r="Q11" t="s">
        <v>80</v>
      </c>
      <c r="R11">
        <v>133246</v>
      </c>
      <c r="S11" t="s">
        <v>350</v>
      </c>
      <c r="T11" t="s">
        <v>341</v>
      </c>
      <c r="U11">
        <v>2</v>
      </c>
      <c r="V11">
        <v>0</v>
      </c>
      <c r="Y11">
        <v>0</v>
      </c>
      <c r="Z11">
        <v>0</v>
      </c>
      <c r="AA11">
        <v>0</v>
      </c>
      <c r="AB11">
        <v>58710</v>
      </c>
      <c r="AC11">
        <v>0</v>
      </c>
      <c r="AD11">
        <v>0</v>
      </c>
      <c r="AE11">
        <v>0</v>
      </c>
      <c r="AQ11">
        <v>2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35">
      <c r="A12" t="s">
        <v>317</v>
      </c>
      <c r="B12">
        <v>1</v>
      </c>
      <c r="C12">
        <v>4</v>
      </c>
      <c r="D12">
        <v>1</v>
      </c>
      <c r="E12">
        <v>48192000</v>
      </c>
      <c r="F12">
        <v>288341</v>
      </c>
      <c r="G12" t="s">
        <v>329</v>
      </c>
      <c r="H12" t="s">
        <v>60</v>
      </c>
      <c r="I12" t="s">
        <v>60</v>
      </c>
      <c r="J12" t="s">
        <v>60</v>
      </c>
      <c r="K12" t="s">
        <v>60</v>
      </c>
      <c r="L12" t="s">
        <v>38</v>
      </c>
      <c r="M12">
        <v>207</v>
      </c>
      <c r="P12">
        <v>40</v>
      </c>
      <c r="Q12" t="s">
        <v>80</v>
      </c>
      <c r="R12">
        <v>144708</v>
      </c>
      <c r="S12" t="s">
        <v>351</v>
      </c>
      <c r="T12" t="s">
        <v>342</v>
      </c>
      <c r="U12">
        <v>1</v>
      </c>
      <c r="V12">
        <v>0</v>
      </c>
      <c r="Y12">
        <v>0</v>
      </c>
      <c r="Z12">
        <v>0</v>
      </c>
      <c r="AA12">
        <v>0</v>
      </c>
      <c r="AB12">
        <v>3519000</v>
      </c>
      <c r="AC12">
        <v>0</v>
      </c>
      <c r="AD12">
        <v>0</v>
      </c>
      <c r="AE12">
        <v>0</v>
      </c>
      <c r="AQ12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2"/>
  <sheetViews>
    <sheetView workbookViewId="0"/>
  </sheetViews>
  <sheetFormatPr defaultColWidth="9.1796875" defaultRowHeight="14.5" x14ac:dyDescent="0.35"/>
  <cols>
    <col min="1" max="3" width="1.7265625" style="5" customWidth="1"/>
    <col min="4" max="4" width="22.1796875" style="5" bestFit="1" customWidth="1"/>
    <col min="5" max="5" width="27" style="5" customWidth="1"/>
    <col min="6" max="8" width="1.7265625" style="5" customWidth="1"/>
    <col min="9" max="16384" width="9.1796875" style="5"/>
  </cols>
  <sheetData>
    <row r="1" spans="1:8" ht="15.5" x14ac:dyDescent="0.3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  <row r="2" spans="1:8" x14ac:dyDescent="0.35">
      <c r="D2" s="5" t="s">
        <v>313</v>
      </c>
      <c r="E2" s="5" t="s">
        <v>353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4.5" x14ac:dyDescent="0.35"/>
  <cols>
    <col min="1" max="1" width="15.54296875" bestFit="1" customWidth="1"/>
    <col min="2" max="2" width="15.54296875" customWidth="1"/>
    <col min="3" max="3" width="12.26953125" customWidth="1"/>
    <col min="4" max="4" width="26.54296875" bestFit="1" customWidth="1"/>
    <col min="5" max="5" width="16.1796875" customWidth="1"/>
    <col min="6" max="6" width="12.26953125" customWidth="1"/>
    <col min="7" max="7" width="15.26953125" bestFit="1" customWidth="1"/>
    <col min="8" max="8" width="15.26953125" customWidth="1"/>
    <col min="9" max="9" width="12.26953125" customWidth="1"/>
    <col min="10" max="10" width="18" bestFit="1" customWidth="1"/>
    <col min="11" max="12" width="18" customWidth="1"/>
    <col min="13" max="13" width="33.81640625" bestFit="1" customWidth="1"/>
    <col min="14" max="14" width="34.453125" bestFit="1" customWidth="1"/>
    <col min="15" max="15" width="13.26953125" customWidth="1"/>
    <col min="16" max="30" width="1.7265625" hidden="1" customWidth="1"/>
    <col min="31" max="31" width="1" customWidth="1"/>
  </cols>
  <sheetData>
    <row r="1" spans="1:31" x14ac:dyDescent="0.35">
      <c r="A1" t="s">
        <v>294</v>
      </c>
    </row>
    <row r="2" spans="1:31" x14ac:dyDescent="0.35">
      <c r="A2" s="13"/>
    </row>
    <row r="3" spans="1:31" x14ac:dyDescent="0.35">
      <c r="C3" s="6"/>
      <c r="F3" s="6"/>
      <c r="I3" s="6"/>
      <c r="L3" s="6"/>
      <c r="O3" s="6"/>
      <c r="AE3" s="24" t="s">
        <v>124</v>
      </c>
    </row>
    <row r="4" spans="1:31" ht="15.75" customHeight="1" x14ac:dyDescent="0.35">
      <c r="A4" s="92"/>
      <c r="B4" s="93"/>
      <c r="C4" s="26"/>
      <c r="D4" s="92"/>
      <c r="E4" s="93"/>
      <c r="F4" s="26"/>
      <c r="G4" s="92"/>
      <c r="H4" s="93"/>
      <c r="I4" s="26"/>
      <c r="J4" s="94"/>
      <c r="K4" s="95"/>
      <c r="L4" s="26"/>
      <c r="M4" s="86"/>
      <c r="N4" s="87"/>
      <c r="O4" s="26"/>
      <c r="P4" s="86"/>
      <c r="Q4" s="87"/>
      <c r="R4" s="88"/>
      <c r="S4" s="86"/>
      <c r="T4" s="87"/>
      <c r="U4" s="88"/>
      <c r="V4" s="86"/>
      <c r="W4" s="87"/>
      <c r="X4" s="88"/>
      <c r="Y4" s="86"/>
      <c r="Z4" s="87"/>
      <c r="AA4" s="88"/>
      <c r="AB4" s="86"/>
      <c r="AC4" s="87"/>
      <c r="AD4" s="88"/>
      <c r="AE4" s="90"/>
    </row>
    <row r="5" spans="1:31" ht="15.5" x14ac:dyDescent="0.3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89"/>
      <c r="S5" s="22"/>
      <c r="T5" s="19"/>
      <c r="U5" s="89"/>
      <c r="V5" s="22"/>
      <c r="W5" s="19"/>
      <c r="X5" s="89"/>
      <c r="Y5" s="22"/>
      <c r="Z5" s="19"/>
      <c r="AA5" s="89"/>
      <c r="AB5" s="22"/>
      <c r="AC5" s="19"/>
      <c r="AD5" s="89"/>
      <c r="AE5" s="91"/>
    </row>
  </sheetData>
  <mergeCells count="16"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Y4:Z4"/>
    <mergeCell ref="AA4:AA5"/>
    <mergeCell ref="AB4:AC4"/>
    <mergeCell ref="AD4:AD5"/>
    <mergeCell ref="AE4:AE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3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3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/>
      <c r="B5" s="39"/>
      <c r="C5" s="39"/>
      <c r="D5" s="40"/>
      <c r="E5" s="40"/>
      <c r="F5" s="44"/>
    </row>
    <row r="6" spans="1:7" x14ac:dyDescent="0.35">
      <c r="B6" s="4"/>
      <c r="C6" s="27"/>
      <c r="D6" s="29"/>
      <c r="E6" s="18"/>
      <c r="F6" s="17"/>
    </row>
    <row r="7" spans="1:7" x14ac:dyDescent="0.35">
      <c r="B7" s="4"/>
      <c r="C7" s="27"/>
      <c r="D7" s="29"/>
      <c r="E7" s="18"/>
      <c r="F7" s="17"/>
    </row>
    <row r="8" spans="1:7" x14ac:dyDescent="0.35">
      <c r="B8" s="4"/>
      <c r="C8" s="27"/>
      <c r="D8" s="29"/>
      <c r="E8" s="18"/>
      <c r="F8" s="17"/>
    </row>
    <row r="9" spans="1:7" x14ac:dyDescent="0.35">
      <c r="B9" s="4"/>
      <c r="C9" s="27"/>
      <c r="D9" s="29"/>
      <c r="E9" s="18"/>
      <c r="F9" s="17"/>
    </row>
    <row r="10" spans="1:7" x14ac:dyDescent="0.35">
      <c r="B10" s="4"/>
      <c r="C10" s="27"/>
      <c r="D10" s="29"/>
      <c r="E10" s="18"/>
      <c r="F10" s="17"/>
    </row>
    <row r="11" spans="1:7" x14ac:dyDescent="0.35">
      <c r="C11" s="18"/>
      <c r="D11" s="28"/>
      <c r="E11" s="16"/>
      <c r="F11" s="17"/>
    </row>
    <row r="12" spans="1:7" x14ac:dyDescent="0.35">
      <c r="C12" s="18"/>
      <c r="D12" s="28"/>
      <c r="E12" s="16"/>
      <c r="F12" s="17"/>
    </row>
    <row r="13" spans="1:7" x14ac:dyDescent="0.35">
      <c r="C13" s="18"/>
      <c r="D13" s="28"/>
      <c r="E13" s="16"/>
      <c r="F13" s="17"/>
    </row>
    <row r="14" spans="1:7" x14ac:dyDescent="0.35">
      <c r="C14" s="18"/>
      <c r="D14" s="28"/>
      <c r="E14" s="16"/>
      <c r="F14" s="17"/>
    </row>
    <row r="15" spans="1:7" x14ac:dyDescent="0.35">
      <c r="C15" s="18"/>
      <c r="D15" s="28"/>
      <c r="E15" s="16"/>
      <c r="F15" s="17"/>
    </row>
    <row r="16" spans="1:7" x14ac:dyDescent="0.35">
      <c r="C16" s="18"/>
      <c r="D16" s="28"/>
      <c r="E16" s="16"/>
      <c r="F16" s="17"/>
    </row>
    <row r="17" spans="1:7" x14ac:dyDescent="0.35">
      <c r="C17" s="18"/>
      <c r="D17" s="28"/>
      <c r="E17" s="16"/>
      <c r="F17" s="17"/>
    </row>
    <row r="18" spans="1:7" x14ac:dyDescent="0.35">
      <c r="C18" s="18"/>
      <c r="D18" s="28"/>
      <c r="E18" s="16"/>
      <c r="F18" s="17"/>
    </row>
    <row r="19" spans="1:7" x14ac:dyDescent="0.35">
      <c r="C19" s="18"/>
      <c r="D19" s="28"/>
      <c r="E19" s="16"/>
      <c r="F19" s="17"/>
    </row>
    <row r="20" spans="1:7" x14ac:dyDescent="0.35">
      <c r="C20" s="18"/>
      <c r="D20" s="28"/>
      <c r="E20" s="16"/>
      <c r="F20" s="17"/>
    </row>
    <row r="21" spans="1:7" x14ac:dyDescent="0.35">
      <c r="C21" s="18"/>
      <c r="D21" s="28"/>
      <c r="E21" s="16"/>
      <c r="F21" s="17"/>
    </row>
    <row r="22" spans="1:7" x14ac:dyDescent="0.35">
      <c r="C22" s="18"/>
      <c r="D22" s="28"/>
      <c r="E22" s="16"/>
      <c r="F22" s="17"/>
    </row>
    <row r="23" spans="1:7" x14ac:dyDescent="0.35">
      <c r="C23" s="18"/>
      <c r="D23" s="28"/>
      <c r="E23" s="16"/>
      <c r="F23" s="17"/>
    </row>
    <row r="24" spans="1:7" x14ac:dyDescent="0.35">
      <c r="C24" s="18"/>
      <c r="D24" s="28"/>
      <c r="E24" s="16"/>
      <c r="F24" s="17"/>
    </row>
    <row r="25" spans="1:7" x14ac:dyDescent="0.35">
      <c r="C25" s="18"/>
      <c r="D25" s="28"/>
      <c r="E25" s="16"/>
      <c r="F25" s="17"/>
    </row>
    <row r="26" spans="1:7" x14ac:dyDescent="0.35">
      <c r="C26" s="18"/>
      <c r="D26" s="28"/>
      <c r="E26" s="16"/>
      <c r="F26" s="17"/>
    </row>
    <row r="27" spans="1:7" x14ac:dyDescent="0.35">
      <c r="C27" s="18"/>
      <c r="D27" s="28"/>
      <c r="E27" s="16"/>
      <c r="F27" s="17"/>
    </row>
    <row r="28" spans="1:7" x14ac:dyDescent="0.35">
      <c r="C28" s="18"/>
      <c r="D28" s="28"/>
      <c r="E28" s="16"/>
      <c r="F28" s="17"/>
    </row>
    <row r="29" spans="1:7" s="14" customFormat="1" x14ac:dyDescent="0.35">
      <c r="A29" s="15"/>
      <c r="B29" s="6"/>
      <c r="C29" s="18"/>
      <c r="D29" s="28"/>
      <c r="E29" s="16"/>
      <c r="G29"/>
    </row>
    <row r="30" spans="1:7" s="14" customFormat="1" x14ac:dyDescent="0.35">
      <c r="A30" s="15"/>
      <c r="B30" s="6"/>
      <c r="C30" s="18"/>
      <c r="D30" s="28"/>
      <c r="E30" s="16"/>
      <c r="G30"/>
    </row>
    <row r="31" spans="1:7" s="14" customFormat="1" x14ac:dyDescent="0.35">
      <c r="A31" s="15"/>
      <c r="B31" s="6"/>
      <c r="C31" s="18"/>
      <c r="D31" s="28"/>
      <c r="E31" s="16"/>
      <c r="G31"/>
    </row>
    <row r="32" spans="1:7" s="14" customFormat="1" x14ac:dyDescent="0.35">
      <c r="A32" s="15"/>
      <c r="B32" s="6"/>
      <c r="C32" s="18"/>
      <c r="D32" s="28"/>
      <c r="E32" s="16"/>
      <c r="G32"/>
    </row>
    <row r="33" spans="1:7" s="14" customFormat="1" x14ac:dyDescent="0.35">
      <c r="A33" s="15"/>
      <c r="B33" s="6"/>
      <c r="C33" s="18"/>
      <c r="D33" s="28"/>
      <c r="E33" s="16"/>
      <c r="G33"/>
    </row>
    <row r="34" spans="1:7" s="14" customFormat="1" x14ac:dyDescent="0.35">
      <c r="A34" s="15"/>
      <c r="B34" s="6"/>
      <c r="C34" s="18"/>
      <c r="D34" s="28"/>
      <c r="E34" s="16"/>
      <c r="G34"/>
    </row>
    <row r="35" spans="1:7" s="14" customFormat="1" x14ac:dyDescent="0.35">
      <c r="A35" s="15"/>
      <c r="B35" s="6"/>
      <c r="C35" s="18"/>
      <c r="D35" s="28"/>
      <c r="E35" s="16"/>
      <c r="G35"/>
    </row>
    <row r="36" spans="1:7" s="14" customFormat="1" x14ac:dyDescent="0.35">
      <c r="A36" s="15"/>
      <c r="B36" s="6"/>
      <c r="C36" s="18"/>
      <c r="D36" s="28"/>
      <c r="E36" s="16"/>
      <c r="G36"/>
    </row>
    <row r="37" spans="1:7" s="14" customFormat="1" x14ac:dyDescent="0.35">
      <c r="A37" s="15"/>
      <c r="B37" s="6"/>
      <c r="C37" s="18"/>
      <c r="D37" s="28"/>
      <c r="E37" s="16"/>
      <c r="G37"/>
    </row>
    <row r="38" spans="1:7" s="14" customFormat="1" x14ac:dyDescent="0.35">
      <c r="A38" s="15"/>
      <c r="B38" s="6"/>
      <c r="C38" s="18"/>
      <c r="D38" s="28"/>
      <c r="E38" s="16"/>
      <c r="G38"/>
    </row>
    <row r="39" spans="1:7" s="14" customFormat="1" x14ac:dyDescent="0.35">
      <c r="A39" s="15"/>
      <c r="B39" s="6"/>
      <c r="C39" s="18"/>
      <c r="D39" s="28"/>
      <c r="E39" s="16"/>
      <c r="G39"/>
    </row>
    <row r="40" spans="1:7" s="14" customFormat="1" x14ac:dyDescent="0.35">
      <c r="A40" s="15"/>
      <c r="B40" s="6"/>
      <c r="C40" s="18"/>
      <c r="D40" s="28"/>
      <c r="E40" s="16"/>
      <c r="G40"/>
    </row>
    <row r="41" spans="1:7" s="14" customFormat="1" x14ac:dyDescent="0.35">
      <c r="A41" s="15"/>
      <c r="B41" s="6"/>
      <c r="C41" s="18"/>
      <c r="D41" s="28"/>
      <c r="E41" s="16"/>
      <c r="G41"/>
    </row>
    <row r="42" spans="1:7" s="14" customFormat="1" x14ac:dyDescent="0.35">
      <c r="A42" s="15"/>
      <c r="B42" s="6"/>
      <c r="C42" s="18"/>
      <c r="D42" s="28"/>
      <c r="E42" s="16"/>
      <c r="G42"/>
    </row>
    <row r="43" spans="1:7" s="14" customFormat="1" x14ac:dyDescent="0.35">
      <c r="A43" s="15"/>
      <c r="B43" s="6"/>
      <c r="C43" s="18"/>
      <c r="D43" s="28"/>
      <c r="E43" s="16"/>
      <c r="G43"/>
    </row>
    <row r="44" spans="1:7" s="14" customFormat="1" x14ac:dyDescent="0.35">
      <c r="A44" s="15"/>
      <c r="B44" s="6"/>
      <c r="C44" s="18"/>
      <c r="D44" s="28"/>
      <c r="E44" s="16"/>
      <c r="G44"/>
    </row>
    <row r="45" spans="1:7" s="14" customFormat="1" x14ac:dyDescent="0.35">
      <c r="A45" s="15"/>
      <c r="B45" s="6"/>
      <c r="C45" s="18"/>
      <c r="D45" s="28"/>
      <c r="E45" s="16"/>
      <c r="G45"/>
    </row>
    <row r="46" spans="1:7" s="14" customFormat="1" x14ac:dyDescent="0.35">
      <c r="A46" s="15"/>
      <c r="B46" s="6"/>
      <c r="C46" s="18"/>
      <c r="D46" s="28"/>
      <c r="E46" s="16"/>
      <c r="G46"/>
    </row>
    <row r="47" spans="1:7" s="14" customFormat="1" x14ac:dyDescent="0.35">
      <c r="A47" s="15"/>
      <c r="B47" s="6"/>
      <c r="C47" s="18"/>
      <c r="D47" s="28"/>
      <c r="E47" s="16"/>
      <c r="G47"/>
    </row>
    <row r="48" spans="1:7" s="14" customFormat="1" x14ac:dyDescent="0.35">
      <c r="A48" s="15"/>
      <c r="B48" s="6"/>
      <c r="C48" s="18"/>
      <c r="D48" s="28"/>
      <c r="E48" s="16"/>
      <c r="G48"/>
    </row>
    <row r="49" spans="1:7" s="14" customFormat="1" x14ac:dyDescent="0.35">
      <c r="A49" s="15"/>
      <c r="B49" s="6"/>
      <c r="C49" s="18"/>
      <c r="D49" s="28"/>
      <c r="E49" s="16"/>
      <c r="G49"/>
    </row>
    <row r="50" spans="1:7" s="14" customFormat="1" x14ac:dyDescent="0.35">
      <c r="A50" s="15"/>
      <c r="B50" s="6"/>
      <c r="C50" s="18"/>
      <c r="D50" s="28"/>
      <c r="E50" s="16"/>
      <c r="G50"/>
    </row>
    <row r="51" spans="1:7" s="14" customFormat="1" x14ac:dyDescent="0.35">
      <c r="A51" s="15"/>
      <c r="B51" s="6"/>
      <c r="C51" s="18"/>
      <c r="D51" s="28"/>
      <c r="E51" s="16"/>
      <c r="G51"/>
    </row>
    <row r="52" spans="1:7" s="14" customFormat="1" x14ac:dyDescent="0.35">
      <c r="A52" s="15"/>
      <c r="B52" s="6"/>
      <c r="C52" s="18"/>
      <c r="D52" s="28"/>
      <c r="E52" s="16"/>
      <c r="G52"/>
    </row>
    <row r="53" spans="1:7" s="14" customFormat="1" x14ac:dyDescent="0.35">
      <c r="A53" s="15"/>
      <c r="B53" s="6"/>
      <c r="C53" s="18"/>
      <c r="D53" s="28"/>
      <c r="E53" s="16"/>
      <c r="G53"/>
    </row>
    <row r="54" spans="1:7" s="14" customFormat="1" x14ac:dyDescent="0.35">
      <c r="A54" s="15"/>
      <c r="B54" s="6"/>
      <c r="C54" s="18"/>
      <c r="D54" s="28"/>
      <c r="E54" s="16"/>
      <c r="G54"/>
    </row>
    <row r="55" spans="1:7" s="14" customFormat="1" x14ac:dyDescent="0.35">
      <c r="A55" s="15"/>
      <c r="B55" s="6"/>
      <c r="C55" s="18"/>
      <c r="D55" s="28"/>
      <c r="E55" s="16"/>
      <c r="G55"/>
    </row>
    <row r="56" spans="1:7" s="14" customFormat="1" x14ac:dyDescent="0.35">
      <c r="A56" s="15"/>
      <c r="B56" s="6"/>
      <c r="C56" s="18"/>
      <c r="D56" s="28"/>
      <c r="E56" s="16"/>
      <c r="G56"/>
    </row>
    <row r="57" spans="1:7" s="14" customFormat="1" x14ac:dyDescent="0.35">
      <c r="A57" s="15"/>
      <c r="B57" s="6"/>
      <c r="C57" s="18"/>
      <c r="D57" s="28"/>
      <c r="E57" s="16"/>
      <c r="G57"/>
    </row>
    <row r="58" spans="1:7" s="14" customFormat="1" x14ac:dyDescent="0.35">
      <c r="A58" s="15"/>
      <c r="B58" s="6"/>
      <c r="C58" s="18"/>
      <c r="D58" s="28"/>
      <c r="E58" s="16"/>
      <c r="G58"/>
    </row>
    <row r="59" spans="1:7" s="14" customFormat="1" x14ac:dyDescent="0.35">
      <c r="A59" s="15"/>
      <c r="B59" s="6"/>
      <c r="C59" s="18"/>
      <c r="D59" s="28"/>
      <c r="E59" s="16"/>
      <c r="G59"/>
    </row>
    <row r="60" spans="1:7" s="14" customFormat="1" x14ac:dyDescent="0.35">
      <c r="A60" s="15"/>
      <c r="B60" s="6"/>
      <c r="C60" s="18"/>
      <c r="D60" s="28"/>
      <c r="E60" s="16"/>
      <c r="G60"/>
    </row>
    <row r="61" spans="1:7" s="14" customFormat="1" x14ac:dyDescent="0.35">
      <c r="A61" s="15"/>
      <c r="B61" s="6"/>
      <c r="C61" s="18"/>
      <c r="D61" s="28"/>
      <c r="E61" s="16"/>
      <c r="G61"/>
    </row>
    <row r="62" spans="1:7" s="14" customFormat="1" x14ac:dyDescent="0.35">
      <c r="A62" s="15"/>
      <c r="B62" s="6"/>
      <c r="C62" s="18"/>
      <c r="D62" s="28"/>
      <c r="E62" s="16"/>
      <c r="G62"/>
    </row>
    <row r="63" spans="1:7" s="14" customFormat="1" x14ac:dyDescent="0.35">
      <c r="A63" s="15"/>
      <c r="B63" s="6"/>
      <c r="C63" s="18"/>
      <c r="D63" s="28"/>
      <c r="E63" s="16"/>
      <c r="G63"/>
    </row>
    <row r="64" spans="1:7" s="14" customFormat="1" x14ac:dyDescent="0.35">
      <c r="A64" s="15"/>
      <c r="B64" s="6"/>
      <c r="C64" s="18"/>
      <c r="D64" s="28"/>
      <c r="E64" s="16"/>
      <c r="G64"/>
    </row>
    <row r="65" spans="1:7" s="14" customFormat="1" x14ac:dyDescent="0.35">
      <c r="A65" s="15"/>
      <c r="B65" s="6"/>
      <c r="C65" s="18"/>
      <c r="D65" s="28"/>
      <c r="E65" s="16"/>
      <c r="G65"/>
    </row>
    <row r="66" spans="1:7" s="14" customFormat="1" x14ac:dyDescent="0.35">
      <c r="A66" s="15"/>
      <c r="B66" s="6"/>
      <c r="C66" s="18"/>
      <c r="D66" s="28"/>
      <c r="E66" s="16"/>
      <c r="G66"/>
    </row>
    <row r="67" spans="1:7" s="14" customFormat="1" x14ac:dyDescent="0.35">
      <c r="A67" s="15"/>
      <c r="B67" s="6"/>
      <c r="C67" s="18"/>
      <c r="D67" s="28"/>
      <c r="E67" s="16"/>
      <c r="G67"/>
    </row>
    <row r="68" spans="1:7" s="14" customFormat="1" x14ac:dyDescent="0.35">
      <c r="A68" s="15"/>
      <c r="B68" s="6"/>
      <c r="C68" s="18"/>
      <c r="D68" s="28"/>
      <c r="E68" s="16"/>
      <c r="G68"/>
    </row>
    <row r="69" spans="1:7" s="14" customFormat="1" x14ac:dyDescent="0.35">
      <c r="A69" s="15"/>
      <c r="B69" s="6"/>
      <c r="C69" s="18"/>
      <c r="D69" s="28"/>
      <c r="E69" s="16"/>
      <c r="G69"/>
    </row>
    <row r="70" spans="1:7" s="14" customFormat="1" x14ac:dyDescent="0.35">
      <c r="A70" s="15"/>
      <c r="B70" s="6"/>
      <c r="C70" s="18"/>
      <c r="D70" s="28"/>
      <c r="E70" s="16"/>
      <c r="G70"/>
    </row>
    <row r="71" spans="1:7" s="14" customFormat="1" x14ac:dyDescent="0.35">
      <c r="A71" s="15"/>
      <c r="B71" s="6"/>
      <c r="C71" s="18"/>
      <c r="D71" s="28"/>
      <c r="E71" s="16"/>
      <c r="G71"/>
    </row>
    <row r="72" spans="1:7" s="14" customFormat="1" x14ac:dyDescent="0.35">
      <c r="A72" s="15"/>
      <c r="B72" s="6"/>
      <c r="C72" s="18"/>
      <c r="D72" s="28"/>
      <c r="E72" s="16"/>
      <c r="G72"/>
    </row>
    <row r="73" spans="1:7" s="14" customFormat="1" x14ac:dyDescent="0.35">
      <c r="A73" s="15"/>
      <c r="B73" s="6"/>
      <c r="C73" s="18"/>
      <c r="D73" s="28"/>
      <c r="E73" s="16"/>
      <c r="G73"/>
    </row>
    <row r="74" spans="1:7" s="14" customFormat="1" x14ac:dyDescent="0.35">
      <c r="A74" s="15"/>
      <c r="B74" s="6"/>
      <c r="C74" s="18"/>
      <c r="D74" s="28"/>
      <c r="E74" s="16"/>
      <c r="G74"/>
    </row>
    <row r="75" spans="1:7" s="14" customFormat="1" x14ac:dyDescent="0.35">
      <c r="A75" s="15"/>
      <c r="B75" s="6"/>
      <c r="C75" s="18"/>
      <c r="D75" s="28"/>
      <c r="E75" s="16"/>
      <c r="G75"/>
    </row>
    <row r="76" spans="1:7" s="14" customFormat="1" x14ac:dyDescent="0.35">
      <c r="A76" s="15"/>
      <c r="B76" s="6"/>
      <c r="C76" s="18"/>
      <c r="D76" s="28"/>
      <c r="E76" s="16"/>
      <c r="G76"/>
    </row>
    <row r="77" spans="1:7" s="14" customFormat="1" x14ac:dyDescent="0.35">
      <c r="A77" s="15"/>
      <c r="B77" s="6"/>
      <c r="C77" s="18"/>
      <c r="D77" s="28"/>
      <c r="E77" s="16"/>
      <c r="G77"/>
    </row>
    <row r="78" spans="1:7" s="14" customFormat="1" x14ac:dyDescent="0.35">
      <c r="A78" s="15"/>
      <c r="B78" s="6"/>
      <c r="C78" s="18"/>
      <c r="D78" s="28"/>
      <c r="E78" s="16"/>
      <c r="G78"/>
    </row>
    <row r="79" spans="1:7" s="14" customFormat="1" x14ac:dyDescent="0.35">
      <c r="A79" s="15"/>
      <c r="B79" s="6"/>
      <c r="C79" s="18"/>
      <c r="D79" s="28"/>
      <c r="E79" s="16"/>
      <c r="G79"/>
    </row>
    <row r="80" spans="1:7" s="14" customFormat="1" x14ac:dyDescent="0.35">
      <c r="A80" s="15"/>
      <c r="B80" s="6"/>
      <c r="C80" s="18"/>
      <c r="D80" s="28"/>
      <c r="E80" s="16"/>
      <c r="G80"/>
    </row>
    <row r="81" spans="1:7" s="14" customFormat="1" x14ac:dyDescent="0.35">
      <c r="A81" s="15"/>
      <c r="B81" s="6"/>
      <c r="C81" s="18"/>
      <c r="D81" s="28"/>
      <c r="E81" s="16"/>
      <c r="G81"/>
    </row>
    <row r="82" spans="1:7" s="14" customFormat="1" x14ac:dyDescent="0.35">
      <c r="A82" s="15"/>
      <c r="B82" s="6"/>
      <c r="C82" s="18"/>
      <c r="D82" s="28"/>
      <c r="E82" s="16"/>
      <c r="G82"/>
    </row>
    <row r="83" spans="1:7" s="14" customFormat="1" x14ac:dyDescent="0.35">
      <c r="A83" s="15"/>
      <c r="B83" s="6"/>
      <c r="C83" s="18"/>
      <c r="D83" s="28"/>
      <c r="E83" s="16"/>
      <c r="G83"/>
    </row>
    <row r="84" spans="1:7" s="14" customFormat="1" x14ac:dyDescent="0.35">
      <c r="A84" s="15"/>
      <c r="B84" s="6"/>
      <c r="C84" s="18"/>
      <c r="D84" s="28"/>
      <c r="E84" s="16"/>
      <c r="G84"/>
    </row>
    <row r="85" spans="1:7" s="14" customFormat="1" x14ac:dyDescent="0.35">
      <c r="A85" s="15"/>
      <c r="B85" s="6"/>
      <c r="C85" s="18"/>
      <c r="D85" s="28"/>
      <c r="E85" s="16"/>
      <c r="G85"/>
    </row>
    <row r="86" spans="1:7" s="14" customFormat="1" x14ac:dyDescent="0.35">
      <c r="A86" s="15"/>
      <c r="B86" s="6"/>
      <c r="C86" s="18"/>
      <c r="D86" s="28"/>
      <c r="E86" s="16"/>
      <c r="G86"/>
    </row>
    <row r="87" spans="1:7" s="14" customFormat="1" x14ac:dyDescent="0.35">
      <c r="A87" s="15"/>
      <c r="B87" s="6"/>
      <c r="C87" s="18"/>
      <c r="D87" s="28"/>
      <c r="E87" s="16"/>
      <c r="G87"/>
    </row>
    <row r="88" spans="1:7" s="14" customFormat="1" x14ac:dyDescent="0.35">
      <c r="A88" s="15"/>
      <c r="B88" s="6"/>
      <c r="C88" s="18"/>
      <c r="D88" s="28"/>
      <c r="E88" s="16"/>
      <c r="G88"/>
    </row>
    <row r="89" spans="1:7" s="14" customFormat="1" x14ac:dyDescent="0.35">
      <c r="A89" s="15"/>
      <c r="B89" s="6"/>
      <c r="C89" s="18"/>
      <c r="D89" s="28"/>
      <c r="E89" s="16"/>
      <c r="G89"/>
    </row>
    <row r="90" spans="1:7" s="14" customFormat="1" x14ac:dyDescent="0.35">
      <c r="A90" s="15"/>
      <c r="B90" s="6"/>
      <c r="C90" s="18"/>
      <c r="D90" s="28"/>
      <c r="E90" s="16"/>
      <c r="G90"/>
    </row>
    <row r="91" spans="1:7" s="14" customFormat="1" x14ac:dyDescent="0.35">
      <c r="A91" s="15"/>
      <c r="B91" s="6"/>
      <c r="C91" s="18"/>
      <c r="D91" s="28"/>
      <c r="E91" s="16"/>
      <c r="G91"/>
    </row>
    <row r="92" spans="1:7" s="14" customFormat="1" x14ac:dyDescent="0.35">
      <c r="A92" s="15"/>
      <c r="B92" s="6"/>
      <c r="C92" s="18"/>
      <c r="D92" s="28"/>
      <c r="E92" s="16"/>
      <c r="G92"/>
    </row>
    <row r="93" spans="1:7" s="14" customFormat="1" x14ac:dyDescent="0.35">
      <c r="A93" s="15"/>
      <c r="B93" s="6"/>
      <c r="C93" s="18"/>
      <c r="D93" s="28"/>
      <c r="E93" s="16"/>
      <c r="G93"/>
    </row>
    <row r="94" spans="1:7" s="14" customFormat="1" x14ac:dyDescent="0.35">
      <c r="A94" s="15"/>
      <c r="B94" s="6"/>
      <c r="C94" s="18"/>
      <c r="D94" s="28"/>
      <c r="E94" s="16"/>
      <c r="G94"/>
    </row>
    <row r="95" spans="1:7" s="14" customFormat="1" x14ac:dyDescent="0.35">
      <c r="A95" s="15"/>
      <c r="B95" s="6"/>
      <c r="C95" s="18"/>
      <c r="D95" s="28"/>
      <c r="E95" s="16"/>
      <c r="G95"/>
    </row>
    <row r="96" spans="1:7" s="14" customFormat="1" x14ac:dyDescent="0.35">
      <c r="A96" s="15"/>
      <c r="B96" s="6"/>
      <c r="C96" s="18"/>
      <c r="D96" s="28"/>
      <c r="E96" s="16"/>
      <c r="G96"/>
    </row>
    <row r="97" spans="1:7" s="14" customFormat="1" x14ac:dyDescent="0.35">
      <c r="A97" s="15"/>
      <c r="B97" s="6"/>
      <c r="C97" s="18"/>
      <c r="D97" s="28"/>
      <c r="E97" s="16"/>
      <c r="G97"/>
    </row>
    <row r="98" spans="1:7" s="14" customFormat="1" x14ac:dyDescent="0.35">
      <c r="A98" s="15"/>
      <c r="B98" s="6"/>
      <c r="C98" s="18"/>
      <c r="D98" s="28"/>
      <c r="E98" s="16"/>
      <c r="G98"/>
    </row>
    <row r="99" spans="1:7" s="14" customFormat="1" x14ac:dyDescent="0.35">
      <c r="A99" s="15"/>
      <c r="B99" s="6"/>
      <c r="C99" s="18"/>
      <c r="D99" s="28"/>
      <c r="E99" s="16"/>
      <c r="G99"/>
    </row>
    <row r="100" spans="1:7" s="14" customFormat="1" x14ac:dyDescent="0.35">
      <c r="A100" s="15"/>
      <c r="B100" s="6"/>
      <c r="C100" s="18"/>
      <c r="D100" s="28"/>
      <c r="E100" s="16"/>
      <c r="G100"/>
    </row>
    <row r="101" spans="1:7" s="14" customFormat="1" x14ac:dyDescent="0.35">
      <c r="A101" s="15"/>
      <c r="B101" s="6"/>
      <c r="C101" s="18"/>
      <c r="D101" s="28"/>
      <c r="E101" s="16"/>
      <c r="G101"/>
    </row>
    <row r="102" spans="1:7" s="14" customFormat="1" x14ac:dyDescent="0.35">
      <c r="A102" s="15"/>
      <c r="B102" s="6"/>
      <c r="C102" s="18"/>
      <c r="D102" s="28"/>
      <c r="E102" s="16"/>
      <c r="G102"/>
    </row>
    <row r="103" spans="1:7" s="14" customFormat="1" x14ac:dyDescent="0.35">
      <c r="A103" s="15"/>
      <c r="B103" s="6"/>
      <c r="C103" s="18"/>
      <c r="D103" s="28"/>
      <c r="E103" s="16"/>
      <c r="G103"/>
    </row>
    <row r="104" spans="1:7" s="14" customFormat="1" x14ac:dyDescent="0.35">
      <c r="A104" s="15"/>
      <c r="B104" s="6"/>
      <c r="C104" s="18"/>
      <c r="D104" s="28"/>
      <c r="E104" s="16"/>
      <c r="G104"/>
    </row>
    <row r="105" spans="1:7" s="14" customFormat="1" x14ac:dyDescent="0.35">
      <c r="A105" s="15"/>
      <c r="B105" s="6"/>
      <c r="C105" s="18"/>
      <c r="D105" s="28"/>
      <c r="E105" s="16"/>
      <c r="G105"/>
    </row>
    <row r="106" spans="1:7" s="14" customFormat="1" x14ac:dyDescent="0.35">
      <c r="A106" s="15"/>
      <c r="B106" s="6"/>
      <c r="C106" s="18"/>
      <c r="D106" s="28"/>
      <c r="E106" s="16"/>
      <c r="G106"/>
    </row>
    <row r="107" spans="1:7" s="14" customFormat="1" x14ac:dyDescent="0.35">
      <c r="A107" s="15"/>
      <c r="B107" s="6"/>
      <c r="C107" s="18"/>
      <c r="D107" s="28"/>
      <c r="E107" s="16"/>
      <c r="G107"/>
    </row>
    <row r="108" spans="1:7" s="14" customFormat="1" x14ac:dyDescent="0.35">
      <c r="A108" s="15"/>
      <c r="B108" s="6"/>
      <c r="C108" s="18"/>
      <c r="D108" s="28"/>
      <c r="E108" s="16"/>
      <c r="G108"/>
    </row>
    <row r="109" spans="1:7" s="14" customFormat="1" x14ac:dyDescent="0.35">
      <c r="A109" s="15"/>
      <c r="B109" s="6"/>
      <c r="C109" s="18"/>
      <c r="D109" s="28"/>
      <c r="E109" s="16"/>
      <c r="G109"/>
    </row>
    <row r="110" spans="1:7" s="14" customFormat="1" x14ac:dyDescent="0.35">
      <c r="A110" s="15"/>
      <c r="B110" s="6"/>
      <c r="C110" s="18"/>
      <c r="D110" s="28"/>
      <c r="E110" s="16"/>
      <c r="G110"/>
    </row>
    <row r="111" spans="1:7" s="14" customFormat="1" x14ac:dyDescent="0.35">
      <c r="A111" s="15"/>
      <c r="B111" s="6"/>
      <c r="C111" s="18"/>
      <c r="D111" s="28"/>
      <c r="E111" s="16"/>
      <c r="G111"/>
    </row>
    <row r="112" spans="1:7" s="14" customFormat="1" x14ac:dyDescent="0.35">
      <c r="A112" s="15"/>
      <c r="B112" s="6"/>
      <c r="C112" s="18"/>
      <c r="D112" s="28"/>
      <c r="E112" s="16"/>
      <c r="G112"/>
    </row>
    <row r="113" spans="1:7" s="14" customFormat="1" x14ac:dyDescent="0.35">
      <c r="A113" s="15"/>
      <c r="B113" s="6"/>
      <c r="C113" s="18"/>
      <c r="D113" s="28"/>
      <c r="E113" s="16"/>
      <c r="G113"/>
    </row>
    <row r="114" spans="1:7" s="14" customFormat="1" x14ac:dyDescent="0.35">
      <c r="A114" s="15"/>
      <c r="B114" s="6"/>
      <c r="C114" s="18"/>
      <c r="D114" s="28"/>
      <c r="E114" s="16"/>
      <c r="G114"/>
    </row>
    <row r="115" spans="1:7" s="14" customFormat="1" x14ac:dyDescent="0.35">
      <c r="A115" s="15"/>
      <c r="B115" s="6"/>
      <c r="C115" s="18"/>
      <c r="D115" s="28"/>
      <c r="E115" s="16"/>
      <c r="G115"/>
    </row>
    <row r="116" spans="1:7" s="14" customFormat="1" x14ac:dyDescent="0.35">
      <c r="A116" s="15"/>
      <c r="B116" s="6"/>
      <c r="C116" s="18"/>
      <c r="D116" s="28"/>
      <c r="E116" s="16"/>
      <c r="G116"/>
    </row>
    <row r="117" spans="1:7" s="14" customFormat="1" x14ac:dyDescent="0.35">
      <c r="A117" s="15"/>
      <c r="B117" s="6"/>
      <c r="C117" s="18"/>
      <c r="D117" s="28"/>
      <c r="E117" s="16"/>
      <c r="G117"/>
    </row>
    <row r="118" spans="1:7" s="14" customFormat="1" x14ac:dyDescent="0.35">
      <c r="A118" s="15"/>
      <c r="B118" s="6"/>
      <c r="C118" s="18"/>
      <c r="D118" s="28"/>
      <c r="E118" s="16"/>
      <c r="G118"/>
    </row>
    <row r="119" spans="1:7" s="14" customFormat="1" x14ac:dyDescent="0.35">
      <c r="A119" s="15"/>
      <c r="B119" s="6"/>
      <c r="C119" s="18"/>
      <c r="D119" s="28"/>
      <c r="E119" s="16"/>
      <c r="G119"/>
    </row>
    <row r="120" spans="1:7" s="14" customFormat="1" x14ac:dyDescent="0.35">
      <c r="A120" s="15"/>
      <c r="B120" s="6"/>
      <c r="C120" s="18"/>
      <c r="D120" s="28"/>
      <c r="E120" s="16"/>
      <c r="G120"/>
    </row>
    <row r="121" spans="1:7" s="14" customFormat="1" x14ac:dyDescent="0.35">
      <c r="A121" s="15"/>
      <c r="B121" s="6"/>
      <c r="C121" s="18"/>
      <c r="D121" s="28"/>
      <c r="E121" s="16"/>
      <c r="G121"/>
    </row>
    <row r="122" spans="1:7" s="14" customFormat="1" x14ac:dyDescent="0.35">
      <c r="A122" s="15"/>
      <c r="B122" s="6"/>
      <c r="C122" s="18"/>
      <c r="D122" s="28"/>
      <c r="E122" s="16"/>
      <c r="G122"/>
    </row>
    <row r="123" spans="1:7" s="14" customFormat="1" x14ac:dyDescent="0.35">
      <c r="A123" s="15"/>
      <c r="B123" s="6"/>
      <c r="C123" s="18"/>
      <c r="D123" s="28"/>
      <c r="E123" s="16"/>
      <c r="G123"/>
    </row>
    <row r="124" spans="1:7" s="14" customFormat="1" x14ac:dyDescent="0.35">
      <c r="A124" s="15"/>
      <c r="B124" s="6"/>
      <c r="C124" s="18"/>
      <c r="D124" s="28"/>
      <c r="E124" s="16"/>
      <c r="G124"/>
    </row>
    <row r="125" spans="1:7" s="14" customFormat="1" x14ac:dyDescent="0.35">
      <c r="A125" s="15"/>
      <c r="B125" s="6"/>
      <c r="C125" s="18"/>
      <c r="D125" s="28"/>
      <c r="E125" s="16"/>
      <c r="G125"/>
    </row>
    <row r="126" spans="1:7" s="14" customFormat="1" x14ac:dyDescent="0.35">
      <c r="A126" s="15"/>
      <c r="B126" s="6"/>
      <c r="C126" s="18"/>
      <c r="D126" s="28"/>
      <c r="E126" s="16"/>
      <c r="G126"/>
    </row>
    <row r="127" spans="1:7" s="14" customFormat="1" x14ac:dyDescent="0.35">
      <c r="A127" s="15"/>
      <c r="B127" s="6"/>
      <c r="C127" s="18"/>
      <c r="D127" s="28"/>
      <c r="E127" s="16"/>
      <c r="G127"/>
    </row>
    <row r="128" spans="1:7" s="14" customFormat="1" x14ac:dyDescent="0.35">
      <c r="A128" s="15"/>
      <c r="B128" s="6"/>
      <c r="C128" s="18"/>
      <c r="D128" s="28"/>
      <c r="E128" s="16"/>
      <c r="G128"/>
    </row>
    <row r="129" spans="1:7" s="14" customFormat="1" x14ac:dyDescent="0.35">
      <c r="A129" s="15"/>
      <c r="B129" s="6"/>
      <c r="C129" s="18"/>
      <c r="D129" s="28"/>
      <c r="E129" s="16"/>
      <c r="G129"/>
    </row>
    <row r="130" spans="1:7" s="14" customFormat="1" x14ac:dyDescent="0.35">
      <c r="A130" s="15"/>
      <c r="B130" s="6"/>
      <c r="C130" s="18"/>
      <c r="D130" s="28"/>
      <c r="E130" s="16"/>
      <c r="G130"/>
    </row>
    <row r="131" spans="1:7" s="14" customFormat="1" x14ac:dyDescent="0.35">
      <c r="A131" s="15"/>
      <c r="B131" s="6"/>
      <c r="C131" s="18"/>
      <c r="D131" s="28"/>
      <c r="E131" s="16"/>
      <c r="G131"/>
    </row>
    <row r="132" spans="1:7" s="14" customFormat="1" x14ac:dyDescent="0.35">
      <c r="A132" s="15"/>
      <c r="B132" s="6"/>
      <c r="C132" s="18"/>
      <c r="D132" s="28"/>
      <c r="E132" s="16"/>
      <c r="G132"/>
    </row>
    <row r="133" spans="1:7" s="14" customFormat="1" x14ac:dyDescent="0.35">
      <c r="A133" s="15"/>
      <c r="B133" s="6"/>
      <c r="C133" s="18"/>
      <c r="D133" s="28"/>
      <c r="E133" s="16"/>
      <c r="G133"/>
    </row>
    <row r="134" spans="1:7" s="14" customFormat="1" x14ac:dyDescent="0.35">
      <c r="A134" s="15"/>
      <c r="B134" s="6"/>
      <c r="C134" s="18"/>
      <c r="D134" s="28"/>
      <c r="E134" s="16"/>
      <c r="G134"/>
    </row>
    <row r="135" spans="1:7" s="14" customFormat="1" x14ac:dyDescent="0.35">
      <c r="A135" s="15"/>
      <c r="B135" s="6"/>
      <c r="C135" s="18"/>
      <c r="D135" s="28"/>
      <c r="E135" s="16"/>
      <c r="G135"/>
    </row>
    <row r="136" spans="1:7" s="14" customFormat="1" x14ac:dyDescent="0.35">
      <c r="A136" s="15"/>
      <c r="B136" s="6"/>
      <c r="C136" s="18"/>
      <c r="D136" s="28"/>
      <c r="E136" s="16"/>
      <c r="G136"/>
    </row>
    <row r="137" spans="1:7" s="14" customFormat="1" x14ac:dyDescent="0.35">
      <c r="A137" s="15"/>
      <c r="B137" s="6"/>
      <c r="C137" s="18"/>
      <c r="D137" s="28"/>
      <c r="E137" s="16"/>
      <c r="G137"/>
    </row>
    <row r="138" spans="1:7" s="14" customFormat="1" x14ac:dyDescent="0.35">
      <c r="A138" s="15"/>
      <c r="B138" s="6"/>
      <c r="C138" s="18"/>
      <c r="D138" s="28"/>
      <c r="E138" s="16"/>
      <c r="G138"/>
    </row>
    <row r="139" spans="1:7" s="14" customFormat="1" x14ac:dyDescent="0.35">
      <c r="A139" s="15"/>
      <c r="B139" s="6"/>
      <c r="C139" s="18"/>
      <c r="D139" s="28"/>
      <c r="E139" s="16"/>
      <c r="G139"/>
    </row>
    <row r="140" spans="1:7" s="14" customFormat="1" x14ac:dyDescent="0.35">
      <c r="A140" s="15"/>
      <c r="B140" s="6"/>
      <c r="C140" s="18"/>
      <c r="D140" s="28"/>
      <c r="E140" s="16"/>
      <c r="G140"/>
    </row>
    <row r="141" spans="1:7" s="14" customFormat="1" x14ac:dyDescent="0.35">
      <c r="A141" s="15"/>
      <c r="B141" s="6"/>
      <c r="C141" s="18"/>
      <c r="D141" s="28"/>
      <c r="E141" s="16"/>
      <c r="G141"/>
    </row>
    <row r="142" spans="1:7" s="14" customFormat="1" x14ac:dyDescent="0.35">
      <c r="A142" s="15"/>
      <c r="B142" s="6"/>
      <c r="C142" s="18"/>
      <c r="D142" s="28"/>
      <c r="E142" s="16"/>
      <c r="G142"/>
    </row>
    <row r="143" spans="1:7" s="14" customFormat="1" x14ac:dyDescent="0.35">
      <c r="A143" s="15"/>
      <c r="B143" s="6"/>
      <c r="C143" s="18"/>
      <c r="D143" s="28"/>
      <c r="E143" s="16"/>
      <c r="G143"/>
    </row>
    <row r="144" spans="1:7" s="14" customFormat="1" x14ac:dyDescent="0.35">
      <c r="A144" s="15"/>
      <c r="B144" s="6"/>
      <c r="C144" s="18"/>
      <c r="D144" s="28"/>
      <c r="E144" s="16"/>
      <c r="G144"/>
    </row>
    <row r="145" spans="1:7" s="14" customFormat="1" x14ac:dyDescent="0.35">
      <c r="A145" s="15"/>
      <c r="B145" s="6"/>
      <c r="C145" s="18"/>
      <c r="D145" s="28"/>
      <c r="E145" s="16"/>
      <c r="G145"/>
    </row>
    <row r="146" spans="1:7" s="14" customFormat="1" x14ac:dyDescent="0.35">
      <c r="A146" s="15"/>
      <c r="B146" s="6"/>
      <c r="C146" s="18"/>
      <c r="D146" s="28"/>
      <c r="E146" s="16"/>
      <c r="G146"/>
    </row>
    <row r="147" spans="1:7" s="14" customFormat="1" x14ac:dyDescent="0.35">
      <c r="A147" s="15"/>
      <c r="B147" s="6"/>
      <c r="C147" s="18"/>
      <c r="D147" s="28"/>
      <c r="E147" s="16"/>
      <c r="G147"/>
    </row>
    <row r="148" spans="1:7" s="14" customFormat="1" x14ac:dyDescent="0.35">
      <c r="A148" s="15"/>
      <c r="B148" s="6"/>
      <c r="C148" s="18"/>
      <c r="D148" s="28"/>
      <c r="E148" s="16"/>
      <c r="G148"/>
    </row>
    <row r="149" spans="1:7" s="14" customFormat="1" x14ac:dyDescent="0.35">
      <c r="A149" s="15"/>
      <c r="B149" s="6"/>
      <c r="C149" s="18"/>
      <c r="D149" s="28"/>
      <c r="E149" s="16"/>
      <c r="G149"/>
    </row>
    <row r="150" spans="1:7" s="14" customFormat="1" x14ac:dyDescent="0.35">
      <c r="A150" s="15"/>
      <c r="B150" s="6"/>
      <c r="C150" s="18"/>
      <c r="D150" s="28"/>
      <c r="E150" s="16"/>
      <c r="G150"/>
    </row>
    <row r="151" spans="1:7" s="14" customFormat="1" x14ac:dyDescent="0.35">
      <c r="A151" s="15"/>
      <c r="B151" s="6"/>
      <c r="C151" s="18"/>
      <c r="D151" s="28"/>
      <c r="E151" s="16"/>
      <c r="G151"/>
    </row>
    <row r="152" spans="1:7" s="14" customFormat="1" x14ac:dyDescent="0.35">
      <c r="A152" s="15"/>
      <c r="B152" s="6"/>
      <c r="C152" s="18"/>
      <c r="D152" s="28"/>
      <c r="E152" s="16"/>
      <c r="G152"/>
    </row>
    <row r="153" spans="1:7" s="14" customFormat="1" x14ac:dyDescent="0.35">
      <c r="A153" s="15"/>
      <c r="B153" s="6"/>
      <c r="C153" s="18"/>
      <c r="D153" s="28"/>
      <c r="E153" s="16"/>
      <c r="G153"/>
    </row>
    <row r="154" spans="1:7" s="14" customFormat="1" x14ac:dyDescent="0.35">
      <c r="A154" s="15"/>
      <c r="B154" s="6"/>
      <c r="C154" s="18"/>
      <c r="D154" s="28"/>
      <c r="E154" s="16"/>
      <c r="G154"/>
    </row>
    <row r="155" spans="1:7" s="14" customFormat="1" x14ac:dyDescent="0.35">
      <c r="A155" s="15"/>
      <c r="B155" s="6"/>
      <c r="C155" s="18"/>
      <c r="D155" s="28"/>
      <c r="E155" s="16"/>
      <c r="G155"/>
    </row>
    <row r="156" spans="1:7" s="14" customFormat="1" x14ac:dyDescent="0.35">
      <c r="A156" s="15"/>
      <c r="B156" s="6"/>
      <c r="C156" s="18"/>
      <c r="D156" s="28"/>
      <c r="E156" s="16"/>
      <c r="G156"/>
    </row>
    <row r="157" spans="1:7" s="14" customFormat="1" x14ac:dyDescent="0.35">
      <c r="A157" s="15"/>
      <c r="B157" s="6"/>
      <c r="C157" s="18"/>
      <c r="D157" s="28"/>
      <c r="E157" s="16"/>
      <c r="G157"/>
    </row>
    <row r="158" spans="1:7" s="14" customFormat="1" x14ac:dyDescent="0.35">
      <c r="A158" s="15"/>
      <c r="B158" s="6"/>
      <c r="C158" s="18"/>
      <c r="D158" s="28"/>
      <c r="E158" s="16"/>
      <c r="G158"/>
    </row>
    <row r="159" spans="1:7" s="14" customFormat="1" x14ac:dyDescent="0.35">
      <c r="A159" s="15"/>
      <c r="B159" s="6"/>
      <c r="C159" s="18"/>
      <c r="D159" s="28"/>
      <c r="E159" s="16"/>
      <c r="G159"/>
    </row>
    <row r="160" spans="1:7" s="14" customFormat="1" x14ac:dyDescent="0.35">
      <c r="A160" s="15"/>
      <c r="B160" s="6"/>
      <c r="C160" s="18"/>
      <c r="D160" s="28"/>
      <c r="E160" s="16"/>
      <c r="G160"/>
    </row>
    <row r="161" spans="1:7" s="14" customFormat="1" x14ac:dyDescent="0.35">
      <c r="A161" s="15"/>
      <c r="B161" s="6"/>
      <c r="C161" s="18"/>
      <c r="D161" s="28"/>
      <c r="E161" s="16"/>
      <c r="G161"/>
    </row>
    <row r="162" spans="1:7" s="14" customFormat="1" x14ac:dyDescent="0.35">
      <c r="A162" s="15"/>
      <c r="B162" s="6"/>
      <c r="C162" s="18"/>
      <c r="D162" s="28"/>
      <c r="E162" s="16"/>
      <c r="G162"/>
    </row>
    <row r="163" spans="1:7" s="14" customFormat="1" x14ac:dyDescent="0.35">
      <c r="A163" s="15"/>
      <c r="B163" s="6"/>
      <c r="C163" s="18"/>
      <c r="D163" s="28"/>
      <c r="E163" s="16"/>
      <c r="G163"/>
    </row>
    <row r="164" spans="1:7" s="14" customFormat="1" x14ac:dyDescent="0.35">
      <c r="A164" s="15"/>
      <c r="B164" s="6"/>
      <c r="C164" s="18"/>
      <c r="D164" s="28"/>
      <c r="E164" s="16"/>
      <c r="G164"/>
    </row>
    <row r="165" spans="1:7" s="14" customFormat="1" x14ac:dyDescent="0.35">
      <c r="A165" s="15"/>
      <c r="B165" s="6"/>
      <c r="C165" s="18"/>
      <c r="D165" s="28"/>
      <c r="E165" s="16"/>
      <c r="G165"/>
    </row>
    <row r="166" spans="1:7" s="14" customFormat="1" x14ac:dyDescent="0.35">
      <c r="A166" s="15"/>
      <c r="B166" s="6"/>
      <c r="C166" s="18"/>
      <c r="D166" s="28"/>
      <c r="E166" s="16"/>
      <c r="G166"/>
    </row>
    <row r="167" spans="1:7" s="14" customFormat="1" x14ac:dyDescent="0.35">
      <c r="A167" s="15"/>
      <c r="B167" s="6"/>
      <c r="C167" s="18"/>
      <c r="D167" s="28"/>
      <c r="E167" s="16"/>
      <c r="G167"/>
    </row>
    <row r="168" spans="1:7" s="14" customFormat="1" x14ac:dyDescent="0.35">
      <c r="A168" s="15"/>
      <c r="B168" s="6"/>
      <c r="C168" s="18"/>
      <c r="D168" s="28"/>
      <c r="E168" s="16"/>
      <c r="G168"/>
    </row>
    <row r="169" spans="1:7" s="14" customFormat="1" x14ac:dyDescent="0.35">
      <c r="A169" s="15"/>
      <c r="B169" s="6"/>
      <c r="C169" s="18"/>
      <c r="D169" s="28"/>
      <c r="E169" s="16"/>
      <c r="G169"/>
    </row>
    <row r="170" spans="1:7" s="14" customFormat="1" x14ac:dyDescent="0.35">
      <c r="A170" s="15"/>
      <c r="B170" s="6"/>
      <c r="C170" s="18"/>
      <c r="D170" s="28"/>
      <c r="E170" s="16"/>
      <c r="G170"/>
    </row>
    <row r="171" spans="1:7" s="14" customFormat="1" x14ac:dyDescent="0.35">
      <c r="A171" s="15"/>
      <c r="B171" s="6"/>
      <c r="C171" s="18"/>
      <c r="D171" s="28"/>
      <c r="E171" s="16"/>
      <c r="G171"/>
    </row>
    <row r="172" spans="1:7" s="14" customFormat="1" x14ac:dyDescent="0.35">
      <c r="A172" s="15"/>
      <c r="B172" s="6"/>
      <c r="C172" s="18"/>
      <c r="D172" s="28"/>
      <c r="E172" s="16"/>
      <c r="G172"/>
    </row>
    <row r="173" spans="1:7" s="14" customFormat="1" x14ac:dyDescent="0.35">
      <c r="A173" s="15"/>
      <c r="B173" s="6"/>
      <c r="C173" s="18"/>
      <c r="D173" s="28"/>
      <c r="E173" s="16"/>
      <c r="G173"/>
    </row>
    <row r="174" spans="1:7" s="14" customFormat="1" x14ac:dyDescent="0.35">
      <c r="A174" s="15"/>
      <c r="B174" s="6"/>
      <c r="C174" s="18"/>
      <c r="D174" s="28"/>
      <c r="E174" s="16"/>
      <c r="G174"/>
    </row>
    <row r="175" spans="1:7" s="14" customFormat="1" x14ac:dyDescent="0.35">
      <c r="A175" s="15"/>
      <c r="B175" s="6"/>
      <c r="C175" s="18"/>
      <c r="D175" s="28"/>
      <c r="E175" s="16"/>
      <c r="G175"/>
    </row>
    <row r="176" spans="1:7" s="14" customFormat="1" x14ac:dyDescent="0.35">
      <c r="A176" s="15"/>
      <c r="B176" s="6"/>
      <c r="C176" s="18"/>
      <c r="D176" s="28"/>
      <c r="E176" s="16"/>
      <c r="G176"/>
    </row>
    <row r="177" spans="1:7" s="14" customFormat="1" x14ac:dyDescent="0.35">
      <c r="A177" s="15"/>
      <c r="B177" s="6"/>
      <c r="C177" s="18"/>
      <c r="D177" s="28"/>
      <c r="E177" s="16"/>
      <c r="G177"/>
    </row>
    <row r="178" spans="1:7" s="14" customFormat="1" x14ac:dyDescent="0.35">
      <c r="A178" s="15"/>
      <c r="B178" s="6"/>
      <c r="C178" s="18"/>
      <c r="D178" s="28"/>
      <c r="E178" s="16"/>
      <c r="G178"/>
    </row>
    <row r="179" spans="1:7" s="14" customFormat="1" x14ac:dyDescent="0.35">
      <c r="A179" s="15"/>
      <c r="B179" s="6"/>
      <c r="C179" s="18"/>
      <c r="D179" s="28"/>
      <c r="E179" s="16"/>
      <c r="G179"/>
    </row>
    <row r="180" spans="1:7" s="14" customFormat="1" x14ac:dyDescent="0.35">
      <c r="A180" s="15"/>
      <c r="B180" s="6"/>
      <c r="C180" s="18"/>
      <c r="D180" s="28"/>
      <c r="E180" s="16"/>
      <c r="G180"/>
    </row>
    <row r="181" spans="1:7" s="14" customFormat="1" x14ac:dyDescent="0.35">
      <c r="A181" s="15"/>
      <c r="B181" s="6"/>
      <c r="C181" s="18"/>
      <c r="D181" s="28"/>
      <c r="E181" s="16"/>
      <c r="G181"/>
    </row>
    <row r="182" spans="1:7" s="14" customFormat="1" x14ac:dyDescent="0.35">
      <c r="A182" s="15"/>
      <c r="B182" s="6"/>
      <c r="C182" s="18"/>
      <c r="D182" s="28"/>
      <c r="E182" s="16"/>
      <c r="G182"/>
    </row>
    <row r="183" spans="1:7" s="14" customFormat="1" x14ac:dyDescent="0.35">
      <c r="A183" s="15"/>
      <c r="B183" s="6"/>
      <c r="C183" s="18"/>
      <c r="D183" s="28"/>
      <c r="E183" s="16"/>
      <c r="G183"/>
    </row>
    <row r="184" spans="1:7" s="14" customFormat="1" x14ac:dyDescent="0.35">
      <c r="A184" s="15"/>
      <c r="B184" s="6"/>
      <c r="C184" s="18"/>
      <c r="D184" s="28"/>
      <c r="E184" s="16"/>
      <c r="G184"/>
    </row>
    <row r="185" spans="1:7" s="14" customFormat="1" x14ac:dyDescent="0.35">
      <c r="A185" s="15"/>
      <c r="B185" s="6"/>
      <c r="C185" s="18"/>
      <c r="D185" s="28"/>
      <c r="E185" s="16"/>
      <c r="G185"/>
    </row>
    <row r="186" spans="1:7" s="14" customFormat="1" x14ac:dyDescent="0.35">
      <c r="A186" s="15"/>
      <c r="B186" s="6"/>
      <c r="C186" s="18"/>
      <c r="D186" s="28"/>
      <c r="E186" s="16"/>
      <c r="G186"/>
    </row>
    <row r="187" spans="1:7" s="14" customFormat="1" x14ac:dyDescent="0.35">
      <c r="A187" s="15"/>
      <c r="B187" s="6"/>
      <c r="C187" s="18"/>
      <c r="D187" s="28"/>
      <c r="E187" s="16"/>
      <c r="G187"/>
    </row>
    <row r="188" spans="1:7" s="14" customFormat="1" x14ac:dyDescent="0.35">
      <c r="A188" s="15"/>
      <c r="B188" s="6"/>
      <c r="C188" s="18"/>
      <c r="D188" s="28"/>
      <c r="E188" s="16"/>
      <c r="G188"/>
    </row>
    <row r="189" spans="1:7" s="14" customFormat="1" x14ac:dyDescent="0.35">
      <c r="A189" s="15"/>
      <c r="B189" s="6"/>
      <c r="C189" s="18"/>
      <c r="D189" s="28"/>
      <c r="E189" s="16"/>
      <c r="G189"/>
    </row>
    <row r="190" spans="1:7" s="14" customFormat="1" x14ac:dyDescent="0.35">
      <c r="A190" s="15"/>
      <c r="B190" s="6"/>
      <c r="C190" s="18"/>
      <c r="D190" s="28"/>
      <c r="E190" s="16"/>
      <c r="G190"/>
    </row>
    <row r="191" spans="1:7" s="14" customFormat="1" x14ac:dyDescent="0.35">
      <c r="A191" s="15"/>
      <c r="B191" s="6"/>
      <c r="C191" s="18"/>
      <c r="D191" s="28"/>
      <c r="E191" s="16"/>
      <c r="G191"/>
    </row>
    <row r="192" spans="1:7" s="14" customFormat="1" x14ac:dyDescent="0.35">
      <c r="A192" s="15"/>
      <c r="B192" s="6"/>
      <c r="C192" s="18"/>
      <c r="D192" s="28"/>
      <c r="E192" s="16"/>
      <c r="G192"/>
    </row>
    <row r="193" spans="1:7" s="14" customFormat="1" x14ac:dyDescent="0.35">
      <c r="A193" s="15"/>
      <c r="B193" s="6"/>
      <c r="C193" s="18"/>
      <c r="D193" s="28"/>
      <c r="E193" s="16"/>
      <c r="G193"/>
    </row>
    <row r="194" spans="1:7" s="14" customFormat="1" x14ac:dyDescent="0.35">
      <c r="A194" s="15"/>
      <c r="B194" s="6"/>
      <c r="C194" s="18"/>
      <c r="D194" s="28"/>
      <c r="E194" s="16"/>
      <c r="G194"/>
    </row>
    <row r="195" spans="1:7" s="14" customFormat="1" x14ac:dyDescent="0.35">
      <c r="A195" s="15"/>
      <c r="B195" s="6"/>
      <c r="C195" s="18"/>
      <c r="D195" s="28"/>
      <c r="E195" s="16"/>
      <c r="G195"/>
    </row>
    <row r="196" spans="1:7" s="14" customFormat="1" x14ac:dyDescent="0.35">
      <c r="A196" s="15"/>
      <c r="B196" s="6"/>
      <c r="C196" s="18"/>
      <c r="D196" s="28"/>
      <c r="E196" s="16"/>
      <c r="G196"/>
    </row>
    <row r="197" spans="1:7" s="14" customFormat="1" x14ac:dyDescent="0.35">
      <c r="A197" s="15"/>
      <c r="B197" s="6"/>
      <c r="C197" s="18"/>
      <c r="D197" s="28"/>
      <c r="E197" s="16"/>
      <c r="G197"/>
    </row>
    <row r="198" spans="1:7" s="14" customFormat="1" x14ac:dyDescent="0.35">
      <c r="A198" s="15"/>
      <c r="B198" s="6"/>
      <c r="C198" s="18"/>
      <c r="D198" s="28"/>
      <c r="E198" s="16"/>
      <c r="G198"/>
    </row>
    <row r="199" spans="1:7" s="14" customFormat="1" x14ac:dyDescent="0.35">
      <c r="A199" s="15"/>
      <c r="B199" s="6"/>
      <c r="C199" s="18"/>
      <c r="D199" s="28"/>
      <c r="E199" s="16"/>
      <c r="G199"/>
    </row>
    <row r="200" spans="1:7" s="14" customFormat="1" x14ac:dyDescent="0.35">
      <c r="A200" s="15"/>
      <c r="B200" s="6"/>
      <c r="C200" s="18"/>
      <c r="D200" s="28"/>
      <c r="E200" s="16"/>
      <c r="G200"/>
    </row>
    <row r="201" spans="1:7" s="14" customFormat="1" x14ac:dyDescent="0.35">
      <c r="A201" s="15"/>
      <c r="B201" s="6"/>
      <c r="C201" s="18"/>
      <c r="D201" s="28"/>
      <c r="E201" s="16"/>
      <c r="G201"/>
    </row>
    <row r="202" spans="1:7" s="14" customFormat="1" x14ac:dyDescent="0.35">
      <c r="A202" s="15"/>
      <c r="B202" s="6"/>
      <c r="C202" s="18"/>
      <c r="D202" s="28"/>
      <c r="E202" s="16"/>
      <c r="G202"/>
    </row>
    <row r="203" spans="1:7" s="14" customFormat="1" x14ac:dyDescent="0.35">
      <c r="A203" s="15"/>
      <c r="B203" s="6"/>
      <c r="C203" s="18"/>
      <c r="D203" s="28"/>
      <c r="E203" s="16"/>
      <c r="G203"/>
    </row>
    <row r="204" spans="1:7" s="14" customFormat="1" x14ac:dyDescent="0.35">
      <c r="A204" s="15"/>
      <c r="B204" s="6"/>
      <c r="C204" s="18"/>
      <c r="D204" s="28"/>
      <c r="E204" s="16"/>
      <c r="G204"/>
    </row>
    <row r="205" spans="1:7" s="14" customFormat="1" x14ac:dyDescent="0.35">
      <c r="A205" s="15"/>
      <c r="B205" s="6"/>
      <c r="C205" s="18"/>
      <c r="D205" s="28"/>
      <c r="E205" s="16"/>
      <c r="G205"/>
    </row>
    <row r="206" spans="1:7" s="14" customFormat="1" x14ac:dyDescent="0.35">
      <c r="A206" s="15"/>
      <c r="B206" s="6"/>
      <c r="C206" s="18"/>
      <c r="D206" s="28"/>
      <c r="E206" s="16"/>
      <c r="G206"/>
    </row>
    <row r="207" spans="1:7" s="14" customFormat="1" x14ac:dyDescent="0.35">
      <c r="A207" s="15"/>
      <c r="B207" s="6"/>
      <c r="C207" s="18"/>
      <c r="D207" s="28"/>
      <c r="E207" s="16"/>
      <c r="G207"/>
    </row>
    <row r="208" spans="1:7" s="14" customFormat="1" x14ac:dyDescent="0.35">
      <c r="A208" s="15"/>
      <c r="B208" s="6"/>
      <c r="C208" s="18"/>
      <c r="D208" s="28"/>
      <c r="E208" s="16"/>
      <c r="G208"/>
    </row>
    <row r="209" spans="1:7" s="14" customFormat="1" x14ac:dyDescent="0.35">
      <c r="A209" s="15"/>
      <c r="B209" s="6"/>
      <c r="C209" s="18"/>
      <c r="D209" s="28"/>
      <c r="E209" s="16"/>
      <c r="G209"/>
    </row>
    <row r="210" spans="1:7" s="14" customFormat="1" x14ac:dyDescent="0.35">
      <c r="A210" s="15"/>
      <c r="B210" s="6"/>
      <c r="C210" s="18"/>
      <c r="D210" s="28"/>
      <c r="E210" s="16"/>
      <c r="G210"/>
    </row>
    <row r="211" spans="1:7" s="14" customFormat="1" x14ac:dyDescent="0.35">
      <c r="A211" s="15"/>
      <c r="B211" s="6"/>
      <c r="C211" s="18"/>
      <c r="D211" s="28"/>
      <c r="E211" s="16"/>
      <c r="G211"/>
    </row>
    <row r="212" spans="1:7" s="14" customFormat="1" x14ac:dyDescent="0.35">
      <c r="A212" s="15"/>
      <c r="B212" s="6"/>
      <c r="C212" s="18"/>
      <c r="D212" s="28"/>
      <c r="E212" s="16"/>
      <c r="G212"/>
    </row>
    <row r="213" spans="1:7" s="14" customFormat="1" x14ac:dyDescent="0.35">
      <c r="A213" s="15"/>
      <c r="B213" s="6"/>
      <c r="C213" s="18"/>
      <c r="D213" s="28"/>
      <c r="E213" s="16"/>
      <c r="G213"/>
    </row>
    <row r="214" spans="1:7" s="14" customFormat="1" x14ac:dyDescent="0.35">
      <c r="A214" s="15"/>
      <c r="B214" s="6"/>
      <c r="C214" s="18"/>
      <c r="D214" s="28"/>
      <c r="E214" s="16"/>
      <c r="G214"/>
    </row>
    <row r="215" spans="1:7" s="14" customFormat="1" x14ac:dyDescent="0.35">
      <c r="A215" s="15"/>
      <c r="B215" s="6"/>
      <c r="C215" s="18"/>
      <c r="D215" s="28"/>
      <c r="E215" s="16"/>
      <c r="G215"/>
    </row>
    <row r="216" spans="1:7" s="14" customFormat="1" x14ac:dyDescent="0.35">
      <c r="A216" s="15"/>
      <c r="B216" s="6"/>
      <c r="C216" s="18"/>
      <c r="D216" s="28"/>
      <c r="E216" s="16"/>
      <c r="G216"/>
    </row>
    <row r="217" spans="1:7" s="14" customFormat="1" x14ac:dyDescent="0.35">
      <c r="A217" s="15"/>
      <c r="B217" s="6"/>
      <c r="C217" s="18"/>
      <c r="D217" s="28"/>
      <c r="E217" s="16"/>
      <c r="G217"/>
    </row>
    <row r="218" spans="1:7" s="14" customFormat="1" x14ac:dyDescent="0.35">
      <c r="A218" s="15"/>
      <c r="B218" s="6"/>
      <c r="C218" s="18"/>
      <c r="D218" s="28"/>
      <c r="E218" s="16"/>
      <c r="G218"/>
    </row>
    <row r="219" spans="1:7" s="14" customFormat="1" x14ac:dyDescent="0.35">
      <c r="A219" s="15"/>
      <c r="B219" s="6"/>
      <c r="C219" s="18"/>
      <c r="D219" s="28"/>
      <c r="E219" s="16"/>
      <c r="G219"/>
    </row>
    <row r="220" spans="1:7" s="14" customFormat="1" x14ac:dyDescent="0.35">
      <c r="A220" s="15"/>
      <c r="B220" s="6"/>
      <c r="C220" s="18"/>
      <c r="D220" s="28"/>
      <c r="E220" s="16"/>
      <c r="G220"/>
    </row>
    <row r="221" spans="1:7" s="14" customFormat="1" x14ac:dyDescent="0.35">
      <c r="A221" s="15"/>
      <c r="B221" s="6"/>
      <c r="C221" s="18"/>
      <c r="D221" s="28"/>
      <c r="E221" s="16"/>
      <c r="G221"/>
    </row>
    <row r="222" spans="1:7" s="14" customFormat="1" x14ac:dyDescent="0.35">
      <c r="A222" s="15"/>
      <c r="B222" s="6"/>
      <c r="C222" s="18"/>
      <c r="D222" s="28"/>
      <c r="E222" s="16"/>
      <c r="G222"/>
    </row>
    <row r="223" spans="1:7" s="14" customFormat="1" x14ac:dyDescent="0.35">
      <c r="A223" s="15"/>
      <c r="B223" s="6"/>
      <c r="C223" s="18"/>
      <c r="D223" s="28"/>
      <c r="E223" s="16"/>
      <c r="G223"/>
    </row>
    <row r="224" spans="1:7" s="14" customFormat="1" x14ac:dyDescent="0.35">
      <c r="A224" s="15"/>
      <c r="B224" s="6"/>
      <c r="C224" s="18"/>
      <c r="D224" s="28"/>
      <c r="E224" s="16"/>
      <c r="G224"/>
    </row>
    <row r="225" spans="1:7" s="14" customFormat="1" x14ac:dyDescent="0.35">
      <c r="A225" s="15"/>
      <c r="B225" s="6"/>
      <c r="C225" s="18"/>
      <c r="D225" s="28"/>
      <c r="E225" s="16"/>
      <c r="G225"/>
    </row>
    <row r="226" spans="1:7" s="14" customFormat="1" x14ac:dyDescent="0.35">
      <c r="A226" s="15"/>
      <c r="B226" s="6"/>
      <c r="C226" s="18"/>
      <c r="D226" s="28"/>
      <c r="E226" s="16"/>
      <c r="G226"/>
    </row>
    <row r="227" spans="1:7" s="14" customFormat="1" x14ac:dyDescent="0.35">
      <c r="A227" s="15"/>
      <c r="B227" s="6"/>
      <c r="C227" s="18"/>
      <c r="D227" s="28"/>
      <c r="E227" s="16"/>
      <c r="G227"/>
    </row>
    <row r="228" spans="1:7" s="14" customFormat="1" x14ac:dyDescent="0.35">
      <c r="A228" s="15"/>
      <c r="B228" s="6"/>
      <c r="C228" s="18"/>
      <c r="D228" s="28"/>
      <c r="E228" s="16"/>
      <c r="G228"/>
    </row>
    <row r="229" spans="1:7" s="14" customFormat="1" x14ac:dyDescent="0.35">
      <c r="A229" s="15"/>
      <c r="B229" s="6"/>
      <c r="C229" s="18"/>
      <c r="D229" s="28"/>
      <c r="E229" s="16"/>
      <c r="G229"/>
    </row>
    <row r="230" spans="1:7" s="14" customFormat="1" x14ac:dyDescent="0.35">
      <c r="A230" s="15"/>
      <c r="B230" s="6"/>
      <c r="C230" s="18"/>
      <c r="D230" s="28"/>
      <c r="E230" s="16"/>
      <c r="G230"/>
    </row>
    <row r="231" spans="1:7" s="14" customFormat="1" x14ac:dyDescent="0.35">
      <c r="A231" s="15"/>
      <c r="B231" s="6"/>
      <c r="C231" s="18"/>
      <c r="D231" s="28"/>
      <c r="E231" s="16"/>
      <c r="G231"/>
    </row>
    <row r="232" spans="1:7" s="14" customFormat="1" x14ac:dyDescent="0.35">
      <c r="A232" s="15"/>
      <c r="B232" s="6"/>
      <c r="C232" s="18"/>
      <c r="D232" s="28"/>
      <c r="E232" s="16"/>
      <c r="G232"/>
    </row>
    <row r="233" spans="1:7" s="14" customFormat="1" x14ac:dyDescent="0.35">
      <c r="A233" s="15"/>
      <c r="B233" s="6"/>
      <c r="C233" s="18"/>
      <c r="D233" s="28"/>
      <c r="E233" s="16"/>
      <c r="G233"/>
    </row>
    <row r="234" spans="1:7" s="14" customFormat="1" x14ac:dyDescent="0.35">
      <c r="A234" s="15"/>
      <c r="B234" s="6"/>
      <c r="C234" s="18"/>
      <c r="D234" s="28"/>
      <c r="E234" s="16"/>
      <c r="G234"/>
    </row>
    <row r="235" spans="1:7" s="14" customFormat="1" x14ac:dyDescent="0.35">
      <c r="A235" s="15"/>
      <c r="B235" s="6"/>
      <c r="C235" s="18"/>
      <c r="D235" s="28"/>
      <c r="E235" s="16"/>
      <c r="G235"/>
    </row>
    <row r="236" spans="1:7" s="14" customFormat="1" x14ac:dyDescent="0.35">
      <c r="A236" s="15"/>
      <c r="B236" s="6"/>
      <c r="C236" s="18"/>
      <c r="D236" s="28"/>
      <c r="E236" s="16"/>
      <c r="G236"/>
    </row>
    <row r="237" spans="1:7" s="14" customFormat="1" x14ac:dyDescent="0.35">
      <c r="A237" s="15"/>
      <c r="B237" s="6"/>
      <c r="C237" s="18"/>
      <c r="D237" s="28"/>
      <c r="E237" s="16"/>
      <c r="G237"/>
    </row>
    <row r="238" spans="1:7" s="14" customFormat="1" x14ac:dyDescent="0.35">
      <c r="A238" s="15"/>
      <c r="B238" s="6"/>
      <c r="C238" s="18"/>
      <c r="D238" s="28"/>
      <c r="E238" s="16"/>
      <c r="G238"/>
    </row>
    <row r="239" spans="1:7" s="14" customFormat="1" x14ac:dyDescent="0.35">
      <c r="A239" s="15"/>
      <c r="B239" s="6"/>
      <c r="C239" s="18"/>
      <c r="D239" s="28"/>
      <c r="E239" s="16"/>
      <c r="G239"/>
    </row>
    <row r="240" spans="1:7" s="14" customFormat="1" x14ac:dyDescent="0.35">
      <c r="A240" s="15"/>
      <c r="B240" s="6"/>
      <c r="C240" s="18"/>
      <c r="D240" s="28"/>
      <c r="E240" s="16"/>
      <c r="G240"/>
    </row>
    <row r="241" spans="1:7" s="14" customFormat="1" x14ac:dyDescent="0.35">
      <c r="A241" s="15"/>
      <c r="B241" s="6"/>
      <c r="C241" s="18"/>
      <c r="D241" s="28"/>
      <c r="E241" s="16"/>
      <c r="G241"/>
    </row>
    <row r="242" spans="1:7" s="14" customFormat="1" x14ac:dyDescent="0.35">
      <c r="A242" s="15"/>
      <c r="B242" s="6"/>
      <c r="C242" s="18"/>
      <c r="D242" s="28"/>
      <c r="E242" s="16"/>
      <c r="G242"/>
    </row>
    <row r="243" spans="1:7" s="14" customFormat="1" x14ac:dyDescent="0.35">
      <c r="A243" s="15"/>
      <c r="B243" s="6"/>
      <c r="C243" s="18"/>
      <c r="D243" s="28"/>
      <c r="E243" s="16"/>
      <c r="G243"/>
    </row>
    <row r="244" spans="1:7" s="14" customFormat="1" x14ac:dyDescent="0.35">
      <c r="A244" s="15"/>
      <c r="B244" s="6"/>
      <c r="C244" s="18"/>
      <c r="D244" s="28"/>
      <c r="E244" s="16"/>
      <c r="G244"/>
    </row>
    <row r="245" spans="1:7" s="14" customFormat="1" x14ac:dyDescent="0.35">
      <c r="A245" s="15"/>
      <c r="B245" s="6"/>
      <c r="C245" s="18"/>
      <c r="D245" s="28"/>
      <c r="E245" s="16"/>
      <c r="G245"/>
    </row>
    <row r="246" spans="1:7" s="14" customFormat="1" x14ac:dyDescent="0.35">
      <c r="A246" s="15"/>
      <c r="B246" s="6"/>
      <c r="C246" s="18"/>
      <c r="D246" s="28"/>
      <c r="E246" s="16"/>
      <c r="G246"/>
    </row>
    <row r="247" spans="1:7" s="14" customFormat="1" x14ac:dyDescent="0.35">
      <c r="A247" s="15"/>
      <c r="B247" s="6"/>
      <c r="C247" s="18"/>
      <c r="D247" s="28"/>
      <c r="E247" s="16"/>
      <c r="G247"/>
    </row>
    <row r="248" spans="1:7" s="14" customFormat="1" x14ac:dyDescent="0.35">
      <c r="A248" s="15"/>
      <c r="B248" s="6"/>
      <c r="C248" s="18"/>
      <c r="D248" s="28"/>
      <c r="E248" s="16"/>
      <c r="G248"/>
    </row>
    <row r="249" spans="1:7" s="14" customFormat="1" x14ac:dyDescent="0.35">
      <c r="A249" s="15"/>
      <c r="B249" s="6"/>
      <c r="C249" s="18"/>
      <c r="D249" s="28"/>
      <c r="E249" s="16"/>
      <c r="G249"/>
    </row>
    <row r="250" spans="1:7" s="14" customFormat="1" x14ac:dyDescent="0.35">
      <c r="A250" s="15"/>
      <c r="B250" s="6"/>
      <c r="C250" s="18"/>
      <c r="D250" s="28"/>
      <c r="E250" s="16"/>
      <c r="G250"/>
    </row>
    <row r="251" spans="1:7" s="14" customFormat="1" x14ac:dyDescent="0.35">
      <c r="A251" s="15"/>
      <c r="B251" s="6"/>
      <c r="C251" s="18"/>
      <c r="D251" s="28"/>
      <c r="E251" s="16"/>
      <c r="G251"/>
    </row>
    <row r="252" spans="1:7" s="14" customFormat="1" x14ac:dyDescent="0.35">
      <c r="A252" s="15"/>
      <c r="B252" s="6"/>
      <c r="C252" s="18"/>
      <c r="D252" s="28"/>
      <c r="E252" s="16"/>
      <c r="G252"/>
    </row>
    <row r="253" spans="1:7" s="14" customFormat="1" x14ac:dyDescent="0.35">
      <c r="A253" s="15"/>
      <c r="B253" s="6"/>
      <c r="C253" s="18"/>
      <c r="D253" s="28"/>
      <c r="E253" s="16"/>
      <c r="G253"/>
    </row>
    <row r="254" spans="1:7" s="14" customFormat="1" x14ac:dyDescent="0.35">
      <c r="A254" s="15"/>
      <c r="B254" s="6"/>
      <c r="C254" s="18"/>
      <c r="D254" s="28"/>
      <c r="E254" s="16"/>
      <c r="G254"/>
    </row>
    <row r="255" spans="1:7" s="14" customFormat="1" x14ac:dyDescent="0.35">
      <c r="A255" s="15"/>
      <c r="B255" s="6"/>
      <c r="C255" s="18"/>
      <c r="D255" s="28"/>
      <c r="E255" s="16"/>
      <c r="G255"/>
    </row>
    <row r="256" spans="1:7" s="14" customFormat="1" x14ac:dyDescent="0.35">
      <c r="A256" s="15"/>
      <c r="B256" s="6"/>
      <c r="C256" s="18"/>
      <c r="D256" s="28"/>
      <c r="E256" s="16"/>
      <c r="G256"/>
    </row>
    <row r="257" spans="1:7" s="14" customFormat="1" x14ac:dyDescent="0.35">
      <c r="A257" s="15"/>
      <c r="B257" s="6"/>
      <c r="C257" s="18"/>
      <c r="D257" s="28"/>
      <c r="E257" s="16"/>
      <c r="G257"/>
    </row>
    <row r="258" spans="1:7" s="14" customFormat="1" x14ac:dyDescent="0.35">
      <c r="A258" s="15"/>
      <c r="B258" s="6"/>
      <c r="C258" s="18"/>
      <c r="D258" s="28"/>
      <c r="E258" s="16"/>
      <c r="G258"/>
    </row>
    <row r="259" spans="1:7" s="14" customFormat="1" x14ac:dyDescent="0.35">
      <c r="A259" s="15"/>
      <c r="B259" s="6"/>
      <c r="C259" s="18"/>
      <c r="D259" s="28"/>
      <c r="E259" s="16"/>
      <c r="G259"/>
    </row>
    <row r="260" spans="1:7" s="14" customFormat="1" x14ac:dyDescent="0.35">
      <c r="A260" s="15"/>
      <c r="B260" s="6"/>
      <c r="C260" s="18"/>
      <c r="D260" s="28"/>
      <c r="E260" s="16"/>
      <c r="G260"/>
    </row>
    <row r="261" spans="1:7" s="14" customFormat="1" x14ac:dyDescent="0.35">
      <c r="A261" s="15"/>
      <c r="B261" s="6"/>
      <c r="C261" s="18"/>
      <c r="D261" s="28"/>
      <c r="E261" s="16"/>
      <c r="G261"/>
    </row>
    <row r="262" spans="1:7" s="14" customFormat="1" x14ac:dyDescent="0.35">
      <c r="A262" s="15"/>
      <c r="B262" s="6"/>
      <c r="C262" s="18"/>
      <c r="D262" s="28"/>
      <c r="E262" s="16"/>
      <c r="G262"/>
    </row>
    <row r="263" spans="1:7" s="14" customFormat="1" x14ac:dyDescent="0.35">
      <c r="A263" s="15"/>
      <c r="B263" s="6"/>
      <c r="C263" s="18"/>
      <c r="D263" s="28"/>
      <c r="E263" s="16"/>
      <c r="G263"/>
    </row>
    <row r="264" spans="1:7" s="14" customFormat="1" x14ac:dyDescent="0.35">
      <c r="A264" s="15"/>
      <c r="B264" s="6"/>
      <c r="C264" s="18"/>
      <c r="D264" s="28"/>
      <c r="E264" s="16"/>
      <c r="G264"/>
    </row>
    <row r="265" spans="1:7" s="14" customFormat="1" x14ac:dyDescent="0.35">
      <c r="A265" s="15"/>
      <c r="B265" s="6"/>
      <c r="C265" s="18"/>
      <c r="D265" s="28"/>
      <c r="E265" s="16"/>
      <c r="G265"/>
    </row>
    <row r="266" spans="1:7" s="14" customFormat="1" x14ac:dyDescent="0.35">
      <c r="A266" s="15"/>
      <c r="B266" s="6"/>
      <c r="C266" s="18"/>
      <c r="D266" s="28"/>
      <c r="E266" s="16"/>
      <c r="G266"/>
    </row>
    <row r="267" spans="1:7" s="14" customFormat="1" x14ac:dyDescent="0.35">
      <c r="A267" s="15"/>
      <c r="B267" s="6"/>
      <c r="C267" s="18"/>
      <c r="D267" s="28"/>
      <c r="E267" s="16"/>
      <c r="G267"/>
    </row>
    <row r="268" spans="1:7" s="14" customFormat="1" x14ac:dyDescent="0.35">
      <c r="A268" s="15"/>
      <c r="B268" s="6"/>
      <c r="C268" s="18"/>
      <c r="D268" s="28"/>
      <c r="E268" s="16"/>
      <c r="G268"/>
    </row>
    <row r="269" spans="1:7" s="14" customFormat="1" x14ac:dyDescent="0.35">
      <c r="A269" s="15"/>
      <c r="B269" s="6"/>
      <c r="C269" s="18"/>
      <c r="D269" s="28"/>
      <c r="E269" s="16"/>
      <c r="G269"/>
    </row>
    <row r="270" spans="1:7" s="14" customFormat="1" x14ac:dyDescent="0.35">
      <c r="A270" s="15"/>
      <c r="B270" s="6"/>
      <c r="C270" s="18"/>
      <c r="D270" s="28"/>
      <c r="E270" s="16"/>
      <c r="G270"/>
    </row>
    <row r="271" spans="1:7" s="14" customFormat="1" x14ac:dyDescent="0.35">
      <c r="A271" s="15"/>
      <c r="B271" s="6"/>
      <c r="C271" s="18"/>
      <c r="D271" s="28"/>
      <c r="E271" s="16"/>
      <c r="G271"/>
    </row>
    <row r="272" spans="1:7" s="14" customFormat="1" x14ac:dyDescent="0.35">
      <c r="A272" s="15"/>
      <c r="B272" s="6"/>
      <c r="C272" s="18"/>
      <c r="D272" s="28"/>
      <c r="E272" s="16"/>
      <c r="G272"/>
    </row>
    <row r="273" spans="1:7" s="14" customFormat="1" x14ac:dyDescent="0.35">
      <c r="A273" s="15"/>
      <c r="B273" s="6"/>
      <c r="C273" s="18"/>
      <c r="D273" s="28"/>
      <c r="E273" s="16"/>
      <c r="G273"/>
    </row>
    <row r="274" spans="1:7" s="14" customFormat="1" x14ac:dyDescent="0.35">
      <c r="A274" s="15"/>
      <c r="B274" s="6"/>
      <c r="C274" s="18"/>
      <c r="D274" s="28"/>
      <c r="E274" s="16"/>
      <c r="G274"/>
    </row>
    <row r="275" spans="1:7" s="14" customFormat="1" x14ac:dyDescent="0.35">
      <c r="A275" s="15"/>
      <c r="B275" s="6"/>
      <c r="C275" s="18"/>
      <c r="D275" s="28"/>
      <c r="E275" s="16"/>
      <c r="G275"/>
    </row>
    <row r="276" spans="1:7" s="14" customFormat="1" x14ac:dyDescent="0.35">
      <c r="A276" s="15"/>
      <c r="B276" s="6"/>
      <c r="C276" s="18"/>
      <c r="D276" s="28"/>
      <c r="E276" s="16"/>
      <c r="G276"/>
    </row>
    <row r="277" spans="1:7" s="14" customFormat="1" x14ac:dyDescent="0.35">
      <c r="A277" s="15"/>
      <c r="B277" s="6"/>
      <c r="C277" s="18"/>
      <c r="D277" s="28"/>
      <c r="E277" s="16"/>
      <c r="G277"/>
    </row>
    <row r="278" spans="1:7" s="14" customFormat="1" x14ac:dyDescent="0.35">
      <c r="A278" s="15"/>
      <c r="B278" s="6"/>
      <c r="C278" s="18"/>
      <c r="D278" s="28"/>
      <c r="E278" s="16"/>
      <c r="G278"/>
    </row>
    <row r="279" spans="1:7" s="14" customFormat="1" x14ac:dyDescent="0.35">
      <c r="A279" s="15"/>
      <c r="B279" s="6"/>
      <c r="C279" s="18"/>
      <c r="D279" s="28"/>
      <c r="E279" s="16"/>
      <c r="G279"/>
    </row>
    <row r="280" spans="1:7" s="14" customFormat="1" x14ac:dyDescent="0.35">
      <c r="A280" s="15"/>
      <c r="B280" s="6"/>
      <c r="C280" s="18"/>
      <c r="D280" s="28"/>
      <c r="E280" s="16"/>
      <c r="G280"/>
    </row>
    <row r="281" spans="1:7" s="14" customFormat="1" x14ac:dyDescent="0.35">
      <c r="A281" s="15"/>
      <c r="B281" s="6"/>
      <c r="C281" s="18"/>
      <c r="D281" s="28"/>
      <c r="E281" s="16"/>
      <c r="G281"/>
    </row>
    <row r="282" spans="1:7" s="14" customFormat="1" x14ac:dyDescent="0.35">
      <c r="A282" s="15"/>
      <c r="B282" s="6"/>
      <c r="C282" s="18"/>
      <c r="D282" s="28"/>
      <c r="E282" s="16"/>
      <c r="G282"/>
    </row>
    <row r="283" spans="1:7" s="14" customFormat="1" x14ac:dyDescent="0.35">
      <c r="A283" s="15"/>
      <c r="B283" s="6"/>
      <c r="C283" s="18"/>
      <c r="D283" s="28"/>
      <c r="E283" s="16"/>
      <c r="G283"/>
    </row>
    <row r="284" spans="1:7" s="14" customFormat="1" x14ac:dyDescent="0.35">
      <c r="A284" s="15"/>
      <c r="B284" s="6"/>
      <c r="C284" s="18"/>
      <c r="D284" s="28"/>
      <c r="E284" s="16"/>
      <c r="G284"/>
    </row>
    <row r="285" spans="1:7" s="14" customFormat="1" x14ac:dyDescent="0.35">
      <c r="A285" s="15"/>
      <c r="B285" s="6"/>
      <c r="C285" s="18"/>
      <c r="D285" s="28"/>
      <c r="E285" s="16"/>
      <c r="G285"/>
    </row>
    <row r="286" spans="1:7" s="14" customFormat="1" x14ac:dyDescent="0.35">
      <c r="A286" s="15"/>
      <c r="B286" s="6"/>
      <c r="C286" s="18"/>
      <c r="D286" s="28"/>
      <c r="E286" s="16"/>
      <c r="G286"/>
    </row>
    <row r="287" spans="1:7" s="14" customFormat="1" x14ac:dyDescent="0.35">
      <c r="A287" s="15"/>
      <c r="B287" s="6"/>
      <c r="C287" s="18"/>
      <c r="D287" s="28"/>
      <c r="E287" s="16"/>
      <c r="G287"/>
    </row>
    <row r="288" spans="1:7" s="14" customFormat="1" x14ac:dyDescent="0.35">
      <c r="A288" s="15"/>
      <c r="B288" s="6"/>
      <c r="C288" s="18"/>
      <c r="D288" s="28"/>
      <c r="E288" s="16"/>
      <c r="G288"/>
    </row>
    <row r="289" spans="1:7" s="14" customFormat="1" x14ac:dyDescent="0.35">
      <c r="A289" s="15"/>
      <c r="B289" s="6"/>
      <c r="C289" s="18"/>
      <c r="D289" s="28"/>
      <c r="E289" s="16"/>
      <c r="G289"/>
    </row>
    <row r="290" spans="1:7" s="14" customFormat="1" x14ac:dyDescent="0.35">
      <c r="A290" s="15"/>
      <c r="B290" s="6"/>
      <c r="C290" s="18"/>
      <c r="D290" s="28"/>
      <c r="E290" s="16"/>
      <c r="G290"/>
    </row>
    <row r="291" spans="1:7" s="14" customFormat="1" x14ac:dyDescent="0.35">
      <c r="A291" s="15"/>
      <c r="B291" s="6"/>
      <c r="C291" s="18"/>
      <c r="D291" s="28"/>
      <c r="E291" s="16"/>
      <c r="G291"/>
    </row>
    <row r="292" spans="1:7" s="14" customFormat="1" x14ac:dyDescent="0.35">
      <c r="A292" s="15"/>
      <c r="B292" s="6"/>
      <c r="C292" s="18"/>
      <c r="D292" s="28"/>
      <c r="E292" s="16"/>
      <c r="G292"/>
    </row>
    <row r="293" spans="1:7" s="14" customFormat="1" x14ac:dyDescent="0.35">
      <c r="A293" s="15"/>
      <c r="B293" s="6"/>
      <c r="C293" s="18"/>
      <c r="D293" s="28"/>
      <c r="E293" s="16"/>
      <c r="G293"/>
    </row>
    <row r="294" spans="1:7" s="14" customFormat="1" x14ac:dyDescent="0.35">
      <c r="A294" s="15"/>
      <c r="B294" s="6"/>
      <c r="C294" s="18"/>
      <c r="D294" s="28"/>
      <c r="E294" s="16"/>
      <c r="G294"/>
    </row>
    <row r="295" spans="1:7" s="14" customFormat="1" x14ac:dyDescent="0.35">
      <c r="A295" s="15"/>
      <c r="B295" s="6"/>
      <c r="C295" s="18"/>
      <c r="D295" s="28"/>
      <c r="E295" s="16"/>
      <c r="G295"/>
    </row>
    <row r="296" spans="1:7" s="14" customFormat="1" x14ac:dyDescent="0.35">
      <c r="A296" s="15"/>
      <c r="B296" s="6"/>
      <c r="C296" s="18"/>
      <c r="D296" s="28"/>
      <c r="E296" s="16"/>
      <c r="G296"/>
    </row>
    <row r="297" spans="1:7" s="14" customFormat="1" x14ac:dyDescent="0.35">
      <c r="A297" s="15"/>
      <c r="B297" s="6"/>
      <c r="C297" s="18"/>
      <c r="D297" s="28"/>
      <c r="E297" s="16"/>
      <c r="G297"/>
    </row>
    <row r="298" spans="1:7" s="14" customFormat="1" x14ac:dyDescent="0.35">
      <c r="A298" s="15"/>
      <c r="B298" s="6"/>
      <c r="C298" s="18"/>
      <c r="D298" s="28"/>
      <c r="E298" s="16"/>
      <c r="G298"/>
    </row>
    <row r="299" spans="1:7" s="14" customFormat="1" x14ac:dyDescent="0.35">
      <c r="A299" s="15"/>
      <c r="B299" s="6"/>
      <c r="C299" s="18"/>
      <c r="D299" s="28"/>
      <c r="E299" s="16"/>
      <c r="G299"/>
    </row>
    <row r="300" spans="1:7" s="14" customFormat="1" x14ac:dyDescent="0.35">
      <c r="A300" s="15"/>
      <c r="B300" s="6"/>
      <c r="C300" s="18"/>
      <c r="D300" s="28"/>
      <c r="E300" s="16"/>
      <c r="G300"/>
    </row>
    <row r="301" spans="1:7" s="14" customFormat="1" x14ac:dyDescent="0.35">
      <c r="A301" s="15"/>
      <c r="B301" s="6"/>
      <c r="C301" s="18"/>
      <c r="D301" s="28"/>
      <c r="E301" s="16"/>
      <c r="G301"/>
    </row>
    <row r="302" spans="1:7" s="14" customFormat="1" x14ac:dyDescent="0.35">
      <c r="A302" s="15"/>
      <c r="B302" s="6"/>
      <c r="C302" s="18"/>
      <c r="D302" s="28"/>
      <c r="E302" s="16"/>
      <c r="G302"/>
    </row>
    <row r="303" spans="1:7" s="14" customFormat="1" x14ac:dyDescent="0.35">
      <c r="A303" s="15"/>
      <c r="B303" s="6"/>
      <c r="C303" s="18"/>
      <c r="D303" s="28"/>
      <c r="E303" s="16"/>
      <c r="G303"/>
    </row>
    <row r="304" spans="1:7" s="14" customFormat="1" x14ac:dyDescent="0.35">
      <c r="A304" s="15"/>
      <c r="B304" s="6"/>
      <c r="C304" s="18"/>
      <c r="D304" s="28"/>
      <c r="E304" s="16"/>
      <c r="G304"/>
    </row>
    <row r="305" spans="1:7" s="14" customFormat="1" x14ac:dyDescent="0.35">
      <c r="A305" s="15"/>
      <c r="B305" s="6"/>
      <c r="C305" s="18"/>
      <c r="D305" s="28"/>
      <c r="E305" s="16"/>
      <c r="G305"/>
    </row>
    <row r="306" spans="1:7" s="14" customFormat="1" x14ac:dyDescent="0.35">
      <c r="A306" s="15"/>
      <c r="B306" s="6"/>
      <c r="C306" s="18"/>
      <c r="D306" s="28"/>
      <c r="E306" s="16"/>
      <c r="G306"/>
    </row>
    <row r="307" spans="1:7" s="14" customFormat="1" x14ac:dyDescent="0.35">
      <c r="A307" s="15"/>
      <c r="B307" s="6"/>
      <c r="C307" s="18"/>
      <c r="D307" s="28"/>
      <c r="E307" s="16"/>
      <c r="G307"/>
    </row>
    <row r="308" spans="1:7" s="14" customFormat="1" x14ac:dyDescent="0.35">
      <c r="A308" s="15"/>
      <c r="B308" s="6"/>
      <c r="C308" s="18"/>
      <c r="D308" s="28"/>
      <c r="E308" s="16"/>
      <c r="G308"/>
    </row>
    <row r="309" spans="1:7" s="14" customFormat="1" x14ac:dyDescent="0.35">
      <c r="A309" s="15"/>
      <c r="B309" s="6"/>
      <c r="C309" s="18"/>
      <c r="D309" s="28"/>
      <c r="E309" s="16"/>
      <c r="G309"/>
    </row>
    <row r="310" spans="1:7" s="14" customFormat="1" x14ac:dyDescent="0.35">
      <c r="A310" s="15"/>
      <c r="B310" s="6"/>
      <c r="C310" s="18"/>
      <c r="D310" s="28"/>
      <c r="E310" s="16"/>
      <c r="G310"/>
    </row>
    <row r="311" spans="1:7" s="14" customFormat="1" x14ac:dyDescent="0.35">
      <c r="A311" s="15"/>
      <c r="B311" s="6"/>
      <c r="C311" s="18"/>
      <c r="D311" s="28"/>
      <c r="E311" s="16"/>
      <c r="G311"/>
    </row>
    <row r="312" spans="1:7" s="14" customFormat="1" x14ac:dyDescent="0.35">
      <c r="A312" s="15"/>
      <c r="B312" s="6"/>
      <c r="C312" s="18"/>
      <c r="D312" s="28"/>
      <c r="E312" s="16"/>
      <c r="G312"/>
    </row>
    <row r="313" spans="1:7" s="14" customFormat="1" x14ac:dyDescent="0.35">
      <c r="A313" s="15"/>
      <c r="B313" s="6"/>
      <c r="C313" s="18"/>
      <c r="D313" s="28"/>
      <c r="E313" s="16"/>
      <c r="G313"/>
    </row>
    <row r="314" spans="1:7" s="14" customFormat="1" x14ac:dyDescent="0.35">
      <c r="A314" s="15"/>
      <c r="B314" s="6"/>
      <c r="C314" s="18"/>
      <c r="D314" s="28"/>
      <c r="E314" s="16"/>
      <c r="G314"/>
    </row>
    <row r="315" spans="1:7" s="14" customFormat="1" x14ac:dyDescent="0.35">
      <c r="A315" s="15"/>
      <c r="B315" s="6"/>
      <c r="C315" s="18"/>
      <c r="D315" s="28"/>
      <c r="E315" s="16"/>
      <c r="G315"/>
    </row>
    <row r="316" spans="1:7" s="14" customFormat="1" x14ac:dyDescent="0.35">
      <c r="A316" s="15"/>
      <c r="B316" s="6"/>
      <c r="C316" s="18"/>
      <c r="D316" s="28"/>
      <c r="E316" s="16"/>
      <c r="G316"/>
    </row>
    <row r="317" spans="1:7" s="14" customFormat="1" x14ac:dyDescent="0.35">
      <c r="A317" s="15"/>
      <c r="B317" s="6"/>
      <c r="C317" s="18"/>
      <c r="D317" s="28"/>
      <c r="E317" s="16"/>
      <c r="G317"/>
    </row>
    <row r="318" spans="1:7" s="14" customFormat="1" x14ac:dyDescent="0.35">
      <c r="A318" s="15"/>
      <c r="B318" s="6"/>
      <c r="C318" s="18"/>
      <c r="D318" s="28"/>
      <c r="E318" s="16"/>
      <c r="G318"/>
    </row>
    <row r="319" spans="1:7" s="14" customFormat="1" x14ac:dyDescent="0.35">
      <c r="A319" s="15"/>
      <c r="B319" s="6"/>
      <c r="C319" s="18"/>
      <c r="D319" s="28"/>
      <c r="E319" s="16"/>
      <c r="G319"/>
    </row>
    <row r="320" spans="1:7" s="14" customFormat="1" x14ac:dyDescent="0.35">
      <c r="A320" s="15"/>
      <c r="B320" s="6"/>
      <c r="C320" s="18"/>
      <c r="D320" s="28"/>
      <c r="E320" s="16"/>
      <c r="G320"/>
    </row>
    <row r="321" spans="1:7" s="14" customFormat="1" x14ac:dyDescent="0.35">
      <c r="A321" s="15"/>
      <c r="B321" s="6"/>
      <c r="C321" s="18"/>
      <c r="D321" s="28"/>
      <c r="E321" s="16"/>
      <c r="G321"/>
    </row>
    <row r="322" spans="1:7" s="14" customFormat="1" x14ac:dyDescent="0.35">
      <c r="A322" s="15"/>
      <c r="B322" s="6"/>
      <c r="C322" s="18"/>
      <c r="D322" s="28"/>
      <c r="E322" s="16"/>
      <c r="G322"/>
    </row>
    <row r="323" spans="1:7" s="14" customFormat="1" x14ac:dyDescent="0.35">
      <c r="A323" s="15"/>
      <c r="B323" s="6"/>
      <c r="C323" s="18"/>
      <c r="D323" s="28"/>
      <c r="E323" s="16"/>
      <c r="G323"/>
    </row>
    <row r="324" spans="1:7" s="14" customFormat="1" x14ac:dyDescent="0.35">
      <c r="A324" s="15"/>
      <c r="B324" s="6"/>
      <c r="C324" s="18"/>
      <c r="D324" s="28"/>
      <c r="E324" s="16"/>
      <c r="G324"/>
    </row>
    <row r="325" spans="1:7" s="14" customFormat="1" x14ac:dyDescent="0.35">
      <c r="A325" s="15"/>
      <c r="B325" s="6"/>
      <c r="C325" s="18"/>
      <c r="D325" s="28"/>
      <c r="E325" s="16"/>
      <c r="G325"/>
    </row>
    <row r="326" spans="1:7" s="14" customFormat="1" x14ac:dyDescent="0.35">
      <c r="A326" s="15"/>
      <c r="B326" s="6"/>
      <c r="C326" s="18"/>
      <c r="D326" s="28"/>
      <c r="E326" s="16"/>
      <c r="G326"/>
    </row>
    <row r="327" spans="1:7" s="14" customFormat="1" x14ac:dyDescent="0.35">
      <c r="A327" s="15"/>
      <c r="B327" s="6"/>
      <c r="C327" s="18"/>
      <c r="D327" s="28"/>
      <c r="E327" s="16"/>
      <c r="G327"/>
    </row>
    <row r="328" spans="1:7" s="14" customFormat="1" x14ac:dyDescent="0.35">
      <c r="A328" s="15"/>
      <c r="B328" s="6"/>
      <c r="C328" s="18"/>
      <c r="D328" s="28"/>
      <c r="E328" s="16"/>
      <c r="G328"/>
    </row>
    <row r="329" spans="1:7" s="14" customFormat="1" x14ac:dyDescent="0.35">
      <c r="A329" s="15"/>
      <c r="B329" s="6"/>
      <c r="C329" s="18"/>
      <c r="D329" s="28"/>
      <c r="E329" s="16"/>
      <c r="G329"/>
    </row>
    <row r="330" spans="1:7" s="14" customFormat="1" x14ac:dyDescent="0.35">
      <c r="A330" s="15"/>
      <c r="B330" s="6"/>
      <c r="C330" s="18"/>
      <c r="D330" s="28"/>
      <c r="E330" s="16"/>
      <c r="G330"/>
    </row>
    <row r="331" spans="1:7" s="14" customFormat="1" x14ac:dyDescent="0.35">
      <c r="A331" s="15"/>
      <c r="B331" s="6"/>
      <c r="C331" s="18"/>
      <c r="D331" s="28"/>
      <c r="E331" s="16"/>
      <c r="G331"/>
    </row>
    <row r="332" spans="1:7" s="14" customFormat="1" x14ac:dyDescent="0.35">
      <c r="A332" s="15"/>
      <c r="B332" s="6"/>
      <c r="C332" s="18"/>
      <c r="D332" s="28"/>
      <c r="E332" s="16"/>
      <c r="G332"/>
    </row>
    <row r="333" spans="1:7" s="14" customFormat="1" x14ac:dyDescent="0.35">
      <c r="A333" s="15"/>
      <c r="B333" s="6"/>
      <c r="C333" s="18"/>
      <c r="D333" s="28"/>
      <c r="E333" s="16"/>
      <c r="G333"/>
    </row>
    <row r="334" spans="1:7" s="14" customFormat="1" x14ac:dyDescent="0.35">
      <c r="A334" s="15"/>
      <c r="B334" s="6"/>
      <c r="C334" s="18"/>
      <c r="D334" s="28"/>
      <c r="E334" s="16"/>
      <c r="G334"/>
    </row>
    <row r="335" spans="1:7" s="14" customFormat="1" x14ac:dyDescent="0.35">
      <c r="A335" s="15"/>
      <c r="B335" s="6"/>
      <c r="C335" s="18"/>
      <c r="D335" s="28"/>
      <c r="E335" s="16"/>
      <c r="G335"/>
    </row>
    <row r="336" spans="1:7" s="14" customFormat="1" x14ac:dyDescent="0.35">
      <c r="A336" s="15"/>
      <c r="B336" s="6"/>
      <c r="C336" s="18"/>
      <c r="D336" s="28"/>
      <c r="E336" s="16"/>
      <c r="G336"/>
    </row>
    <row r="337" spans="1:7" s="14" customFormat="1" x14ac:dyDescent="0.35">
      <c r="A337" s="15"/>
      <c r="B337" s="6"/>
      <c r="C337" s="18"/>
      <c r="D337" s="28"/>
      <c r="E337" s="16"/>
      <c r="G337"/>
    </row>
    <row r="338" spans="1:7" s="14" customFormat="1" x14ac:dyDescent="0.35">
      <c r="A338" s="15"/>
      <c r="B338" s="6"/>
      <c r="C338" s="18"/>
      <c r="D338" s="28"/>
      <c r="E338" s="16"/>
      <c r="G338"/>
    </row>
    <row r="339" spans="1:7" s="14" customFormat="1" x14ac:dyDescent="0.35">
      <c r="A339" s="15"/>
      <c r="B339" s="6"/>
      <c r="C339" s="18"/>
      <c r="D339" s="28"/>
      <c r="E339" s="16"/>
      <c r="G339"/>
    </row>
    <row r="340" spans="1:7" s="14" customFormat="1" x14ac:dyDescent="0.35">
      <c r="A340" s="15"/>
      <c r="B340" s="6"/>
      <c r="C340" s="18"/>
      <c r="D340" s="28"/>
      <c r="E340" s="16"/>
      <c r="G340"/>
    </row>
    <row r="341" spans="1:7" s="14" customFormat="1" x14ac:dyDescent="0.35">
      <c r="A341" s="15"/>
      <c r="B341" s="6"/>
      <c r="C341" s="18"/>
      <c r="D341" s="28"/>
      <c r="E341" s="16"/>
      <c r="G341"/>
    </row>
    <row r="342" spans="1:7" s="14" customFormat="1" x14ac:dyDescent="0.35">
      <c r="A342" s="15"/>
      <c r="B342" s="6"/>
      <c r="C342" s="18"/>
      <c r="D342" s="28"/>
      <c r="E342" s="16"/>
      <c r="G342"/>
    </row>
    <row r="343" spans="1:7" s="14" customFormat="1" x14ac:dyDescent="0.35">
      <c r="A343" s="15"/>
      <c r="B343" s="6"/>
      <c r="C343" s="18"/>
      <c r="D343" s="28"/>
      <c r="E343" s="16"/>
      <c r="G343"/>
    </row>
    <row r="344" spans="1:7" s="14" customFormat="1" x14ac:dyDescent="0.35">
      <c r="A344" s="15"/>
      <c r="B344" s="6"/>
      <c r="C344" s="18"/>
      <c r="D344" s="28"/>
      <c r="E344" s="16"/>
      <c r="G344"/>
    </row>
    <row r="345" spans="1:7" s="14" customFormat="1" x14ac:dyDescent="0.35">
      <c r="A345" s="15"/>
      <c r="B345" s="6"/>
      <c r="C345" s="18"/>
      <c r="D345" s="28"/>
      <c r="E345" s="16"/>
      <c r="G345"/>
    </row>
    <row r="346" spans="1:7" s="14" customFormat="1" x14ac:dyDescent="0.35">
      <c r="A346" s="15"/>
      <c r="B346" s="6"/>
      <c r="C346" s="18"/>
      <c r="D346" s="28"/>
      <c r="E346" s="16"/>
      <c r="G346"/>
    </row>
    <row r="347" spans="1:7" s="14" customFormat="1" x14ac:dyDescent="0.35">
      <c r="A347" s="15"/>
      <c r="B347" s="6"/>
      <c r="C347" s="18"/>
      <c r="D347" s="28"/>
      <c r="E347" s="16"/>
      <c r="G347"/>
    </row>
    <row r="348" spans="1:7" s="14" customFormat="1" x14ac:dyDescent="0.35">
      <c r="A348" s="15"/>
      <c r="B348" s="6"/>
      <c r="C348" s="18"/>
      <c r="D348" s="28"/>
      <c r="E348" s="16"/>
      <c r="G348"/>
    </row>
    <row r="349" spans="1:7" s="14" customFormat="1" x14ac:dyDescent="0.35">
      <c r="A349" s="15"/>
      <c r="B349" s="6"/>
      <c r="C349" s="18"/>
      <c r="D349" s="28"/>
      <c r="E349" s="16"/>
      <c r="G349"/>
    </row>
    <row r="350" spans="1:7" s="14" customFormat="1" x14ac:dyDescent="0.35">
      <c r="A350" s="15"/>
      <c r="B350" s="6"/>
      <c r="C350" s="18"/>
      <c r="D350" s="28"/>
      <c r="E350" s="16"/>
      <c r="G350"/>
    </row>
    <row r="351" spans="1:7" s="14" customFormat="1" x14ac:dyDescent="0.35">
      <c r="A351" s="15"/>
      <c r="B351" s="6"/>
      <c r="C351" s="18"/>
      <c r="D351" s="28"/>
      <c r="E351" s="16"/>
      <c r="G351"/>
    </row>
    <row r="352" spans="1:7" s="14" customFormat="1" x14ac:dyDescent="0.35">
      <c r="A352" s="15"/>
      <c r="B352" s="6"/>
      <c r="C352" s="18"/>
      <c r="D352" s="28"/>
      <c r="E352" s="16"/>
      <c r="G352"/>
    </row>
    <row r="353" spans="1:7" s="14" customFormat="1" x14ac:dyDescent="0.35">
      <c r="A353" s="15"/>
      <c r="B353" s="6"/>
      <c r="C353" s="18"/>
      <c r="D353" s="28"/>
      <c r="E353" s="16"/>
      <c r="G353"/>
    </row>
    <row r="354" spans="1:7" s="14" customFormat="1" x14ac:dyDescent="0.35">
      <c r="A354" s="15"/>
      <c r="B354" s="6"/>
      <c r="C354" s="18"/>
      <c r="D354" s="28"/>
      <c r="E354" s="16"/>
      <c r="G354"/>
    </row>
    <row r="355" spans="1:7" s="14" customFormat="1" x14ac:dyDescent="0.35">
      <c r="A355" s="15"/>
      <c r="B355" s="6"/>
      <c r="C355" s="18"/>
      <c r="D355" s="28"/>
      <c r="E355" s="16"/>
      <c r="G355"/>
    </row>
    <row r="356" spans="1:7" s="14" customFormat="1" x14ac:dyDescent="0.35">
      <c r="A356" s="15"/>
      <c r="B356" s="6"/>
      <c r="C356" s="18"/>
      <c r="D356" s="28"/>
      <c r="E356" s="16"/>
      <c r="G356"/>
    </row>
    <row r="357" spans="1:7" s="14" customFormat="1" x14ac:dyDescent="0.35">
      <c r="A357" s="15"/>
      <c r="B357" s="6"/>
      <c r="C357" s="18"/>
      <c r="D357" s="28"/>
      <c r="E357" s="16"/>
      <c r="G357"/>
    </row>
    <row r="358" spans="1:7" s="14" customFormat="1" x14ac:dyDescent="0.35">
      <c r="A358" s="15"/>
      <c r="B358" s="6"/>
      <c r="C358" s="18"/>
      <c r="D358" s="28"/>
      <c r="E358" s="16"/>
      <c r="G358"/>
    </row>
    <row r="359" spans="1:7" s="14" customFormat="1" x14ac:dyDescent="0.35">
      <c r="A359" s="15"/>
      <c r="B359" s="6"/>
      <c r="C359" s="18"/>
      <c r="D359" s="28"/>
      <c r="E359" s="16"/>
      <c r="G359"/>
    </row>
    <row r="360" spans="1:7" s="14" customFormat="1" x14ac:dyDescent="0.35">
      <c r="A360" s="15"/>
      <c r="B360" s="6"/>
      <c r="C360" s="18"/>
      <c r="D360" s="28"/>
      <c r="E360" s="16"/>
      <c r="G360"/>
    </row>
    <row r="361" spans="1:7" s="14" customFormat="1" x14ac:dyDescent="0.35">
      <c r="A361" s="15"/>
      <c r="B361" s="6"/>
      <c r="C361" s="18"/>
      <c r="D361" s="28"/>
      <c r="E361" s="16"/>
      <c r="G361"/>
    </row>
    <row r="362" spans="1:7" s="14" customFormat="1" x14ac:dyDescent="0.35">
      <c r="A362" s="15"/>
      <c r="B362" s="6"/>
      <c r="C362" s="18"/>
      <c r="D362" s="28"/>
      <c r="E362" s="16"/>
      <c r="G362"/>
    </row>
    <row r="363" spans="1:7" s="14" customFormat="1" x14ac:dyDescent="0.35">
      <c r="A363" s="15"/>
      <c r="B363" s="6"/>
      <c r="C363" s="18"/>
      <c r="D363" s="28"/>
      <c r="E363" s="16"/>
      <c r="G363"/>
    </row>
    <row r="364" spans="1:7" s="14" customFormat="1" x14ac:dyDescent="0.35">
      <c r="A364" s="15"/>
      <c r="B364" s="6"/>
      <c r="C364" s="18"/>
      <c r="D364" s="28"/>
      <c r="E364" s="16"/>
      <c r="G364"/>
    </row>
    <row r="365" spans="1:7" s="14" customFormat="1" x14ac:dyDescent="0.35">
      <c r="A365" s="15"/>
      <c r="B365" s="6"/>
      <c r="C365" s="18"/>
      <c r="D365" s="28"/>
      <c r="E365" s="16"/>
      <c r="G365"/>
    </row>
    <row r="366" spans="1:7" s="14" customFormat="1" x14ac:dyDescent="0.35">
      <c r="A366" s="15"/>
      <c r="B366" s="6"/>
      <c r="C366" s="18"/>
      <c r="D366" s="28"/>
      <c r="E366" s="16"/>
      <c r="G366"/>
    </row>
    <row r="367" spans="1:7" s="14" customFormat="1" x14ac:dyDescent="0.35">
      <c r="A367" s="15"/>
      <c r="B367" s="6"/>
      <c r="C367" s="18"/>
      <c r="D367" s="28"/>
      <c r="E367" s="16"/>
      <c r="G367"/>
    </row>
    <row r="368" spans="1:7" s="14" customFormat="1" x14ac:dyDescent="0.35">
      <c r="A368" s="15"/>
      <c r="B368" s="6"/>
      <c r="C368" s="18"/>
      <c r="D368" s="28"/>
      <c r="E368" s="16"/>
      <c r="G368"/>
    </row>
    <row r="369" spans="1:7" s="14" customFormat="1" x14ac:dyDescent="0.35">
      <c r="A369" s="15"/>
      <c r="B369" s="6"/>
      <c r="C369" s="18"/>
      <c r="D369" s="28"/>
      <c r="E369" s="16"/>
      <c r="G369"/>
    </row>
    <row r="370" spans="1:7" s="14" customFormat="1" x14ac:dyDescent="0.35">
      <c r="A370" s="15"/>
      <c r="B370" s="6"/>
      <c r="C370" s="18"/>
      <c r="D370" s="28"/>
      <c r="E370" s="16"/>
      <c r="G370"/>
    </row>
    <row r="371" spans="1:7" s="14" customFormat="1" x14ac:dyDescent="0.35">
      <c r="A371" s="15"/>
      <c r="B371" s="6"/>
      <c r="C371" s="18"/>
      <c r="D371" s="28"/>
      <c r="E371" s="16"/>
      <c r="G371"/>
    </row>
    <row r="372" spans="1:7" s="14" customFormat="1" x14ac:dyDescent="0.35">
      <c r="A372" s="15"/>
      <c r="B372" s="6"/>
      <c r="C372" s="18"/>
      <c r="D372" s="28"/>
      <c r="E372" s="16"/>
      <c r="G372"/>
    </row>
    <row r="373" spans="1:7" s="14" customFormat="1" x14ac:dyDescent="0.35">
      <c r="A373" s="15"/>
      <c r="B373" s="6"/>
      <c r="C373" s="18"/>
      <c r="D373" s="28"/>
      <c r="E373" s="16"/>
      <c r="G373"/>
    </row>
    <row r="374" spans="1:7" s="14" customFormat="1" x14ac:dyDescent="0.35">
      <c r="A374" s="15"/>
      <c r="B374" s="6"/>
      <c r="C374" s="18"/>
      <c r="D374" s="28"/>
      <c r="E374" s="16"/>
      <c r="G374"/>
    </row>
    <row r="375" spans="1:7" s="14" customFormat="1" x14ac:dyDescent="0.35">
      <c r="A375" s="15"/>
      <c r="B375" s="6"/>
      <c r="C375" s="18"/>
      <c r="D375" s="28"/>
      <c r="E375" s="16"/>
      <c r="G375"/>
    </row>
    <row r="376" spans="1:7" s="14" customFormat="1" x14ac:dyDescent="0.35">
      <c r="A376" s="15"/>
      <c r="B376" s="6"/>
      <c r="C376" s="18"/>
      <c r="D376" s="28"/>
      <c r="E376" s="16"/>
      <c r="G376"/>
    </row>
    <row r="377" spans="1:7" s="14" customFormat="1" x14ac:dyDescent="0.35">
      <c r="A377" s="15"/>
      <c r="B377" s="6"/>
      <c r="C377" s="18"/>
      <c r="D377" s="28"/>
      <c r="E377" s="16"/>
      <c r="G377"/>
    </row>
    <row r="378" spans="1:7" s="14" customFormat="1" x14ac:dyDescent="0.35">
      <c r="A378" s="15"/>
      <c r="B378" s="6"/>
      <c r="C378" s="18"/>
      <c r="D378" s="28"/>
      <c r="E378" s="16"/>
      <c r="G378"/>
    </row>
    <row r="379" spans="1:7" s="14" customFormat="1" x14ac:dyDescent="0.35">
      <c r="A379" s="15"/>
      <c r="B379" s="6"/>
      <c r="C379" s="18"/>
      <c r="D379" s="28"/>
      <c r="E379" s="16"/>
      <c r="G379"/>
    </row>
    <row r="380" spans="1:7" s="14" customFormat="1" x14ac:dyDescent="0.35">
      <c r="A380" s="15"/>
      <c r="B380" s="6"/>
      <c r="C380" s="18"/>
      <c r="D380" s="28"/>
      <c r="E380" s="16"/>
      <c r="G380"/>
    </row>
    <row r="381" spans="1:7" s="14" customFormat="1" x14ac:dyDescent="0.35">
      <c r="A381" s="15"/>
      <c r="B381" s="6"/>
      <c r="C381" s="18"/>
      <c r="D381" s="28"/>
      <c r="E381" s="16"/>
      <c r="G381"/>
    </row>
    <row r="382" spans="1:7" s="14" customFormat="1" x14ac:dyDescent="0.35">
      <c r="A382" s="15"/>
      <c r="B382" s="6"/>
      <c r="C382" s="18"/>
      <c r="D382" s="28"/>
      <c r="E382" s="16"/>
      <c r="G382"/>
    </row>
    <row r="383" spans="1:7" s="14" customFormat="1" x14ac:dyDescent="0.35">
      <c r="A383" s="15"/>
      <c r="B383" s="6"/>
      <c r="C383" s="18"/>
      <c r="D383" s="28"/>
      <c r="E383" s="16"/>
      <c r="G383"/>
    </row>
    <row r="384" spans="1:7" s="14" customFormat="1" x14ac:dyDescent="0.35">
      <c r="A384" s="15"/>
      <c r="B384" s="6"/>
      <c r="C384" s="18"/>
      <c r="D384" s="28"/>
      <c r="E384" s="16"/>
      <c r="G384"/>
    </row>
    <row r="385" spans="1:7" s="14" customFormat="1" x14ac:dyDescent="0.35">
      <c r="A385" s="15"/>
      <c r="B385" s="6"/>
      <c r="C385" s="18"/>
      <c r="D385" s="28"/>
      <c r="E385" s="16"/>
      <c r="G385"/>
    </row>
    <row r="386" spans="1:7" s="14" customFormat="1" x14ac:dyDescent="0.35">
      <c r="A386" s="15"/>
      <c r="B386" s="6"/>
      <c r="C386" s="18"/>
      <c r="D386" s="28"/>
      <c r="E386" s="16"/>
      <c r="G386"/>
    </row>
    <row r="387" spans="1:7" s="14" customFormat="1" x14ac:dyDescent="0.35">
      <c r="A387" s="15"/>
      <c r="B387" s="6"/>
      <c r="C387" s="18"/>
      <c r="D387" s="28"/>
      <c r="E387" s="16"/>
      <c r="G387"/>
    </row>
    <row r="388" spans="1:7" s="14" customFormat="1" x14ac:dyDescent="0.35">
      <c r="A388" s="15"/>
      <c r="B388" s="6"/>
      <c r="C388" s="18"/>
      <c r="D388" s="28"/>
      <c r="E388" s="16"/>
      <c r="G388"/>
    </row>
    <row r="389" spans="1:7" s="14" customFormat="1" x14ac:dyDescent="0.35">
      <c r="A389" s="15"/>
      <c r="B389" s="6"/>
      <c r="C389" s="18"/>
      <c r="D389" s="28"/>
      <c r="E389" s="16"/>
      <c r="G389"/>
    </row>
    <row r="390" spans="1:7" s="14" customFormat="1" x14ac:dyDescent="0.35">
      <c r="A390" s="15"/>
      <c r="B390" s="6"/>
      <c r="C390" s="18"/>
      <c r="D390" s="28"/>
      <c r="E390" s="16"/>
      <c r="G390"/>
    </row>
    <row r="391" spans="1:7" s="14" customFormat="1" x14ac:dyDescent="0.35">
      <c r="A391" s="15"/>
      <c r="B391" s="6"/>
      <c r="C391" s="18"/>
      <c r="D391" s="28"/>
      <c r="E391" s="16"/>
      <c r="G391"/>
    </row>
    <row r="392" spans="1:7" s="14" customFormat="1" x14ac:dyDescent="0.35">
      <c r="A392" s="15"/>
      <c r="B392" s="6"/>
      <c r="C392" s="18"/>
      <c r="D392" s="28"/>
      <c r="E392" s="16"/>
      <c r="G392"/>
    </row>
    <row r="393" spans="1:7" s="14" customFormat="1" x14ac:dyDescent="0.35">
      <c r="A393" s="15"/>
      <c r="B393" s="6"/>
      <c r="C393" s="18"/>
      <c r="D393" s="28"/>
      <c r="E393" s="16"/>
      <c r="G393"/>
    </row>
    <row r="394" spans="1:7" s="14" customFormat="1" x14ac:dyDescent="0.35">
      <c r="A394" s="15"/>
      <c r="B394" s="6"/>
      <c r="C394" s="18"/>
      <c r="D394" s="28"/>
      <c r="E394" s="16"/>
      <c r="G394"/>
    </row>
    <row r="395" spans="1:7" s="14" customFormat="1" x14ac:dyDescent="0.35">
      <c r="A395" s="15"/>
      <c r="B395" s="6"/>
      <c r="C395" s="18"/>
      <c r="D395" s="28"/>
      <c r="E395" s="16"/>
      <c r="G395"/>
    </row>
    <row r="396" spans="1:7" s="14" customFormat="1" x14ac:dyDescent="0.35">
      <c r="A396" s="15"/>
      <c r="B396" s="6"/>
      <c r="C396" s="18"/>
      <c r="D396" s="28"/>
      <c r="E396" s="16"/>
      <c r="G396"/>
    </row>
    <row r="397" spans="1:7" s="14" customFormat="1" x14ac:dyDescent="0.35">
      <c r="A397" s="15"/>
      <c r="B397" s="6"/>
      <c r="C397" s="18"/>
      <c r="D397" s="28"/>
      <c r="E397" s="16"/>
      <c r="G397"/>
    </row>
    <row r="398" spans="1:7" s="14" customFormat="1" x14ac:dyDescent="0.35">
      <c r="A398" s="15"/>
      <c r="B398" s="6"/>
      <c r="C398" s="18"/>
      <c r="D398" s="28"/>
      <c r="E398" s="16"/>
      <c r="G398"/>
    </row>
    <row r="399" spans="1:7" s="14" customFormat="1" x14ac:dyDescent="0.35">
      <c r="A399" s="15"/>
      <c r="B399" s="6"/>
      <c r="C399" s="18"/>
      <c r="D399" s="28"/>
      <c r="E399" s="16"/>
      <c r="G399"/>
    </row>
    <row r="400" spans="1:7" s="14" customFormat="1" x14ac:dyDescent="0.35">
      <c r="A400" s="15"/>
      <c r="B400" s="6"/>
      <c r="C400" s="18"/>
      <c r="D400" s="28"/>
      <c r="E400" s="16"/>
      <c r="G400"/>
    </row>
    <row r="401" spans="1:7" s="14" customFormat="1" x14ac:dyDescent="0.35">
      <c r="A401" s="15"/>
      <c r="B401" s="6"/>
      <c r="C401" s="18"/>
      <c r="D401" s="28"/>
      <c r="E401" s="16"/>
      <c r="G401"/>
    </row>
    <row r="402" spans="1:7" s="14" customFormat="1" x14ac:dyDescent="0.35">
      <c r="A402" s="15"/>
      <c r="B402" s="6"/>
      <c r="C402" s="18"/>
      <c r="D402" s="28"/>
      <c r="E402" s="16"/>
      <c r="G402"/>
    </row>
    <row r="403" spans="1:7" s="14" customFormat="1" x14ac:dyDescent="0.35">
      <c r="A403" s="15"/>
      <c r="B403" s="6"/>
      <c r="C403" s="18"/>
      <c r="D403" s="28"/>
      <c r="E403" s="16"/>
      <c r="G403"/>
    </row>
    <row r="404" spans="1:7" s="14" customFormat="1" x14ac:dyDescent="0.35">
      <c r="A404" s="15"/>
      <c r="B404" s="6"/>
      <c r="C404" s="18"/>
      <c r="D404" s="28"/>
      <c r="E404" s="16"/>
      <c r="G404"/>
    </row>
    <row r="405" spans="1:7" s="14" customFormat="1" x14ac:dyDescent="0.35">
      <c r="A405" s="15"/>
      <c r="B405" s="6"/>
      <c r="C405" s="18"/>
      <c r="D405" s="28"/>
      <c r="E405" s="16"/>
      <c r="G405"/>
    </row>
    <row r="406" spans="1:7" s="14" customFormat="1" x14ac:dyDescent="0.35">
      <c r="A406" s="15"/>
      <c r="B406" s="6"/>
      <c r="C406" s="18"/>
      <c r="D406" s="28"/>
      <c r="E406" s="16"/>
      <c r="G406"/>
    </row>
    <row r="407" spans="1:7" s="14" customFormat="1" x14ac:dyDescent="0.35">
      <c r="A407" s="15"/>
      <c r="B407" s="6"/>
      <c r="C407" s="18"/>
      <c r="D407" s="28"/>
      <c r="E407" s="16"/>
      <c r="G407"/>
    </row>
    <row r="408" spans="1:7" s="14" customFormat="1" x14ac:dyDescent="0.35">
      <c r="A408" s="15"/>
      <c r="B408" s="6"/>
      <c r="C408" s="18"/>
      <c r="D408" s="28"/>
      <c r="E408" s="16"/>
      <c r="G408"/>
    </row>
    <row r="409" spans="1:7" s="14" customFormat="1" x14ac:dyDescent="0.35">
      <c r="A409" s="15"/>
      <c r="B409" s="6"/>
      <c r="C409" s="18"/>
      <c r="D409" s="28"/>
      <c r="E409" s="16"/>
      <c r="G409"/>
    </row>
    <row r="410" spans="1:7" s="14" customFormat="1" x14ac:dyDescent="0.35">
      <c r="A410" s="15"/>
      <c r="B410" s="6"/>
      <c r="C410" s="18"/>
      <c r="D410" s="28"/>
      <c r="E410" s="16"/>
      <c r="G410"/>
    </row>
    <row r="411" spans="1:7" s="14" customFormat="1" x14ac:dyDescent="0.35">
      <c r="A411" s="15"/>
      <c r="B411" s="6"/>
      <c r="C411" s="18"/>
      <c r="D411" s="28"/>
      <c r="E411" s="16"/>
      <c r="G411"/>
    </row>
    <row r="412" spans="1:7" s="14" customFormat="1" x14ac:dyDescent="0.35">
      <c r="A412" s="15"/>
      <c r="B412" s="6"/>
      <c r="C412" s="18"/>
      <c r="D412" s="28"/>
      <c r="E412" s="16"/>
      <c r="G412"/>
    </row>
    <row r="413" spans="1:7" s="14" customFormat="1" x14ac:dyDescent="0.35">
      <c r="A413" s="15"/>
      <c r="B413" s="6"/>
      <c r="C413" s="18"/>
      <c r="D413" s="28"/>
      <c r="E413" s="16"/>
      <c r="G413"/>
    </row>
    <row r="414" spans="1:7" s="14" customFormat="1" x14ac:dyDescent="0.35">
      <c r="A414" s="15"/>
      <c r="B414" s="6"/>
      <c r="C414" s="18"/>
      <c r="D414" s="28"/>
      <c r="E414" s="16"/>
      <c r="G414"/>
    </row>
    <row r="415" spans="1:7" s="14" customFormat="1" x14ac:dyDescent="0.35">
      <c r="A415" s="15"/>
      <c r="B415" s="6"/>
      <c r="C415" s="18"/>
      <c r="D415" s="28"/>
      <c r="E415" s="16"/>
      <c r="G415"/>
    </row>
    <row r="416" spans="1:7" s="14" customFormat="1" x14ac:dyDescent="0.35">
      <c r="A416" s="15"/>
      <c r="B416" s="6"/>
      <c r="C416" s="18"/>
      <c r="D416" s="28"/>
      <c r="E416" s="16"/>
      <c r="G416"/>
    </row>
    <row r="417" spans="1:7" s="14" customFormat="1" x14ac:dyDescent="0.35">
      <c r="A417" s="15"/>
      <c r="B417" s="6"/>
      <c r="C417" s="18"/>
      <c r="D417" s="28"/>
      <c r="E417" s="16"/>
      <c r="G417"/>
    </row>
    <row r="418" spans="1:7" s="14" customFormat="1" x14ac:dyDescent="0.35">
      <c r="A418" s="15"/>
      <c r="B418" s="6"/>
      <c r="C418" s="18"/>
      <c r="D418" s="28"/>
      <c r="E418" s="16"/>
      <c r="G418"/>
    </row>
    <row r="419" spans="1:7" s="14" customFormat="1" x14ac:dyDescent="0.35">
      <c r="A419" s="15"/>
      <c r="B419" s="6"/>
      <c r="C419" s="18"/>
      <c r="D419" s="28"/>
      <c r="E419" s="16"/>
      <c r="G419"/>
    </row>
    <row r="420" spans="1:7" s="14" customFormat="1" x14ac:dyDescent="0.35">
      <c r="A420" s="15"/>
      <c r="B420" s="6"/>
      <c r="C420" s="18"/>
      <c r="D420" s="28"/>
      <c r="E420" s="16"/>
      <c r="G420"/>
    </row>
    <row r="421" spans="1:7" s="14" customFormat="1" x14ac:dyDescent="0.35">
      <c r="A421" s="15"/>
      <c r="B421" s="6"/>
      <c r="C421" s="18"/>
      <c r="D421" s="28"/>
      <c r="E421" s="16"/>
      <c r="G421"/>
    </row>
    <row r="422" spans="1:7" s="14" customFormat="1" x14ac:dyDescent="0.35">
      <c r="A422" s="15"/>
      <c r="B422" s="6"/>
      <c r="C422" s="18"/>
      <c r="D422" s="28"/>
      <c r="E422" s="16"/>
      <c r="G422"/>
    </row>
    <row r="423" spans="1:7" s="14" customFormat="1" x14ac:dyDescent="0.35">
      <c r="A423" s="15"/>
      <c r="B423" s="6"/>
      <c r="C423" s="18"/>
      <c r="D423" s="28"/>
      <c r="E423" s="16"/>
      <c r="G423"/>
    </row>
    <row r="424" spans="1:7" s="14" customFormat="1" x14ac:dyDescent="0.35">
      <c r="A424" s="15"/>
      <c r="B424" s="6"/>
      <c r="C424" s="18"/>
      <c r="D424" s="28"/>
      <c r="E424" s="16"/>
      <c r="G424"/>
    </row>
    <row r="425" spans="1:7" s="14" customFormat="1" x14ac:dyDescent="0.35">
      <c r="A425" s="15"/>
      <c r="B425" s="6"/>
      <c r="C425" s="18"/>
      <c r="D425" s="28"/>
      <c r="E425" s="16"/>
      <c r="G425"/>
    </row>
    <row r="426" spans="1:7" s="14" customFormat="1" x14ac:dyDescent="0.35">
      <c r="A426" s="15"/>
      <c r="B426" s="6"/>
      <c r="C426" s="18"/>
      <c r="D426" s="28"/>
      <c r="E426" s="16"/>
      <c r="G426"/>
    </row>
    <row r="427" spans="1:7" s="14" customFormat="1" x14ac:dyDescent="0.35">
      <c r="A427" s="15"/>
      <c r="B427" s="6"/>
      <c r="C427" s="18"/>
      <c r="D427" s="28"/>
      <c r="E427" s="16"/>
      <c r="G427"/>
    </row>
    <row r="428" spans="1:7" s="14" customFormat="1" x14ac:dyDescent="0.35">
      <c r="A428" s="15"/>
      <c r="B428" s="6"/>
      <c r="C428" s="18"/>
      <c r="D428" s="28"/>
      <c r="E428" s="16"/>
      <c r="G428"/>
    </row>
    <row r="429" spans="1:7" s="14" customFormat="1" x14ac:dyDescent="0.35">
      <c r="A429" s="15"/>
      <c r="B429" s="6"/>
      <c r="C429" s="18"/>
      <c r="D429" s="28"/>
      <c r="E429" s="16"/>
      <c r="G429"/>
    </row>
    <row r="430" spans="1:7" s="14" customFormat="1" x14ac:dyDescent="0.35">
      <c r="A430" s="15"/>
      <c r="B430" s="6"/>
      <c r="C430" s="18"/>
      <c r="D430" s="28"/>
      <c r="E430" s="16"/>
      <c r="G430"/>
    </row>
    <row r="431" spans="1:7" s="14" customFormat="1" x14ac:dyDescent="0.35">
      <c r="A431" s="15"/>
      <c r="B431" s="6"/>
      <c r="C431" s="18"/>
      <c r="D431" s="28"/>
      <c r="E431" s="16"/>
      <c r="G431"/>
    </row>
    <row r="432" spans="1:7" s="14" customFormat="1" x14ac:dyDescent="0.35">
      <c r="A432" s="15"/>
      <c r="B432" s="6"/>
      <c r="C432" s="18"/>
      <c r="D432" s="28"/>
      <c r="E432" s="16"/>
      <c r="G432"/>
    </row>
    <row r="433" spans="1:7" s="14" customFormat="1" x14ac:dyDescent="0.35">
      <c r="A433" s="15"/>
      <c r="B433" s="6"/>
      <c r="C433" s="18"/>
      <c r="D433" s="28"/>
      <c r="E433" s="16"/>
      <c r="G433"/>
    </row>
    <row r="434" spans="1:7" s="14" customFormat="1" x14ac:dyDescent="0.35">
      <c r="A434" s="15"/>
      <c r="B434" s="6"/>
      <c r="C434" s="18"/>
      <c r="D434" s="28"/>
      <c r="E434" s="16"/>
      <c r="G434"/>
    </row>
    <row r="435" spans="1:7" s="14" customFormat="1" x14ac:dyDescent="0.35">
      <c r="A435" s="15"/>
      <c r="B435" s="6"/>
      <c r="C435" s="18"/>
      <c r="D435" s="28"/>
      <c r="E435" s="16"/>
      <c r="G435"/>
    </row>
    <row r="436" spans="1:7" s="14" customFormat="1" x14ac:dyDescent="0.35">
      <c r="A436" s="15"/>
      <c r="B436" s="6"/>
      <c r="C436" s="18"/>
      <c r="D436" s="28"/>
      <c r="E436" s="16"/>
      <c r="G436"/>
    </row>
    <row r="437" spans="1:7" s="14" customFormat="1" x14ac:dyDescent="0.35">
      <c r="A437" s="15"/>
      <c r="B437" s="6"/>
      <c r="C437" s="18"/>
      <c r="D437" s="28"/>
      <c r="E437" s="16"/>
      <c r="G437"/>
    </row>
    <row r="438" spans="1:7" s="14" customFormat="1" x14ac:dyDescent="0.35">
      <c r="A438" s="15"/>
      <c r="B438" s="6"/>
      <c r="C438" s="18"/>
      <c r="D438" s="28"/>
      <c r="E438" s="16"/>
      <c r="G438"/>
    </row>
    <row r="439" spans="1:7" s="14" customFormat="1" x14ac:dyDescent="0.35">
      <c r="A439" s="15"/>
      <c r="B439" s="6"/>
      <c r="C439" s="18"/>
      <c r="D439" s="28"/>
      <c r="E439" s="16"/>
      <c r="G439"/>
    </row>
    <row r="440" spans="1:7" s="14" customFormat="1" x14ac:dyDescent="0.35">
      <c r="A440" s="15"/>
      <c r="B440" s="6"/>
      <c r="C440" s="18"/>
      <c r="D440" s="28"/>
      <c r="E440" s="16"/>
      <c r="G440"/>
    </row>
    <row r="441" spans="1:7" s="14" customFormat="1" x14ac:dyDescent="0.35">
      <c r="A441" s="15"/>
      <c r="B441" s="6"/>
      <c r="C441" s="18"/>
      <c r="D441" s="28"/>
      <c r="E441" s="16"/>
      <c r="G441"/>
    </row>
    <row r="442" spans="1:7" s="14" customFormat="1" x14ac:dyDescent="0.35">
      <c r="A442" s="15"/>
      <c r="B442" s="6"/>
      <c r="C442" s="18"/>
      <c r="D442" s="28"/>
      <c r="E442" s="16"/>
      <c r="G442"/>
    </row>
    <row r="443" spans="1:7" s="14" customFormat="1" x14ac:dyDescent="0.35">
      <c r="A443" s="15"/>
      <c r="B443" s="6"/>
      <c r="C443" s="18"/>
      <c r="D443" s="28"/>
      <c r="E443" s="16"/>
      <c r="G443"/>
    </row>
    <row r="444" spans="1:7" s="14" customFormat="1" x14ac:dyDescent="0.35">
      <c r="A444" s="15"/>
      <c r="B444" s="6"/>
      <c r="C444" s="18"/>
      <c r="D444" s="28"/>
      <c r="E444" s="16"/>
      <c r="G444"/>
    </row>
    <row r="445" spans="1:7" s="14" customFormat="1" x14ac:dyDescent="0.35">
      <c r="A445" s="15"/>
      <c r="B445" s="6"/>
      <c r="C445" s="18"/>
      <c r="D445" s="28"/>
      <c r="E445" s="16"/>
      <c r="G445"/>
    </row>
    <row r="446" spans="1:7" s="14" customFormat="1" x14ac:dyDescent="0.35">
      <c r="A446" s="15"/>
      <c r="B446" s="6"/>
      <c r="C446" s="18"/>
      <c r="D446" s="28"/>
      <c r="E446" s="16"/>
      <c r="G446"/>
    </row>
    <row r="447" spans="1:7" s="14" customFormat="1" x14ac:dyDescent="0.35">
      <c r="A447" s="15"/>
      <c r="B447" s="6"/>
      <c r="C447" s="18"/>
      <c r="D447" s="28"/>
      <c r="E447" s="16"/>
      <c r="G447"/>
    </row>
    <row r="448" spans="1:7" s="14" customFormat="1" x14ac:dyDescent="0.35">
      <c r="A448" s="15"/>
      <c r="B448" s="6"/>
      <c r="C448" s="18"/>
      <c r="D448" s="28"/>
      <c r="E448" s="16"/>
      <c r="G448"/>
    </row>
    <row r="449" spans="1:7" s="14" customFormat="1" x14ac:dyDescent="0.35">
      <c r="A449" s="15"/>
      <c r="B449" s="6"/>
      <c r="C449" s="18"/>
      <c r="D449" s="28"/>
      <c r="E449" s="16"/>
      <c r="G449"/>
    </row>
    <row r="450" spans="1:7" s="14" customFormat="1" x14ac:dyDescent="0.35">
      <c r="A450" s="15"/>
      <c r="B450" s="6"/>
      <c r="C450" s="18"/>
      <c r="D450" s="28"/>
      <c r="E450" s="16"/>
      <c r="G450"/>
    </row>
    <row r="451" spans="1:7" s="14" customFormat="1" x14ac:dyDescent="0.35">
      <c r="A451" s="15"/>
      <c r="B451" s="6"/>
      <c r="C451" s="18"/>
      <c r="D451" s="28"/>
      <c r="E451" s="16"/>
      <c r="G451"/>
    </row>
    <row r="452" spans="1:7" s="14" customFormat="1" x14ac:dyDescent="0.35">
      <c r="A452" s="15"/>
      <c r="B452" s="6"/>
      <c r="C452" s="18"/>
      <c r="D452" s="28"/>
      <c r="E452" s="16"/>
      <c r="G452"/>
    </row>
    <row r="453" spans="1:7" s="14" customFormat="1" x14ac:dyDescent="0.35">
      <c r="A453" s="15"/>
      <c r="B453" s="6"/>
      <c r="C453" s="18"/>
      <c r="D453" s="28"/>
      <c r="E453" s="16"/>
      <c r="G453"/>
    </row>
    <row r="454" spans="1:7" s="14" customFormat="1" x14ac:dyDescent="0.35">
      <c r="A454" s="15"/>
      <c r="B454" s="6"/>
      <c r="C454" s="18"/>
      <c r="D454" s="28"/>
      <c r="E454" s="16"/>
      <c r="G454"/>
    </row>
    <row r="455" spans="1:7" s="14" customFormat="1" x14ac:dyDescent="0.35">
      <c r="A455" s="15"/>
      <c r="B455" s="6"/>
      <c r="C455" s="18"/>
      <c r="D455" s="28"/>
      <c r="E455" s="16"/>
      <c r="G455"/>
    </row>
    <row r="456" spans="1:7" s="14" customFormat="1" x14ac:dyDescent="0.35">
      <c r="A456" s="15"/>
      <c r="B456" s="6"/>
      <c r="C456" s="18"/>
      <c r="D456" s="28"/>
      <c r="E456" s="16"/>
      <c r="G456"/>
    </row>
    <row r="457" spans="1:7" s="14" customFormat="1" x14ac:dyDescent="0.35">
      <c r="A457" s="15"/>
      <c r="B457" s="6"/>
      <c r="C457" s="18"/>
      <c r="D457" s="28"/>
      <c r="E457" s="16"/>
      <c r="G457"/>
    </row>
    <row r="458" spans="1:7" s="14" customFormat="1" x14ac:dyDescent="0.35">
      <c r="A458" s="15"/>
      <c r="B458" s="6"/>
      <c r="C458" s="18"/>
      <c r="D458" s="28"/>
      <c r="E458" s="16"/>
      <c r="G458"/>
    </row>
    <row r="459" spans="1:7" s="14" customFormat="1" x14ac:dyDescent="0.35">
      <c r="A459" s="15"/>
      <c r="B459" s="6"/>
      <c r="C459" s="18"/>
      <c r="D459" s="28"/>
      <c r="E459" s="16"/>
      <c r="G459"/>
    </row>
    <row r="460" spans="1:7" s="14" customFormat="1" x14ac:dyDescent="0.35">
      <c r="A460" s="15"/>
      <c r="B460" s="6"/>
      <c r="C460" s="18"/>
      <c r="D460" s="28"/>
      <c r="E460" s="16"/>
      <c r="G460"/>
    </row>
    <row r="461" spans="1:7" s="14" customFormat="1" x14ac:dyDescent="0.35">
      <c r="A461" s="15"/>
      <c r="B461" s="6"/>
      <c r="C461" s="18"/>
      <c r="D461" s="28"/>
      <c r="E461" s="16"/>
      <c r="G461"/>
    </row>
    <row r="462" spans="1:7" s="14" customFormat="1" x14ac:dyDescent="0.35">
      <c r="A462" s="15"/>
      <c r="B462" s="6"/>
      <c r="C462" s="18"/>
      <c r="D462" s="28"/>
      <c r="E462" s="16"/>
      <c r="G462"/>
    </row>
    <row r="463" spans="1:7" s="14" customFormat="1" x14ac:dyDescent="0.35">
      <c r="A463" s="15"/>
      <c r="B463" s="6"/>
      <c r="C463" s="18"/>
      <c r="D463" s="28"/>
      <c r="E463" s="16"/>
      <c r="G463"/>
    </row>
    <row r="464" spans="1:7" s="14" customFormat="1" x14ac:dyDescent="0.35">
      <c r="A464" s="15"/>
      <c r="B464" s="6"/>
      <c r="C464" s="18"/>
      <c r="D464" s="28"/>
      <c r="E464" s="16"/>
      <c r="G464"/>
    </row>
    <row r="465" spans="1:7" s="14" customFormat="1" x14ac:dyDescent="0.35">
      <c r="A465" s="15"/>
      <c r="B465" s="6"/>
      <c r="C465" s="18"/>
      <c r="D465" s="28"/>
      <c r="E465" s="16"/>
      <c r="G465"/>
    </row>
    <row r="466" spans="1:7" s="14" customFormat="1" x14ac:dyDescent="0.35">
      <c r="A466" s="15"/>
      <c r="B466" s="6"/>
      <c r="C466" s="18"/>
      <c r="D466" s="28"/>
      <c r="E466" s="16"/>
      <c r="G466"/>
    </row>
    <row r="467" spans="1:7" s="14" customFormat="1" x14ac:dyDescent="0.35">
      <c r="A467" s="15"/>
      <c r="B467" s="6"/>
      <c r="C467" s="18"/>
      <c r="D467" s="28"/>
      <c r="E467" s="16"/>
      <c r="G467"/>
    </row>
    <row r="468" spans="1:7" s="14" customFormat="1" x14ac:dyDescent="0.35">
      <c r="A468" s="15"/>
      <c r="B468" s="6"/>
      <c r="C468" s="18"/>
      <c r="D468" s="28"/>
      <c r="E468" s="16"/>
      <c r="G468"/>
    </row>
    <row r="469" spans="1:7" s="14" customFormat="1" x14ac:dyDescent="0.35">
      <c r="A469" s="15"/>
      <c r="B469" s="6"/>
      <c r="C469" s="18"/>
      <c r="D469" s="28"/>
      <c r="E469" s="16"/>
      <c r="G469"/>
    </row>
    <row r="470" spans="1:7" s="14" customFormat="1" x14ac:dyDescent="0.35">
      <c r="A470" s="15"/>
      <c r="B470" s="6"/>
      <c r="C470" s="18"/>
      <c r="D470" s="28"/>
      <c r="E470" s="16"/>
      <c r="G470"/>
    </row>
    <row r="471" spans="1:7" s="14" customFormat="1" x14ac:dyDescent="0.35">
      <c r="A471" s="15"/>
      <c r="B471" s="6"/>
      <c r="C471" s="18"/>
      <c r="D471" s="28"/>
      <c r="E471" s="16"/>
      <c r="G471"/>
    </row>
    <row r="472" spans="1:7" s="14" customFormat="1" x14ac:dyDescent="0.35">
      <c r="A472" s="15"/>
      <c r="B472" s="6"/>
      <c r="C472" s="18"/>
      <c r="D472" s="28"/>
      <c r="E472" s="16"/>
      <c r="G472"/>
    </row>
    <row r="473" spans="1:7" s="14" customFormat="1" x14ac:dyDescent="0.35">
      <c r="A473" s="15"/>
      <c r="B473" s="6"/>
      <c r="C473" s="18"/>
      <c r="D473" s="28"/>
      <c r="E473" s="16"/>
      <c r="G473"/>
    </row>
    <row r="474" spans="1:7" s="14" customFormat="1" x14ac:dyDescent="0.35">
      <c r="A474" s="15"/>
      <c r="B474" s="6"/>
      <c r="C474" s="18"/>
      <c r="D474" s="28"/>
      <c r="E474" s="16"/>
      <c r="G474"/>
    </row>
    <row r="475" spans="1:7" s="14" customFormat="1" x14ac:dyDescent="0.35">
      <c r="A475" s="15"/>
      <c r="B475" s="6"/>
      <c r="C475" s="18"/>
      <c r="D475" s="28"/>
      <c r="E475" s="16"/>
      <c r="G475"/>
    </row>
    <row r="476" spans="1:7" s="14" customFormat="1" x14ac:dyDescent="0.35">
      <c r="A476" s="15"/>
      <c r="B476" s="6"/>
      <c r="C476" s="18"/>
      <c r="D476" s="28"/>
      <c r="E476" s="16"/>
      <c r="G476"/>
    </row>
    <row r="477" spans="1:7" s="14" customFormat="1" x14ac:dyDescent="0.35">
      <c r="A477" s="15"/>
      <c r="B477" s="6"/>
      <c r="C477" s="18"/>
      <c r="D477" s="28"/>
      <c r="E477" s="16"/>
      <c r="G477"/>
    </row>
    <row r="478" spans="1:7" s="14" customFormat="1" x14ac:dyDescent="0.35">
      <c r="A478" s="15"/>
      <c r="B478" s="6"/>
      <c r="C478" s="18"/>
      <c r="D478" s="28"/>
      <c r="E478" s="16"/>
      <c r="G478"/>
    </row>
    <row r="479" spans="1:7" s="14" customFormat="1" x14ac:dyDescent="0.35">
      <c r="A479" s="15"/>
      <c r="B479" s="6"/>
      <c r="C479" s="18"/>
      <c r="D479" s="28"/>
      <c r="E479" s="16"/>
      <c r="G479"/>
    </row>
    <row r="480" spans="1:7" s="14" customFormat="1" x14ac:dyDescent="0.35">
      <c r="A480" s="15"/>
      <c r="B480" s="6"/>
      <c r="C480" s="18"/>
      <c r="D480" s="28"/>
      <c r="E480" s="16"/>
      <c r="G480"/>
    </row>
    <row r="481" spans="1:7" s="14" customFormat="1" x14ac:dyDescent="0.35">
      <c r="A481" s="15"/>
      <c r="B481" s="6"/>
      <c r="C481" s="18"/>
      <c r="D481" s="28"/>
      <c r="E481" s="16"/>
      <c r="G481"/>
    </row>
    <row r="482" spans="1:7" s="14" customFormat="1" x14ac:dyDescent="0.35">
      <c r="A482" s="15"/>
      <c r="B482" s="6"/>
      <c r="C482" s="18"/>
      <c r="D482" s="28"/>
      <c r="E482" s="16"/>
      <c r="G482"/>
    </row>
    <row r="483" spans="1:7" s="14" customFormat="1" x14ac:dyDescent="0.35">
      <c r="A483" s="15"/>
      <c r="B483" s="6"/>
      <c r="C483" s="18"/>
      <c r="D483" s="28"/>
      <c r="E483" s="16"/>
      <c r="G483"/>
    </row>
    <row r="484" spans="1:7" s="14" customFormat="1" x14ac:dyDescent="0.35">
      <c r="A484" s="15"/>
      <c r="B484" s="6"/>
      <c r="C484" s="18"/>
      <c r="D484" s="28"/>
      <c r="E484" s="16"/>
      <c r="G484"/>
    </row>
    <row r="485" spans="1:7" s="14" customFormat="1" x14ac:dyDescent="0.35">
      <c r="A485" s="15"/>
      <c r="B485" s="6"/>
      <c r="C485" s="18"/>
      <c r="D485" s="28"/>
      <c r="E485" s="16"/>
      <c r="G485"/>
    </row>
    <row r="486" spans="1:7" s="14" customFormat="1" x14ac:dyDescent="0.35">
      <c r="A486" s="15"/>
      <c r="B486" s="6"/>
      <c r="C486" s="18"/>
      <c r="D486" s="28"/>
      <c r="E486" s="16"/>
      <c r="G486"/>
    </row>
    <row r="487" spans="1:7" s="14" customFormat="1" x14ac:dyDescent="0.35">
      <c r="A487" s="15"/>
      <c r="B487" s="6"/>
      <c r="C487" s="18"/>
      <c r="D487" s="28"/>
      <c r="E487" s="16"/>
      <c r="G487"/>
    </row>
    <row r="488" spans="1:7" s="14" customFormat="1" x14ac:dyDescent="0.35">
      <c r="A488" s="15"/>
      <c r="B488" s="6"/>
      <c r="C488" s="18"/>
      <c r="D488" s="28"/>
      <c r="E488" s="16"/>
      <c r="G488"/>
    </row>
    <row r="489" spans="1:7" s="14" customFormat="1" x14ac:dyDescent="0.35">
      <c r="A489" s="15"/>
      <c r="B489" s="6"/>
      <c r="C489" s="18"/>
      <c r="D489" s="28"/>
      <c r="E489" s="16"/>
      <c r="G489"/>
    </row>
    <row r="490" spans="1:7" s="14" customFormat="1" x14ac:dyDescent="0.35">
      <c r="A490" s="15"/>
      <c r="B490" s="6"/>
      <c r="C490" s="18"/>
      <c r="D490" s="28"/>
      <c r="E490" s="16"/>
      <c r="G490"/>
    </row>
    <row r="491" spans="1:7" s="14" customFormat="1" x14ac:dyDescent="0.35">
      <c r="A491" s="15"/>
      <c r="B491" s="6"/>
      <c r="C491" s="18"/>
      <c r="D491" s="28"/>
      <c r="E491" s="16"/>
      <c r="G491"/>
    </row>
    <row r="492" spans="1:7" s="14" customFormat="1" x14ac:dyDescent="0.35">
      <c r="A492" s="15"/>
      <c r="B492" s="6"/>
      <c r="C492" s="18"/>
      <c r="D492" s="28"/>
      <c r="E492" s="16"/>
      <c r="G492"/>
    </row>
    <row r="493" spans="1:7" s="14" customFormat="1" x14ac:dyDescent="0.35">
      <c r="A493" s="15"/>
      <c r="B493" s="6"/>
      <c r="C493" s="18"/>
      <c r="D493" s="28"/>
      <c r="E493" s="16"/>
      <c r="G493"/>
    </row>
    <row r="494" spans="1:7" s="14" customFormat="1" x14ac:dyDescent="0.35">
      <c r="A494" s="15"/>
      <c r="B494" s="6"/>
      <c r="C494" s="18"/>
      <c r="D494" s="28"/>
      <c r="E494" s="16"/>
      <c r="G494"/>
    </row>
    <row r="495" spans="1:7" s="14" customFormat="1" x14ac:dyDescent="0.35">
      <c r="A495" s="15"/>
      <c r="B495" s="6"/>
      <c r="C495" s="18"/>
      <c r="D495" s="28"/>
      <c r="E495" s="16"/>
      <c r="G495"/>
    </row>
    <row r="496" spans="1:7" s="14" customFormat="1" x14ac:dyDescent="0.35">
      <c r="A496" s="15"/>
      <c r="B496" s="6"/>
      <c r="C496" s="18"/>
      <c r="D496" s="28"/>
      <c r="E496" s="16"/>
      <c r="G496"/>
    </row>
    <row r="497" spans="1:7" s="14" customFormat="1" x14ac:dyDescent="0.35">
      <c r="A497" s="15"/>
      <c r="B497" s="6"/>
      <c r="C497" s="18"/>
      <c r="D497" s="28"/>
      <c r="E497" s="16"/>
      <c r="G497"/>
    </row>
    <row r="498" spans="1:7" s="14" customFormat="1" x14ac:dyDescent="0.35">
      <c r="A498" s="15"/>
      <c r="B498" s="6"/>
      <c r="C498" s="18"/>
      <c r="D498" s="28"/>
      <c r="E498" s="16"/>
      <c r="G498"/>
    </row>
    <row r="499" spans="1:7" s="14" customFormat="1" x14ac:dyDescent="0.35">
      <c r="A499" s="15"/>
      <c r="B499" s="6"/>
      <c r="C499" s="18"/>
      <c r="D499" s="28"/>
      <c r="E499" s="16"/>
      <c r="G499"/>
    </row>
    <row r="500" spans="1:7" s="14" customFormat="1" x14ac:dyDescent="0.35">
      <c r="A500" s="15"/>
      <c r="B500" s="6"/>
      <c r="C500" s="18"/>
      <c r="D500" s="28"/>
      <c r="E500" s="16"/>
      <c r="G500"/>
    </row>
    <row r="501" spans="1:7" s="14" customFormat="1" x14ac:dyDescent="0.35">
      <c r="A501" s="15"/>
      <c r="B501" s="6"/>
      <c r="C501" s="18"/>
      <c r="D501" s="28"/>
      <c r="E501" s="16"/>
      <c r="G501"/>
    </row>
    <row r="502" spans="1:7" s="14" customFormat="1" x14ac:dyDescent="0.35">
      <c r="A502" s="15"/>
      <c r="B502" s="6"/>
      <c r="C502" s="18"/>
      <c r="D502" s="28"/>
      <c r="E502" s="16"/>
      <c r="G502"/>
    </row>
    <row r="503" spans="1:7" s="14" customFormat="1" x14ac:dyDescent="0.35">
      <c r="A503" s="15"/>
      <c r="B503" s="6"/>
      <c r="C503" s="18"/>
      <c r="D503" s="28"/>
      <c r="E503" s="16"/>
      <c r="G503"/>
    </row>
    <row r="504" spans="1:7" s="14" customFormat="1" x14ac:dyDescent="0.35">
      <c r="A504" s="15"/>
      <c r="B504" s="6"/>
      <c r="C504" s="18"/>
      <c r="D504" s="28"/>
      <c r="E504" s="16"/>
      <c r="G504"/>
    </row>
    <row r="505" spans="1:7" s="14" customFormat="1" x14ac:dyDescent="0.35">
      <c r="A505" s="15"/>
      <c r="B505" s="6"/>
      <c r="C505" s="18"/>
      <c r="D505" s="28"/>
      <c r="E505" s="16"/>
      <c r="G505"/>
    </row>
    <row r="506" spans="1:7" s="14" customFormat="1" x14ac:dyDescent="0.35">
      <c r="A506" s="15"/>
      <c r="B506" s="6"/>
      <c r="C506" s="18"/>
      <c r="D506" s="28"/>
      <c r="E506" s="16"/>
      <c r="G506"/>
    </row>
    <row r="507" spans="1:7" s="14" customFormat="1" x14ac:dyDescent="0.35">
      <c r="A507" s="15"/>
      <c r="B507" s="6"/>
      <c r="C507" s="18"/>
      <c r="D507" s="28"/>
      <c r="E507" s="16"/>
      <c r="G507"/>
    </row>
    <row r="508" spans="1:7" s="14" customFormat="1" x14ac:dyDescent="0.35">
      <c r="A508" s="15"/>
      <c r="B508" s="6"/>
      <c r="C508" s="18"/>
      <c r="D508" s="28"/>
      <c r="E508" s="16"/>
      <c r="G508"/>
    </row>
    <row r="509" spans="1:7" s="14" customFormat="1" x14ac:dyDescent="0.35">
      <c r="A509" s="15"/>
      <c r="B509" s="6"/>
      <c r="C509" s="18"/>
      <c r="D509" s="28"/>
      <c r="E509" s="16"/>
      <c r="G509"/>
    </row>
    <row r="510" spans="1:7" s="14" customFormat="1" x14ac:dyDescent="0.35">
      <c r="A510" s="15"/>
      <c r="B510" s="6"/>
      <c r="C510" s="18"/>
      <c r="D510" s="28"/>
      <c r="E510" s="16"/>
      <c r="G510"/>
    </row>
    <row r="511" spans="1:7" s="14" customFormat="1" x14ac:dyDescent="0.35">
      <c r="A511" s="15"/>
      <c r="B511" s="6"/>
      <c r="C511" s="18"/>
      <c r="D511" s="28"/>
      <c r="E511" s="16"/>
      <c r="G511"/>
    </row>
    <row r="512" spans="1:7" s="14" customFormat="1" x14ac:dyDescent="0.35">
      <c r="A512" s="15"/>
      <c r="B512" s="6"/>
      <c r="C512" s="18"/>
      <c r="D512" s="28"/>
      <c r="E512" s="16"/>
      <c r="G512"/>
    </row>
    <row r="513" spans="1:7" s="14" customFormat="1" x14ac:dyDescent="0.35">
      <c r="A513" s="15"/>
      <c r="B513" s="6"/>
      <c r="C513" s="18"/>
      <c r="D513" s="28"/>
      <c r="E513" s="16"/>
      <c r="G513"/>
    </row>
    <row r="514" spans="1:7" s="14" customFormat="1" x14ac:dyDescent="0.35">
      <c r="A514" s="15"/>
      <c r="B514" s="6"/>
      <c r="C514" s="18"/>
      <c r="D514" s="28"/>
      <c r="E514" s="16"/>
      <c r="G514"/>
    </row>
    <row r="515" spans="1:7" s="14" customFormat="1" x14ac:dyDescent="0.35">
      <c r="A515" s="15"/>
      <c r="B515" s="6"/>
      <c r="C515" s="18"/>
      <c r="D515" s="28"/>
      <c r="E515" s="16"/>
      <c r="G515"/>
    </row>
    <row r="516" spans="1:7" s="14" customFormat="1" x14ac:dyDescent="0.35">
      <c r="A516" s="15"/>
      <c r="B516" s="6"/>
      <c r="C516" s="18"/>
      <c r="D516" s="28"/>
      <c r="E516" s="16"/>
      <c r="G516"/>
    </row>
    <row r="517" spans="1:7" s="14" customFormat="1" x14ac:dyDescent="0.35">
      <c r="A517" s="15"/>
      <c r="B517" s="6"/>
      <c r="C517" s="18"/>
      <c r="D517" s="28"/>
      <c r="E517" s="16"/>
      <c r="G517"/>
    </row>
    <row r="518" spans="1:7" s="14" customFormat="1" x14ac:dyDescent="0.35">
      <c r="A518" s="15"/>
      <c r="B518" s="6"/>
      <c r="C518" s="18"/>
      <c r="D518" s="28"/>
      <c r="E518" s="16"/>
      <c r="G518"/>
    </row>
    <row r="519" spans="1:7" s="14" customFormat="1" x14ac:dyDescent="0.35">
      <c r="A519" s="15"/>
      <c r="B519" s="6"/>
      <c r="C519" s="18"/>
      <c r="D519" s="28"/>
      <c r="E519" s="16"/>
      <c r="G519"/>
    </row>
    <row r="520" spans="1:7" s="14" customFormat="1" x14ac:dyDescent="0.35">
      <c r="A520" s="15"/>
      <c r="B520" s="6"/>
      <c r="C520" s="18"/>
      <c r="D520" s="28"/>
      <c r="E520" s="16"/>
      <c r="G520"/>
    </row>
    <row r="521" spans="1:7" s="14" customFormat="1" x14ac:dyDescent="0.35">
      <c r="A521" s="15"/>
      <c r="B521" s="6"/>
      <c r="C521" s="18"/>
      <c r="D521" s="28"/>
      <c r="E521" s="16"/>
      <c r="G521"/>
    </row>
    <row r="522" spans="1:7" s="14" customFormat="1" x14ac:dyDescent="0.35">
      <c r="A522" s="15"/>
      <c r="B522" s="6"/>
      <c r="C522" s="18"/>
      <c r="D522" s="28"/>
      <c r="E522" s="16"/>
      <c r="G522"/>
    </row>
    <row r="523" spans="1:7" s="14" customFormat="1" x14ac:dyDescent="0.35">
      <c r="A523" s="15"/>
      <c r="B523" s="6"/>
      <c r="C523" s="18"/>
      <c r="D523" s="28"/>
      <c r="E523" s="16"/>
      <c r="G523"/>
    </row>
    <row r="524" spans="1:7" s="14" customFormat="1" x14ac:dyDescent="0.35">
      <c r="A524" s="15"/>
      <c r="B524" s="6"/>
      <c r="C524" s="18"/>
      <c r="D524" s="28"/>
      <c r="E524" s="16"/>
      <c r="G524"/>
    </row>
    <row r="525" spans="1:7" s="14" customFormat="1" x14ac:dyDescent="0.35">
      <c r="A525" s="15"/>
      <c r="B525" s="6"/>
      <c r="C525" s="18"/>
      <c r="D525" s="28"/>
      <c r="E525" s="16"/>
      <c r="G525"/>
    </row>
    <row r="526" spans="1:7" s="14" customFormat="1" x14ac:dyDescent="0.35">
      <c r="A526" s="15"/>
      <c r="B526" s="6"/>
      <c r="C526" s="18"/>
      <c r="D526" s="28"/>
      <c r="E526" s="16"/>
      <c r="G526"/>
    </row>
    <row r="527" spans="1:7" s="14" customFormat="1" x14ac:dyDescent="0.35">
      <c r="A527" s="15"/>
      <c r="B527" s="6"/>
      <c r="C527" s="18"/>
      <c r="D527" s="28"/>
      <c r="E527" s="16"/>
      <c r="G527"/>
    </row>
    <row r="528" spans="1:7" s="14" customFormat="1" x14ac:dyDescent="0.35">
      <c r="A528" s="15"/>
      <c r="B528" s="6"/>
      <c r="C528" s="18"/>
      <c r="D528" s="28"/>
      <c r="E528" s="16"/>
      <c r="G528"/>
    </row>
    <row r="529" spans="1:7" s="14" customFormat="1" x14ac:dyDescent="0.35">
      <c r="A529" s="15"/>
      <c r="B529" s="6"/>
      <c r="C529" s="18"/>
      <c r="D529" s="28"/>
      <c r="E529" s="16"/>
      <c r="G529"/>
    </row>
    <row r="530" spans="1:7" s="14" customFormat="1" x14ac:dyDescent="0.35">
      <c r="A530" s="15"/>
      <c r="B530" s="6"/>
      <c r="C530" s="18"/>
      <c r="D530" s="28"/>
      <c r="E530" s="16"/>
      <c r="G530"/>
    </row>
    <row r="531" spans="1:7" s="14" customFormat="1" x14ac:dyDescent="0.35">
      <c r="A531" s="15"/>
      <c r="B531" s="6"/>
      <c r="C531" s="18"/>
      <c r="D531" s="28"/>
      <c r="E531" s="16"/>
      <c r="G531"/>
    </row>
    <row r="532" spans="1:7" s="14" customFormat="1" x14ac:dyDescent="0.35">
      <c r="A532" s="15"/>
      <c r="B532" s="6"/>
      <c r="C532" s="18"/>
      <c r="D532" s="28"/>
      <c r="E532" s="16"/>
      <c r="G532"/>
    </row>
    <row r="533" spans="1:7" s="14" customFormat="1" x14ac:dyDescent="0.35">
      <c r="A533" s="15"/>
      <c r="B533" s="6"/>
      <c r="C533" s="18"/>
      <c r="D533" s="28"/>
      <c r="E533" s="16"/>
      <c r="G533"/>
    </row>
    <row r="534" spans="1:7" s="14" customFormat="1" x14ac:dyDescent="0.35">
      <c r="A534" s="15"/>
      <c r="B534" s="6"/>
      <c r="C534" s="18"/>
      <c r="D534" s="28"/>
      <c r="E534" s="16"/>
      <c r="G534"/>
    </row>
    <row r="535" spans="1:7" s="14" customFormat="1" x14ac:dyDescent="0.35">
      <c r="A535" s="15"/>
      <c r="B535" s="6"/>
      <c r="C535" s="18"/>
      <c r="D535" s="28"/>
      <c r="E535" s="16"/>
      <c r="G535"/>
    </row>
    <row r="536" spans="1:7" s="14" customFormat="1" x14ac:dyDescent="0.35">
      <c r="A536" s="15"/>
      <c r="B536" s="6"/>
      <c r="C536" s="18"/>
      <c r="D536" s="28"/>
      <c r="E536" s="16"/>
      <c r="G536"/>
    </row>
    <row r="537" spans="1:7" s="14" customFormat="1" x14ac:dyDescent="0.35">
      <c r="A537" s="15"/>
      <c r="B537" s="6"/>
      <c r="C537" s="18"/>
      <c r="D537" s="28"/>
      <c r="E537" s="16"/>
      <c r="G537"/>
    </row>
    <row r="538" spans="1:7" s="14" customFormat="1" x14ac:dyDescent="0.35">
      <c r="A538" s="15"/>
      <c r="B538" s="6"/>
      <c r="C538" s="18"/>
      <c r="D538" s="28"/>
      <c r="E538" s="16"/>
      <c r="G538"/>
    </row>
    <row r="539" spans="1:7" s="14" customFormat="1" x14ac:dyDescent="0.35">
      <c r="A539" s="15"/>
      <c r="B539" s="6"/>
      <c r="C539" s="18"/>
      <c r="D539" s="28"/>
      <c r="E539" s="16"/>
      <c r="G539"/>
    </row>
    <row r="540" spans="1:7" s="14" customFormat="1" x14ac:dyDescent="0.35">
      <c r="A540" s="15"/>
      <c r="B540" s="6"/>
      <c r="C540" s="18"/>
      <c r="D540" s="28"/>
      <c r="E540" s="16"/>
      <c r="G540"/>
    </row>
    <row r="541" spans="1:7" s="14" customFormat="1" x14ac:dyDescent="0.35">
      <c r="A541" s="15"/>
      <c r="B541" s="6"/>
      <c r="C541" s="18"/>
      <c r="D541" s="28"/>
      <c r="E541" s="16"/>
      <c r="G541"/>
    </row>
    <row r="542" spans="1:7" s="14" customFormat="1" x14ac:dyDescent="0.35">
      <c r="A542" s="15"/>
      <c r="B542" s="6"/>
      <c r="C542" s="18"/>
      <c r="D542" s="28"/>
      <c r="E542" s="16"/>
      <c r="G542"/>
    </row>
    <row r="543" spans="1:7" s="14" customFormat="1" x14ac:dyDescent="0.35">
      <c r="A543" s="15"/>
      <c r="B543" s="6"/>
      <c r="C543" s="18"/>
      <c r="D543" s="28"/>
      <c r="E543" s="16"/>
      <c r="G543"/>
    </row>
    <row r="544" spans="1:7" s="14" customFormat="1" x14ac:dyDescent="0.35">
      <c r="A544" s="15"/>
      <c r="B544" s="6"/>
      <c r="C544" s="18"/>
      <c r="D544" s="28"/>
      <c r="E544" s="16"/>
      <c r="G544"/>
    </row>
    <row r="545" spans="1:7" s="14" customFormat="1" x14ac:dyDescent="0.35">
      <c r="A545" s="15"/>
      <c r="B545" s="6"/>
      <c r="C545" s="18"/>
      <c r="D545" s="28"/>
      <c r="E545" s="16"/>
      <c r="G545"/>
    </row>
    <row r="546" spans="1:7" s="14" customFormat="1" x14ac:dyDescent="0.35">
      <c r="A546" s="15"/>
      <c r="B546" s="6"/>
      <c r="C546" s="18"/>
      <c r="D546" s="28"/>
      <c r="E546" s="16"/>
      <c r="G546"/>
    </row>
    <row r="547" spans="1:7" s="14" customFormat="1" x14ac:dyDescent="0.35">
      <c r="A547" s="15"/>
      <c r="B547" s="6"/>
      <c r="C547" s="18"/>
      <c r="D547" s="28"/>
      <c r="E547" s="16"/>
      <c r="G547"/>
    </row>
    <row r="548" spans="1:7" s="14" customFormat="1" x14ac:dyDescent="0.35">
      <c r="A548" s="15"/>
      <c r="B548" s="6"/>
      <c r="C548" s="18"/>
      <c r="D548" s="28"/>
      <c r="E548" s="16"/>
      <c r="G548"/>
    </row>
    <row r="549" spans="1:7" s="14" customFormat="1" x14ac:dyDescent="0.35">
      <c r="A549" s="15"/>
      <c r="B549" s="6"/>
      <c r="C549" s="18"/>
      <c r="D549" s="28"/>
      <c r="E549" s="16"/>
      <c r="G549"/>
    </row>
    <row r="550" spans="1:7" s="14" customFormat="1" x14ac:dyDescent="0.35">
      <c r="A550" s="15"/>
      <c r="B550" s="6"/>
      <c r="C550" s="18"/>
      <c r="D550" s="28"/>
      <c r="E550" s="16"/>
      <c r="G550"/>
    </row>
    <row r="551" spans="1:7" s="14" customFormat="1" x14ac:dyDescent="0.35">
      <c r="A551" s="15"/>
      <c r="B551" s="6"/>
      <c r="C551" s="18"/>
      <c r="D551" s="28"/>
      <c r="E551" s="16"/>
      <c r="G551"/>
    </row>
    <row r="552" spans="1:7" s="14" customFormat="1" x14ac:dyDescent="0.35">
      <c r="A552" s="15"/>
      <c r="B552" s="6"/>
      <c r="C552" s="18"/>
      <c r="D552" s="28"/>
      <c r="E552" s="16"/>
      <c r="G552"/>
    </row>
    <row r="553" spans="1:7" s="14" customFormat="1" x14ac:dyDescent="0.35">
      <c r="A553" s="15"/>
      <c r="B553" s="6"/>
      <c r="C553" s="18"/>
      <c r="D553" s="28"/>
      <c r="E553" s="16"/>
      <c r="G553"/>
    </row>
    <row r="554" spans="1:7" s="14" customFormat="1" x14ac:dyDescent="0.35">
      <c r="A554" s="15"/>
      <c r="B554" s="6"/>
      <c r="C554" s="18"/>
      <c r="D554" s="28"/>
      <c r="E554" s="16"/>
      <c r="G554"/>
    </row>
    <row r="555" spans="1:7" s="14" customFormat="1" x14ac:dyDescent="0.35">
      <c r="A555" s="15"/>
      <c r="B555" s="6"/>
      <c r="C555" s="18"/>
      <c r="D555" s="28"/>
      <c r="E555" s="16"/>
      <c r="G555"/>
    </row>
    <row r="556" spans="1:7" s="14" customFormat="1" x14ac:dyDescent="0.35">
      <c r="A556" s="15"/>
      <c r="B556" s="6"/>
      <c r="C556" s="18"/>
      <c r="D556" s="28"/>
      <c r="E556" s="16"/>
      <c r="G556"/>
    </row>
    <row r="557" spans="1:7" s="14" customFormat="1" x14ac:dyDescent="0.35">
      <c r="A557" s="15"/>
      <c r="B557" s="6"/>
      <c r="C557" s="18"/>
      <c r="D557" s="28"/>
      <c r="E557" s="16"/>
      <c r="G557"/>
    </row>
    <row r="558" spans="1:7" s="14" customFormat="1" x14ac:dyDescent="0.35">
      <c r="A558" s="15"/>
      <c r="B558" s="6"/>
      <c r="C558" s="18"/>
      <c r="D558" s="28"/>
      <c r="E558" s="16"/>
      <c r="G558"/>
    </row>
    <row r="559" spans="1:7" s="14" customFormat="1" x14ac:dyDescent="0.35">
      <c r="A559" s="15"/>
      <c r="B559" s="6"/>
      <c r="C559" s="18"/>
      <c r="D559" s="28"/>
      <c r="E559" s="16"/>
      <c r="G559"/>
    </row>
    <row r="560" spans="1:7" s="14" customFormat="1" x14ac:dyDescent="0.35">
      <c r="A560" s="15"/>
      <c r="B560" s="6"/>
      <c r="C560" s="18"/>
      <c r="D560" s="28"/>
      <c r="E560" s="16"/>
      <c r="G560"/>
    </row>
    <row r="561" spans="1:7" s="14" customFormat="1" x14ac:dyDescent="0.35">
      <c r="A561" s="15"/>
      <c r="B561" s="6"/>
      <c r="C561" s="18"/>
      <c r="D561" s="28"/>
      <c r="E561" s="16"/>
      <c r="G561"/>
    </row>
    <row r="562" spans="1:7" s="14" customFormat="1" x14ac:dyDescent="0.35">
      <c r="A562" s="15"/>
      <c r="B562" s="6"/>
      <c r="C562" s="18"/>
      <c r="D562" s="28"/>
      <c r="E562" s="16"/>
      <c r="G562"/>
    </row>
    <row r="563" spans="1:7" s="14" customFormat="1" x14ac:dyDescent="0.35">
      <c r="A563" s="15"/>
      <c r="B563" s="6"/>
      <c r="C563" s="18"/>
      <c r="D563" s="28"/>
      <c r="E563" s="16"/>
      <c r="G563"/>
    </row>
    <row r="564" spans="1:7" s="14" customFormat="1" x14ac:dyDescent="0.35">
      <c r="A564" s="15"/>
      <c r="B564" s="6"/>
      <c r="C564" s="18"/>
      <c r="D564" s="28"/>
      <c r="E564" s="16"/>
      <c r="G564"/>
    </row>
    <row r="565" spans="1:7" s="14" customFormat="1" x14ac:dyDescent="0.35">
      <c r="A565" s="15"/>
      <c r="B565" s="6"/>
      <c r="C565" s="18"/>
      <c r="D565" s="28"/>
      <c r="E565" s="16"/>
      <c r="G565"/>
    </row>
    <row r="566" spans="1:7" s="14" customFormat="1" x14ac:dyDescent="0.35">
      <c r="A566" s="15"/>
      <c r="B566" s="6"/>
      <c r="C566" s="18"/>
      <c r="D566" s="28"/>
      <c r="E566" s="16"/>
      <c r="G566"/>
    </row>
    <row r="567" spans="1:7" s="14" customFormat="1" x14ac:dyDescent="0.35">
      <c r="A567" s="15"/>
      <c r="B567" s="6"/>
      <c r="C567" s="18"/>
      <c r="D567" s="28"/>
      <c r="E567" s="16"/>
      <c r="G567"/>
    </row>
    <row r="568" spans="1:7" s="14" customFormat="1" x14ac:dyDescent="0.35">
      <c r="A568" s="15"/>
      <c r="B568" s="6"/>
      <c r="C568" s="18"/>
      <c r="D568" s="28"/>
      <c r="E568" s="16"/>
      <c r="G568"/>
    </row>
    <row r="569" spans="1:7" s="14" customFormat="1" x14ac:dyDescent="0.35">
      <c r="A569" s="15"/>
      <c r="B569" s="6"/>
      <c r="C569" s="18"/>
      <c r="D569" s="28"/>
      <c r="E569" s="16"/>
      <c r="G569"/>
    </row>
    <row r="570" spans="1:7" s="14" customFormat="1" x14ac:dyDescent="0.35">
      <c r="A570" s="15"/>
      <c r="B570" s="6"/>
      <c r="C570" s="18"/>
      <c r="D570" s="28"/>
      <c r="E570" s="16"/>
      <c r="G570"/>
    </row>
    <row r="571" spans="1:7" s="14" customFormat="1" x14ac:dyDescent="0.35">
      <c r="A571" s="15"/>
      <c r="B571" s="6"/>
      <c r="C571" s="18"/>
      <c r="D571" s="28"/>
      <c r="E571" s="16"/>
      <c r="G571"/>
    </row>
    <row r="572" spans="1:7" s="14" customFormat="1" x14ac:dyDescent="0.35">
      <c r="A572" s="15"/>
      <c r="B572" s="6"/>
      <c r="C572" s="18"/>
      <c r="D572" s="28"/>
      <c r="E572" s="16"/>
      <c r="G572"/>
    </row>
    <row r="573" spans="1:7" s="14" customFormat="1" x14ac:dyDescent="0.35">
      <c r="A573" s="15"/>
      <c r="B573" s="6"/>
      <c r="C573" s="18"/>
      <c r="D573" s="28"/>
      <c r="E573" s="16"/>
      <c r="G573"/>
    </row>
    <row r="574" spans="1:7" s="14" customFormat="1" x14ac:dyDescent="0.35">
      <c r="A574" s="15"/>
      <c r="B574" s="6"/>
      <c r="C574" s="18"/>
      <c r="D574" s="28"/>
      <c r="E574" s="16"/>
      <c r="G574"/>
    </row>
    <row r="575" spans="1:7" s="14" customFormat="1" x14ac:dyDescent="0.35">
      <c r="A575" s="15"/>
      <c r="B575" s="6"/>
      <c r="C575" s="18"/>
      <c r="D575" s="28"/>
      <c r="E575" s="16"/>
      <c r="G575"/>
    </row>
    <row r="576" spans="1:7" s="14" customFormat="1" x14ac:dyDescent="0.35">
      <c r="A576" s="15"/>
      <c r="B576" s="6"/>
      <c r="C576" s="18"/>
      <c r="D576" s="28"/>
      <c r="E576" s="16"/>
      <c r="G576"/>
    </row>
    <row r="577" spans="1:7" s="14" customFormat="1" x14ac:dyDescent="0.35">
      <c r="A577" s="15"/>
      <c r="B577" s="6"/>
      <c r="C577" s="18"/>
      <c r="D577" s="28"/>
      <c r="E577" s="16"/>
      <c r="G577"/>
    </row>
    <row r="578" spans="1:7" s="14" customFormat="1" x14ac:dyDescent="0.35">
      <c r="A578" s="15"/>
      <c r="B578" s="6"/>
      <c r="C578" s="18"/>
      <c r="D578" s="28"/>
      <c r="E578" s="16"/>
      <c r="G578"/>
    </row>
    <row r="579" spans="1:7" s="14" customFormat="1" x14ac:dyDescent="0.35">
      <c r="A579" s="15"/>
      <c r="B579" s="6"/>
      <c r="C579" s="18"/>
      <c r="D579" s="28"/>
      <c r="E579" s="16"/>
      <c r="G579"/>
    </row>
    <row r="580" spans="1:7" s="14" customFormat="1" x14ac:dyDescent="0.35">
      <c r="A580" s="15"/>
      <c r="B580" s="6"/>
      <c r="C580" s="18"/>
      <c r="D580" s="28"/>
      <c r="E580" s="16"/>
      <c r="G580"/>
    </row>
    <row r="581" spans="1:7" s="14" customFormat="1" x14ac:dyDescent="0.35">
      <c r="A581" s="15"/>
      <c r="B581" s="6"/>
      <c r="C581" s="18"/>
      <c r="D581" s="28"/>
      <c r="E581" s="16"/>
      <c r="G581"/>
    </row>
    <row r="582" spans="1:7" s="14" customFormat="1" x14ac:dyDescent="0.35">
      <c r="A582" s="15"/>
      <c r="B582" s="6"/>
      <c r="C582" s="18"/>
      <c r="D582" s="28"/>
      <c r="E582" s="16"/>
      <c r="G582"/>
    </row>
    <row r="583" spans="1:7" s="14" customFormat="1" x14ac:dyDescent="0.35">
      <c r="A583" s="15"/>
      <c r="B583" s="6"/>
      <c r="C583" s="18"/>
      <c r="D583" s="28"/>
      <c r="E583" s="16"/>
      <c r="G583"/>
    </row>
    <row r="584" spans="1:7" s="14" customFormat="1" x14ac:dyDescent="0.35">
      <c r="A584" s="15"/>
      <c r="B584" s="6"/>
      <c r="C584" s="18"/>
      <c r="D584" s="28"/>
      <c r="E584" s="16"/>
      <c r="G584"/>
    </row>
    <row r="585" spans="1:7" s="14" customFormat="1" x14ac:dyDescent="0.35">
      <c r="A585" s="15"/>
      <c r="B585" s="6"/>
      <c r="C585" s="18"/>
      <c r="D585" s="28"/>
      <c r="E585" s="16"/>
      <c r="G585"/>
    </row>
    <row r="586" spans="1:7" s="14" customFormat="1" x14ac:dyDescent="0.35">
      <c r="A586" s="15"/>
      <c r="B586" s="6"/>
      <c r="C586" s="18"/>
      <c r="D586" s="28"/>
      <c r="E586" s="16"/>
      <c r="G586"/>
    </row>
    <row r="587" spans="1:7" s="14" customFormat="1" x14ac:dyDescent="0.35">
      <c r="A587" s="15"/>
      <c r="B587" s="6"/>
      <c r="C587" s="18"/>
      <c r="D587" s="28"/>
      <c r="E587" s="16"/>
      <c r="G587"/>
    </row>
    <row r="588" spans="1:7" s="14" customFormat="1" x14ac:dyDescent="0.35">
      <c r="A588" s="15"/>
      <c r="B588" s="6"/>
      <c r="C588" s="18"/>
      <c r="D588" s="28"/>
      <c r="E588" s="16"/>
      <c r="G588"/>
    </row>
    <row r="589" spans="1:7" s="14" customFormat="1" x14ac:dyDescent="0.35">
      <c r="A589" s="15"/>
      <c r="B589" s="6"/>
      <c r="C589" s="18"/>
      <c r="D589" s="28"/>
      <c r="E589" s="16"/>
      <c r="G589"/>
    </row>
    <row r="590" spans="1:7" s="14" customFormat="1" x14ac:dyDescent="0.35">
      <c r="A590" s="15"/>
      <c r="B590" s="6"/>
      <c r="C590" s="18"/>
      <c r="D590" s="28"/>
      <c r="E590" s="16"/>
      <c r="G590"/>
    </row>
    <row r="591" spans="1:7" s="14" customFormat="1" x14ac:dyDescent="0.35">
      <c r="A591" s="15"/>
      <c r="B591" s="6"/>
      <c r="C591" s="18"/>
      <c r="D591" s="28"/>
      <c r="E591" s="16"/>
      <c r="G591"/>
    </row>
    <row r="592" spans="1:7" s="14" customFormat="1" x14ac:dyDescent="0.35">
      <c r="A592" s="15"/>
      <c r="B592" s="6"/>
      <c r="C592" s="18"/>
      <c r="D592" s="28"/>
      <c r="E592" s="16"/>
      <c r="G592"/>
    </row>
    <row r="593" spans="1:7" s="14" customFormat="1" x14ac:dyDescent="0.35">
      <c r="A593" s="15"/>
      <c r="B593" s="6"/>
      <c r="C593" s="18"/>
      <c r="D593" s="28"/>
      <c r="E593" s="16"/>
      <c r="G593"/>
    </row>
    <row r="594" spans="1:7" s="14" customFormat="1" x14ac:dyDescent="0.35">
      <c r="A594" s="15"/>
      <c r="B594" s="6"/>
      <c r="C594" s="18"/>
      <c r="D594" s="28"/>
      <c r="E594" s="16"/>
      <c r="G594"/>
    </row>
    <row r="595" spans="1:7" s="14" customFormat="1" x14ac:dyDescent="0.35">
      <c r="A595" s="15"/>
      <c r="B595" s="6"/>
      <c r="C595" s="18"/>
      <c r="D595" s="28"/>
      <c r="E595" s="16"/>
      <c r="G595"/>
    </row>
    <row r="596" spans="1:7" s="14" customFormat="1" x14ac:dyDescent="0.35">
      <c r="A596" s="15"/>
      <c r="B596" s="6"/>
      <c r="C596" s="18"/>
      <c r="D596" s="28"/>
      <c r="E596" s="16"/>
      <c r="G596"/>
    </row>
    <row r="597" spans="1:7" s="14" customFormat="1" x14ac:dyDescent="0.35">
      <c r="A597" s="15"/>
      <c r="B597" s="6"/>
      <c r="C597" s="18"/>
      <c r="D597" s="28"/>
      <c r="E597" s="16"/>
      <c r="G597"/>
    </row>
    <row r="598" spans="1:7" s="14" customFormat="1" x14ac:dyDescent="0.35">
      <c r="A598" s="15"/>
      <c r="B598" s="6"/>
      <c r="C598" s="18"/>
      <c r="D598" s="28"/>
      <c r="E598" s="16"/>
      <c r="G598"/>
    </row>
    <row r="599" spans="1:7" s="14" customFormat="1" x14ac:dyDescent="0.35">
      <c r="A599" s="15"/>
      <c r="B599" s="6"/>
      <c r="C599" s="18"/>
      <c r="D599" s="28"/>
      <c r="E599" s="16"/>
      <c r="G599"/>
    </row>
    <row r="600" spans="1:7" s="14" customFormat="1" x14ac:dyDescent="0.35">
      <c r="A600" s="15"/>
      <c r="B600" s="6"/>
      <c r="C600" s="18"/>
      <c r="D600" s="28"/>
      <c r="E600" s="16"/>
      <c r="G600"/>
    </row>
    <row r="601" spans="1:7" s="14" customFormat="1" x14ac:dyDescent="0.35">
      <c r="A601" s="15"/>
      <c r="B601" s="6"/>
      <c r="C601" s="18"/>
      <c r="D601" s="28"/>
      <c r="E601" s="16"/>
      <c r="G601"/>
    </row>
    <row r="602" spans="1:7" s="14" customFormat="1" x14ac:dyDescent="0.35">
      <c r="A602" s="15"/>
      <c r="B602" s="6"/>
      <c r="C602" s="18"/>
      <c r="D602" s="28"/>
      <c r="E602" s="16"/>
      <c r="G602"/>
    </row>
    <row r="603" spans="1:7" s="14" customFormat="1" x14ac:dyDescent="0.35">
      <c r="A603" s="15"/>
      <c r="B603" s="6"/>
      <c r="C603" s="18"/>
      <c r="D603" s="28"/>
      <c r="E603" s="16"/>
      <c r="G603"/>
    </row>
    <row r="604" spans="1:7" s="14" customFormat="1" x14ac:dyDescent="0.35">
      <c r="A604" s="15"/>
      <c r="B604" s="6"/>
      <c r="C604" s="18"/>
      <c r="D604" s="28"/>
      <c r="E604" s="16"/>
      <c r="G604"/>
    </row>
    <row r="605" spans="1:7" s="14" customFormat="1" x14ac:dyDescent="0.35">
      <c r="A605" s="15"/>
      <c r="B605" s="6"/>
      <c r="C605" s="18"/>
      <c r="D605" s="28"/>
      <c r="E605" s="16"/>
      <c r="G605"/>
    </row>
    <row r="606" spans="1:7" s="14" customFormat="1" x14ac:dyDescent="0.35">
      <c r="A606" s="15"/>
      <c r="B606" s="6"/>
      <c r="C606" s="18"/>
      <c r="D606" s="28"/>
      <c r="E606" s="16"/>
      <c r="G606"/>
    </row>
    <row r="607" spans="1:7" s="14" customFormat="1" x14ac:dyDescent="0.35">
      <c r="A607" s="15"/>
      <c r="B607" s="6"/>
      <c r="C607" s="18"/>
      <c r="D607" s="28"/>
      <c r="E607" s="16"/>
      <c r="G607"/>
    </row>
    <row r="608" spans="1:7" s="14" customFormat="1" x14ac:dyDescent="0.35">
      <c r="A608" s="15"/>
      <c r="B608" s="6"/>
      <c r="C608" s="18"/>
      <c r="D608" s="28"/>
      <c r="E608" s="16"/>
      <c r="G608"/>
    </row>
    <row r="609" spans="1:7" s="14" customFormat="1" x14ac:dyDescent="0.35">
      <c r="A609" s="15"/>
      <c r="B609" s="6"/>
      <c r="C609" s="18"/>
      <c r="D609" s="28"/>
      <c r="E609" s="16"/>
      <c r="G609"/>
    </row>
    <row r="610" spans="1:7" s="14" customFormat="1" x14ac:dyDescent="0.35">
      <c r="A610" s="15"/>
      <c r="B610" s="6"/>
      <c r="C610" s="18"/>
      <c r="D610" s="28"/>
      <c r="E610" s="16"/>
      <c r="G610"/>
    </row>
    <row r="611" spans="1:7" s="14" customFormat="1" x14ac:dyDescent="0.35">
      <c r="A611" s="15"/>
      <c r="B611" s="6"/>
      <c r="C611" s="18"/>
      <c r="D611" s="28"/>
      <c r="E611" s="16"/>
      <c r="G611"/>
    </row>
    <row r="612" spans="1:7" s="14" customFormat="1" x14ac:dyDescent="0.35">
      <c r="A612" s="15"/>
      <c r="B612" s="6"/>
      <c r="C612" s="18"/>
      <c r="D612" s="28"/>
      <c r="E612" s="16"/>
      <c r="G612"/>
    </row>
    <row r="613" spans="1:7" s="14" customFormat="1" x14ac:dyDescent="0.35">
      <c r="A613" s="15"/>
      <c r="B613" s="6"/>
      <c r="C613" s="18"/>
      <c r="D613" s="28"/>
      <c r="E613" s="16"/>
      <c r="G613"/>
    </row>
    <row r="614" spans="1:7" s="14" customFormat="1" x14ac:dyDescent="0.35">
      <c r="A614" s="15"/>
      <c r="B614" s="6"/>
      <c r="C614" s="18"/>
      <c r="D614" s="28"/>
      <c r="E614" s="16"/>
      <c r="G614"/>
    </row>
    <row r="615" spans="1:7" s="14" customFormat="1" x14ac:dyDescent="0.35">
      <c r="A615" s="15"/>
      <c r="B615" s="6"/>
      <c r="C615" s="18"/>
      <c r="D615" s="28"/>
      <c r="E615" s="16"/>
      <c r="G615"/>
    </row>
    <row r="616" spans="1:7" s="14" customFormat="1" x14ac:dyDescent="0.35">
      <c r="A616" s="15"/>
      <c r="B616" s="6"/>
      <c r="C616" s="18"/>
      <c r="D616" s="28"/>
      <c r="E616" s="16"/>
      <c r="G616"/>
    </row>
    <row r="617" spans="1:7" s="14" customFormat="1" x14ac:dyDescent="0.35">
      <c r="A617" s="15"/>
      <c r="B617" s="6"/>
      <c r="C617" s="18"/>
      <c r="D617" s="28"/>
      <c r="E617" s="16"/>
      <c r="G617"/>
    </row>
    <row r="618" spans="1:7" s="14" customFormat="1" x14ac:dyDescent="0.35">
      <c r="A618" s="15"/>
      <c r="B618" s="6"/>
      <c r="C618" s="18"/>
      <c r="D618" s="28"/>
      <c r="E618" s="16"/>
      <c r="G618"/>
    </row>
    <row r="619" spans="1:7" s="14" customFormat="1" x14ac:dyDescent="0.35">
      <c r="A619" s="15"/>
      <c r="B619" s="6"/>
      <c r="C619" s="18"/>
      <c r="D619" s="28"/>
      <c r="E619" s="16"/>
      <c r="G619"/>
    </row>
    <row r="620" spans="1:7" s="14" customFormat="1" x14ac:dyDescent="0.35">
      <c r="A620" s="15"/>
      <c r="B620" s="6"/>
      <c r="C620" s="18"/>
      <c r="D620" s="28"/>
      <c r="E620" s="16"/>
      <c r="G620"/>
    </row>
    <row r="621" spans="1:7" s="14" customFormat="1" x14ac:dyDescent="0.35">
      <c r="A621" s="15"/>
      <c r="B621" s="6"/>
      <c r="C621" s="18"/>
      <c r="D621" s="28"/>
      <c r="E621" s="16"/>
      <c r="G621"/>
    </row>
    <row r="622" spans="1:7" s="14" customFormat="1" x14ac:dyDescent="0.35">
      <c r="A622" s="15"/>
      <c r="B622" s="6"/>
      <c r="C622" s="18"/>
      <c r="D622" s="28"/>
      <c r="E622" s="16"/>
      <c r="G622"/>
    </row>
    <row r="623" spans="1:7" s="14" customFormat="1" x14ac:dyDescent="0.35">
      <c r="A623" s="15"/>
      <c r="B623" s="6"/>
      <c r="C623" s="18"/>
      <c r="D623" s="28"/>
      <c r="E623" s="16"/>
      <c r="G623"/>
    </row>
    <row r="624" spans="1:7" s="14" customFormat="1" x14ac:dyDescent="0.35">
      <c r="A624" s="15"/>
      <c r="B624" s="6"/>
      <c r="C624" s="18"/>
      <c r="D624" s="28"/>
      <c r="E624" s="16"/>
      <c r="G624"/>
    </row>
    <row r="625" spans="1:7" s="14" customFormat="1" x14ac:dyDescent="0.35">
      <c r="A625" s="15"/>
      <c r="B625" s="6"/>
      <c r="C625" s="18"/>
      <c r="D625" s="28"/>
      <c r="E625" s="16"/>
      <c r="G625"/>
    </row>
    <row r="626" spans="1:7" s="14" customFormat="1" x14ac:dyDescent="0.35">
      <c r="A626" s="15"/>
      <c r="B626" s="6"/>
      <c r="C626" s="18"/>
      <c r="D626" s="28"/>
      <c r="E626" s="16"/>
      <c r="G626"/>
    </row>
    <row r="627" spans="1:7" s="14" customFormat="1" x14ac:dyDescent="0.35">
      <c r="A627" s="15"/>
      <c r="B627" s="6"/>
      <c r="C627" s="18"/>
      <c r="D627" s="28"/>
      <c r="E627" s="16"/>
      <c r="G627"/>
    </row>
    <row r="628" spans="1:7" s="14" customFormat="1" x14ac:dyDescent="0.35">
      <c r="A628" s="15"/>
      <c r="B628" s="6"/>
      <c r="C628" s="18"/>
      <c r="D628" s="28"/>
      <c r="E628" s="16"/>
      <c r="G628"/>
    </row>
    <row r="629" spans="1:7" s="14" customFormat="1" x14ac:dyDescent="0.35">
      <c r="A629" s="15"/>
      <c r="B629" s="6"/>
      <c r="C629" s="18"/>
      <c r="D629" s="28"/>
      <c r="E629" s="16"/>
      <c r="G629"/>
    </row>
    <row r="630" spans="1:7" s="14" customFormat="1" x14ac:dyDescent="0.35">
      <c r="A630" s="15"/>
      <c r="B630" s="6"/>
      <c r="C630" s="18"/>
      <c r="D630" s="28"/>
      <c r="E630" s="16"/>
      <c r="G630"/>
    </row>
    <row r="631" spans="1:7" s="14" customFormat="1" x14ac:dyDescent="0.35">
      <c r="A631" s="15"/>
      <c r="B631" s="6"/>
      <c r="C631" s="18"/>
      <c r="D631" s="28"/>
      <c r="E631" s="16"/>
      <c r="G631"/>
    </row>
    <row r="632" spans="1:7" s="14" customFormat="1" x14ac:dyDescent="0.35">
      <c r="A632" s="15"/>
      <c r="B632" s="6"/>
      <c r="C632" s="18"/>
      <c r="D632" s="28"/>
      <c r="E632" s="16"/>
      <c r="G632"/>
    </row>
    <row r="633" spans="1:7" s="14" customFormat="1" x14ac:dyDescent="0.35">
      <c r="A633" s="15"/>
      <c r="B633" s="6"/>
      <c r="C633" s="18"/>
      <c r="D633" s="28"/>
      <c r="E633" s="16"/>
      <c r="G633"/>
    </row>
    <row r="634" spans="1:7" s="14" customFormat="1" x14ac:dyDescent="0.35">
      <c r="A634" s="15"/>
      <c r="B634" s="6"/>
      <c r="C634" s="18"/>
      <c r="D634" s="28"/>
      <c r="E634" s="16"/>
      <c r="G634"/>
    </row>
    <row r="635" spans="1:7" s="14" customFormat="1" x14ac:dyDescent="0.35">
      <c r="A635" s="15"/>
      <c r="B635" s="6"/>
      <c r="C635" s="18"/>
      <c r="D635" s="28"/>
      <c r="E635" s="16"/>
      <c r="G635"/>
    </row>
    <row r="636" spans="1:7" s="14" customFormat="1" x14ac:dyDescent="0.35">
      <c r="A636" s="15"/>
      <c r="B636" s="6"/>
      <c r="C636" s="18"/>
      <c r="D636" s="28"/>
      <c r="E636" s="16"/>
      <c r="G636"/>
    </row>
    <row r="637" spans="1:7" s="14" customFormat="1" x14ac:dyDescent="0.35">
      <c r="A637" s="15"/>
      <c r="B637" s="6"/>
      <c r="C637" s="18"/>
      <c r="D637" s="28"/>
      <c r="E637" s="16"/>
      <c r="G637"/>
    </row>
    <row r="638" spans="1:7" s="14" customFormat="1" x14ac:dyDescent="0.35">
      <c r="A638" s="15"/>
      <c r="B638" s="6"/>
      <c r="C638" s="18"/>
      <c r="D638" s="28"/>
      <c r="E638" s="16"/>
      <c r="G638"/>
    </row>
    <row r="639" spans="1:7" s="14" customFormat="1" x14ac:dyDescent="0.35">
      <c r="A639" s="15"/>
      <c r="B639" s="6"/>
      <c r="C639" s="18"/>
      <c r="D639" s="28"/>
      <c r="E639" s="16"/>
      <c r="G639"/>
    </row>
    <row r="640" spans="1:7" s="14" customFormat="1" x14ac:dyDescent="0.35">
      <c r="A640" s="15"/>
      <c r="B640" s="6"/>
      <c r="C640" s="18"/>
      <c r="D640" s="28"/>
      <c r="E640" s="16"/>
      <c r="G640"/>
    </row>
    <row r="641" spans="1:7" s="14" customFormat="1" x14ac:dyDescent="0.35">
      <c r="A641" s="15"/>
      <c r="B641" s="6"/>
      <c r="C641" s="18"/>
      <c r="D641" s="28"/>
      <c r="E641" s="16"/>
      <c r="G641"/>
    </row>
    <row r="642" spans="1:7" s="14" customFormat="1" x14ac:dyDescent="0.35">
      <c r="A642" s="15"/>
      <c r="B642" s="6"/>
      <c r="C642" s="18"/>
      <c r="D642" s="28"/>
      <c r="E642" s="16"/>
      <c r="G642"/>
    </row>
    <row r="643" spans="1:7" s="14" customFormat="1" x14ac:dyDescent="0.35">
      <c r="A643" s="15"/>
      <c r="B643" s="6"/>
      <c r="C643" s="18"/>
      <c r="D643" s="28"/>
      <c r="E643" s="16"/>
      <c r="G643"/>
    </row>
    <row r="644" spans="1:7" s="14" customFormat="1" x14ac:dyDescent="0.35">
      <c r="A644" s="15"/>
      <c r="B644" s="6"/>
      <c r="C644" s="18"/>
      <c r="D644" s="28"/>
      <c r="E644" s="16"/>
      <c r="G644"/>
    </row>
    <row r="645" spans="1:7" s="14" customFormat="1" x14ac:dyDescent="0.35">
      <c r="A645" s="15"/>
      <c r="B645" s="6"/>
      <c r="C645" s="18"/>
      <c r="D645" s="28"/>
      <c r="E645" s="16"/>
      <c r="G645"/>
    </row>
    <row r="646" spans="1:7" s="14" customFormat="1" x14ac:dyDescent="0.35">
      <c r="A646" s="15"/>
      <c r="B646" s="6"/>
      <c r="C646" s="18"/>
      <c r="D646" s="28"/>
      <c r="E646" s="16"/>
      <c r="G646"/>
    </row>
    <row r="647" spans="1:7" s="14" customFormat="1" x14ac:dyDescent="0.35">
      <c r="A647" s="15"/>
      <c r="B647" s="6"/>
      <c r="C647" s="18"/>
      <c r="D647" s="28"/>
      <c r="E647" s="16"/>
      <c r="G647"/>
    </row>
    <row r="648" spans="1:7" s="14" customFormat="1" x14ac:dyDescent="0.35">
      <c r="A648" s="15"/>
      <c r="B648" s="6"/>
      <c r="C648" s="18"/>
      <c r="D648" s="28"/>
      <c r="E648" s="16"/>
      <c r="G648"/>
    </row>
    <row r="649" spans="1:7" s="14" customFormat="1" x14ac:dyDescent="0.35">
      <c r="A649" s="15"/>
      <c r="B649" s="6"/>
      <c r="C649" s="18"/>
      <c r="D649" s="28"/>
      <c r="E649" s="16"/>
      <c r="G649"/>
    </row>
    <row r="650" spans="1:7" s="14" customFormat="1" x14ac:dyDescent="0.35">
      <c r="A650" s="15"/>
      <c r="B650" s="6"/>
      <c r="C650" s="18"/>
      <c r="D650" s="28"/>
      <c r="E650" s="16"/>
      <c r="G650"/>
    </row>
    <row r="651" spans="1:7" s="14" customFormat="1" x14ac:dyDescent="0.35">
      <c r="A651" s="15"/>
      <c r="B651" s="6"/>
      <c r="C651" s="18"/>
      <c r="D651" s="28"/>
      <c r="E651" s="16"/>
      <c r="G651"/>
    </row>
    <row r="652" spans="1:7" s="14" customFormat="1" x14ac:dyDescent="0.35">
      <c r="A652" s="15"/>
      <c r="B652" s="6"/>
      <c r="C652" s="18"/>
      <c r="D652" s="28"/>
      <c r="E652" s="16"/>
      <c r="G652"/>
    </row>
    <row r="653" spans="1:7" s="14" customFormat="1" x14ac:dyDescent="0.35">
      <c r="A653" s="15"/>
      <c r="B653" s="6"/>
      <c r="C653" s="18"/>
      <c r="D653" s="28"/>
      <c r="E653" s="16"/>
      <c r="G653"/>
    </row>
    <row r="654" spans="1:7" s="14" customFormat="1" x14ac:dyDescent="0.35">
      <c r="A654" s="15"/>
      <c r="B654" s="6"/>
      <c r="C654" s="18"/>
      <c r="D654" s="28"/>
      <c r="E654" s="16"/>
      <c r="G654"/>
    </row>
    <row r="655" spans="1:7" s="14" customFormat="1" x14ac:dyDescent="0.35">
      <c r="A655" s="15"/>
      <c r="B655" s="6"/>
      <c r="C655" s="18"/>
      <c r="D655" s="28"/>
      <c r="E655" s="16"/>
      <c r="G655"/>
    </row>
    <row r="656" spans="1:7" s="14" customFormat="1" x14ac:dyDescent="0.35">
      <c r="A656" s="15"/>
      <c r="B656" s="6"/>
      <c r="C656" s="18"/>
      <c r="D656" s="28"/>
      <c r="E656" s="16"/>
      <c r="G656"/>
    </row>
    <row r="657" spans="1:7" s="14" customFormat="1" x14ac:dyDescent="0.35">
      <c r="A657" s="15"/>
      <c r="B657" s="6"/>
      <c r="C657" s="18"/>
      <c r="D657" s="28"/>
      <c r="E657" s="16"/>
      <c r="G657"/>
    </row>
    <row r="658" spans="1:7" s="14" customFormat="1" x14ac:dyDescent="0.35">
      <c r="A658" s="15"/>
      <c r="B658" s="6"/>
      <c r="C658" s="18"/>
      <c r="D658" s="28"/>
      <c r="E658" s="16"/>
      <c r="G658"/>
    </row>
    <row r="659" spans="1:7" s="14" customFormat="1" x14ac:dyDescent="0.35">
      <c r="A659" s="15"/>
      <c r="B659" s="6"/>
      <c r="C659" s="18"/>
      <c r="D659" s="28"/>
      <c r="E659" s="16"/>
      <c r="G659"/>
    </row>
    <row r="660" spans="1:7" s="14" customFormat="1" x14ac:dyDescent="0.35">
      <c r="A660" s="15"/>
      <c r="B660" s="6"/>
      <c r="C660" s="18"/>
      <c r="D660" s="28"/>
      <c r="E660" s="16"/>
      <c r="G660"/>
    </row>
    <row r="661" spans="1:7" s="14" customFormat="1" x14ac:dyDescent="0.35">
      <c r="A661" s="15"/>
      <c r="B661" s="6"/>
      <c r="C661" s="18"/>
      <c r="D661" s="28"/>
      <c r="E661" s="16"/>
      <c r="G661"/>
    </row>
    <row r="662" spans="1:7" s="14" customFormat="1" x14ac:dyDescent="0.35">
      <c r="A662" s="15"/>
      <c r="B662" s="6"/>
      <c r="C662" s="18"/>
      <c r="D662" s="28"/>
      <c r="E662" s="16"/>
      <c r="G662"/>
    </row>
    <row r="663" spans="1:7" s="14" customFormat="1" x14ac:dyDescent="0.35">
      <c r="A663" s="15"/>
      <c r="B663" s="6"/>
      <c r="C663" s="18"/>
      <c r="D663" s="28"/>
      <c r="E663" s="16"/>
      <c r="G663"/>
    </row>
    <row r="664" spans="1:7" s="14" customFormat="1" x14ac:dyDescent="0.35">
      <c r="A664" s="15"/>
      <c r="B664" s="6"/>
      <c r="C664" s="18"/>
      <c r="D664" s="28"/>
      <c r="E664" s="16"/>
      <c r="G664"/>
    </row>
    <row r="665" spans="1:7" s="14" customFormat="1" x14ac:dyDescent="0.35">
      <c r="A665" s="15"/>
      <c r="B665" s="6"/>
      <c r="C665" s="18"/>
      <c r="D665" s="28"/>
      <c r="E665" s="16"/>
      <c r="G665"/>
    </row>
    <row r="666" spans="1:7" s="14" customFormat="1" x14ac:dyDescent="0.35">
      <c r="A666" s="15"/>
      <c r="B666" s="6"/>
      <c r="C666" s="18"/>
      <c r="D666" s="28"/>
      <c r="E666" s="16"/>
      <c r="G666"/>
    </row>
    <row r="667" spans="1:7" s="14" customFormat="1" x14ac:dyDescent="0.35">
      <c r="A667" s="15"/>
      <c r="B667" s="6"/>
      <c r="C667" s="18"/>
      <c r="D667" s="28"/>
      <c r="E667" s="16"/>
      <c r="G667"/>
    </row>
    <row r="668" spans="1:7" s="14" customFormat="1" x14ac:dyDescent="0.35">
      <c r="A668" s="15"/>
      <c r="B668" s="6"/>
      <c r="C668" s="18"/>
      <c r="D668" s="28"/>
      <c r="E668" s="16"/>
      <c r="G668"/>
    </row>
    <row r="669" spans="1:7" s="14" customFormat="1" x14ac:dyDescent="0.35">
      <c r="A669" s="15"/>
      <c r="B669" s="6"/>
      <c r="C669" s="18"/>
      <c r="D669" s="28"/>
      <c r="E669" s="16"/>
      <c r="G669"/>
    </row>
    <row r="670" spans="1:7" s="14" customFormat="1" x14ac:dyDescent="0.35">
      <c r="A670" s="15"/>
      <c r="B670" s="6"/>
      <c r="C670" s="18"/>
      <c r="D670" s="28"/>
      <c r="E670" s="16"/>
      <c r="G670"/>
    </row>
    <row r="671" spans="1:7" s="14" customFormat="1" x14ac:dyDescent="0.35">
      <c r="A671" s="15"/>
      <c r="B671" s="6"/>
      <c r="C671" s="18"/>
      <c r="D671" s="28"/>
      <c r="E671" s="16"/>
      <c r="G671"/>
    </row>
    <row r="672" spans="1:7" s="14" customFormat="1" x14ac:dyDescent="0.35">
      <c r="A672" s="15"/>
      <c r="B672" s="6"/>
      <c r="C672" s="18"/>
      <c r="D672" s="28"/>
      <c r="E672" s="16"/>
      <c r="G672"/>
    </row>
    <row r="673" spans="1:7" s="14" customFormat="1" x14ac:dyDescent="0.35">
      <c r="A673" s="15"/>
      <c r="B673" s="6"/>
      <c r="C673" s="18"/>
      <c r="D673" s="28"/>
      <c r="E673" s="16"/>
      <c r="G673"/>
    </row>
    <row r="674" spans="1:7" s="14" customFormat="1" x14ac:dyDescent="0.35">
      <c r="A674" s="15"/>
      <c r="B674" s="6"/>
      <c r="C674" s="18"/>
      <c r="D674" s="28"/>
      <c r="E674" s="16"/>
      <c r="G674"/>
    </row>
    <row r="675" spans="1:7" s="14" customFormat="1" x14ac:dyDescent="0.35">
      <c r="A675" s="15"/>
      <c r="B675" s="6"/>
      <c r="C675" s="18"/>
      <c r="D675" s="28"/>
      <c r="E675" s="16"/>
      <c r="G675"/>
    </row>
    <row r="676" spans="1:7" s="14" customFormat="1" x14ac:dyDescent="0.35">
      <c r="A676" s="15"/>
      <c r="B676" s="6"/>
      <c r="C676" s="18"/>
      <c r="D676" s="28"/>
      <c r="E676" s="16"/>
      <c r="G676"/>
    </row>
    <row r="677" spans="1:7" s="14" customFormat="1" x14ac:dyDescent="0.35">
      <c r="A677" s="15"/>
      <c r="B677" s="6"/>
      <c r="C677" s="18"/>
      <c r="D677" s="28"/>
      <c r="E677" s="16"/>
      <c r="G677"/>
    </row>
    <row r="678" spans="1:7" s="14" customFormat="1" x14ac:dyDescent="0.35">
      <c r="A678" s="15"/>
      <c r="B678" s="6"/>
      <c r="C678" s="18"/>
      <c r="D678" s="28"/>
      <c r="E678" s="16"/>
      <c r="G678"/>
    </row>
    <row r="679" spans="1:7" s="14" customFormat="1" x14ac:dyDescent="0.35">
      <c r="A679" s="15"/>
      <c r="B679" s="6"/>
      <c r="C679" s="18"/>
      <c r="D679" s="28"/>
      <c r="E679" s="16"/>
      <c r="G679"/>
    </row>
    <row r="680" spans="1:7" s="14" customFormat="1" x14ac:dyDescent="0.35">
      <c r="A680" s="15"/>
      <c r="B680" s="6"/>
      <c r="C680" s="18"/>
      <c r="D680" s="28"/>
      <c r="E680" s="16"/>
      <c r="G680"/>
    </row>
    <row r="681" spans="1:7" s="14" customFormat="1" x14ac:dyDescent="0.35">
      <c r="A681" s="15"/>
      <c r="B681" s="6"/>
      <c r="C681" s="18"/>
      <c r="D681" s="28"/>
      <c r="E681" s="16"/>
      <c r="G681"/>
    </row>
    <row r="682" spans="1:7" s="14" customFormat="1" x14ac:dyDescent="0.35">
      <c r="A682" s="15"/>
      <c r="B682" s="6"/>
      <c r="C682" s="18"/>
      <c r="D682" s="28"/>
      <c r="E682" s="16"/>
      <c r="G682"/>
    </row>
    <row r="683" spans="1:7" s="14" customFormat="1" x14ac:dyDescent="0.35">
      <c r="A683" s="15"/>
      <c r="B683" s="6"/>
      <c r="C683" s="18"/>
      <c r="D683" s="28"/>
      <c r="E683" s="16"/>
      <c r="G683"/>
    </row>
    <row r="684" spans="1:7" s="14" customFormat="1" x14ac:dyDescent="0.35">
      <c r="A684" s="15"/>
      <c r="B684" s="6"/>
      <c r="C684" s="18"/>
      <c r="D684" s="28"/>
      <c r="E684" s="16"/>
      <c r="G684"/>
    </row>
    <row r="685" spans="1:7" s="14" customFormat="1" x14ac:dyDescent="0.35">
      <c r="A685" s="15"/>
      <c r="B685" s="6"/>
      <c r="C685" s="18"/>
      <c r="D685" s="28"/>
      <c r="E685" s="16"/>
      <c r="G685"/>
    </row>
    <row r="686" spans="1:7" s="14" customFormat="1" x14ac:dyDescent="0.35">
      <c r="A686" s="15"/>
      <c r="B686" s="6"/>
      <c r="C686" s="18"/>
      <c r="D686" s="28"/>
      <c r="E686" s="16"/>
      <c r="G686"/>
    </row>
    <row r="687" spans="1:7" s="14" customFormat="1" x14ac:dyDescent="0.35">
      <c r="A687" s="15"/>
      <c r="B687" s="6"/>
      <c r="C687" s="18"/>
      <c r="D687" s="28"/>
      <c r="E687" s="16"/>
      <c r="G687"/>
    </row>
    <row r="688" spans="1:7" s="14" customFormat="1" x14ac:dyDescent="0.35">
      <c r="A688" s="15"/>
      <c r="B688" s="6"/>
      <c r="C688" s="18"/>
      <c r="D688" s="28"/>
      <c r="E688" s="16"/>
      <c r="G688"/>
    </row>
    <row r="689" spans="1:7" s="14" customFormat="1" x14ac:dyDescent="0.35">
      <c r="A689" s="15"/>
      <c r="B689" s="6"/>
      <c r="C689" s="18"/>
      <c r="D689" s="28"/>
      <c r="E689" s="16"/>
      <c r="G689"/>
    </row>
    <row r="690" spans="1:7" s="14" customFormat="1" x14ac:dyDescent="0.35">
      <c r="A690" s="15"/>
      <c r="B690" s="6"/>
      <c r="C690" s="18"/>
      <c r="D690" s="28"/>
      <c r="E690" s="16"/>
      <c r="G690"/>
    </row>
    <row r="691" spans="1:7" s="14" customFormat="1" x14ac:dyDescent="0.35">
      <c r="A691" s="15"/>
      <c r="B691" s="6"/>
      <c r="C691" s="18"/>
      <c r="D691" s="28"/>
      <c r="E691" s="16"/>
      <c r="G691"/>
    </row>
    <row r="692" spans="1:7" s="14" customFormat="1" x14ac:dyDescent="0.35">
      <c r="A692" s="15"/>
      <c r="B692" s="6"/>
      <c r="C692" s="18"/>
      <c r="D692" s="28"/>
      <c r="E692" s="16"/>
      <c r="G692"/>
    </row>
    <row r="693" spans="1:7" s="14" customFormat="1" x14ac:dyDescent="0.35">
      <c r="A693" s="15"/>
      <c r="B693" s="6"/>
      <c r="C693" s="18"/>
      <c r="D693" s="28"/>
      <c r="E693" s="16"/>
      <c r="G693"/>
    </row>
    <row r="694" spans="1:7" s="14" customFormat="1" x14ac:dyDescent="0.35">
      <c r="A694" s="15"/>
      <c r="B694" s="6"/>
      <c r="C694" s="18"/>
      <c r="D694" s="28"/>
      <c r="E694" s="16"/>
      <c r="G694"/>
    </row>
    <row r="695" spans="1:7" s="14" customFormat="1" x14ac:dyDescent="0.35">
      <c r="A695" s="15"/>
      <c r="B695" s="6"/>
      <c r="C695" s="18"/>
      <c r="D695" s="28"/>
      <c r="E695" s="16"/>
      <c r="G695"/>
    </row>
    <row r="696" spans="1:7" s="14" customFormat="1" x14ac:dyDescent="0.35">
      <c r="A696" s="15"/>
      <c r="B696" s="6"/>
      <c r="C696" s="18"/>
      <c r="D696" s="28"/>
      <c r="E696" s="16"/>
      <c r="G696"/>
    </row>
    <row r="697" spans="1:7" s="14" customFormat="1" x14ac:dyDescent="0.35">
      <c r="A697" s="15"/>
      <c r="B697" s="6"/>
      <c r="C697" s="18"/>
      <c r="D697" s="28"/>
      <c r="E697" s="16"/>
      <c r="G697"/>
    </row>
    <row r="698" spans="1:7" s="14" customFormat="1" x14ac:dyDescent="0.35">
      <c r="A698" s="15"/>
      <c r="B698" s="6"/>
      <c r="C698" s="18"/>
      <c r="D698" s="28"/>
      <c r="E698" s="16"/>
      <c r="G698"/>
    </row>
    <row r="699" spans="1:7" s="14" customFormat="1" x14ac:dyDescent="0.35">
      <c r="A699" s="15"/>
      <c r="B699" s="6"/>
      <c r="C699" s="18"/>
      <c r="D699" s="28"/>
      <c r="E699" s="16"/>
      <c r="G699"/>
    </row>
    <row r="700" spans="1:7" s="14" customFormat="1" x14ac:dyDescent="0.35">
      <c r="A700" s="15"/>
      <c r="B700" s="6"/>
      <c r="C700" s="18"/>
      <c r="D700" s="28"/>
      <c r="E700" s="16"/>
      <c r="G700"/>
    </row>
    <row r="701" spans="1:7" s="14" customFormat="1" x14ac:dyDescent="0.35">
      <c r="A701" s="15"/>
      <c r="B701" s="6"/>
      <c r="C701" s="18"/>
      <c r="D701" s="28"/>
      <c r="E701" s="16"/>
      <c r="G701"/>
    </row>
    <row r="702" spans="1:7" s="14" customFormat="1" x14ac:dyDescent="0.35">
      <c r="A702" s="15"/>
      <c r="B702" s="6"/>
      <c r="C702" s="18"/>
      <c r="D702" s="28"/>
      <c r="E702" s="16"/>
      <c r="G702"/>
    </row>
    <row r="703" spans="1:7" s="14" customFormat="1" x14ac:dyDescent="0.35">
      <c r="A703" s="15"/>
      <c r="B703" s="6"/>
      <c r="C703" s="18"/>
      <c r="D703" s="28"/>
      <c r="E703" s="16"/>
      <c r="G703"/>
    </row>
    <row r="704" spans="1:7" s="14" customFormat="1" x14ac:dyDescent="0.35">
      <c r="A704" s="15"/>
      <c r="B704" s="6"/>
      <c r="C704" s="18"/>
      <c r="D704" s="28"/>
      <c r="E704" s="16"/>
      <c r="G704"/>
    </row>
    <row r="705" spans="1:7" s="14" customFormat="1" x14ac:dyDescent="0.35">
      <c r="A705" s="15"/>
      <c r="B705" s="6"/>
      <c r="C705" s="18"/>
      <c r="D705" s="28"/>
      <c r="E705" s="16"/>
      <c r="G705"/>
    </row>
    <row r="706" spans="1:7" s="14" customFormat="1" x14ac:dyDescent="0.35">
      <c r="A706" s="15"/>
      <c r="B706" s="6"/>
      <c r="C706" s="18"/>
      <c r="D706" s="28"/>
      <c r="E706" s="16"/>
      <c r="G706"/>
    </row>
    <row r="707" spans="1:7" s="14" customFormat="1" x14ac:dyDescent="0.35">
      <c r="A707" s="15"/>
      <c r="B707" s="6"/>
      <c r="C707" s="18"/>
      <c r="D707" s="28"/>
      <c r="E707" s="16"/>
      <c r="G707"/>
    </row>
    <row r="708" spans="1:7" s="14" customFormat="1" x14ac:dyDescent="0.35">
      <c r="A708" s="15"/>
      <c r="B708" s="6"/>
      <c r="C708" s="18"/>
      <c r="D708" s="28"/>
      <c r="E708" s="16"/>
      <c r="G708"/>
    </row>
    <row r="709" spans="1:7" s="14" customFormat="1" x14ac:dyDescent="0.35">
      <c r="A709" s="15"/>
      <c r="B709" s="6"/>
      <c r="C709" s="18"/>
      <c r="D709" s="28"/>
      <c r="E709" s="16"/>
      <c r="G709"/>
    </row>
    <row r="710" spans="1:7" s="14" customFormat="1" x14ac:dyDescent="0.35">
      <c r="A710" s="15"/>
      <c r="B710" s="6"/>
      <c r="C710" s="18"/>
      <c r="D710" s="28"/>
      <c r="E710" s="16"/>
      <c r="G710"/>
    </row>
    <row r="711" spans="1:7" s="14" customFormat="1" x14ac:dyDescent="0.35">
      <c r="A711" s="15"/>
      <c r="B711" s="6"/>
      <c r="C711" s="18"/>
      <c r="D711" s="28"/>
      <c r="E711" s="16"/>
      <c r="G711"/>
    </row>
    <row r="712" spans="1:7" s="14" customFormat="1" x14ac:dyDescent="0.35">
      <c r="A712" s="15"/>
      <c r="B712" s="6"/>
      <c r="C712" s="18"/>
      <c r="D712" s="28"/>
      <c r="E712" s="16"/>
      <c r="G712"/>
    </row>
    <row r="713" spans="1:7" s="14" customFormat="1" x14ac:dyDescent="0.35">
      <c r="A713" s="15"/>
      <c r="B713" s="6"/>
      <c r="C713" s="18"/>
      <c r="D713" s="28"/>
      <c r="E713" s="16"/>
      <c r="G713"/>
    </row>
    <row r="714" spans="1:7" s="14" customFormat="1" x14ac:dyDescent="0.35">
      <c r="A714" s="15"/>
      <c r="B714" s="6"/>
      <c r="C714" s="18"/>
      <c r="D714" s="28"/>
      <c r="E714" s="16"/>
      <c r="G714"/>
    </row>
    <row r="715" spans="1:7" s="14" customFormat="1" x14ac:dyDescent="0.35">
      <c r="A715" s="15"/>
      <c r="B715" s="6"/>
      <c r="C715" s="18"/>
      <c r="D715" s="28"/>
      <c r="E715" s="16"/>
      <c r="G715"/>
    </row>
    <row r="716" spans="1:7" s="14" customFormat="1" x14ac:dyDescent="0.35">
      <c r="A716" s="15"/>
      <c r="B716" s="6"/>
      <c r="C716" s="18"/>
      <c r="D716" s="28"/>
      <c r="E716" s="16"/>
      <c r="G716"/>
    </row>
    <row r="717" spans="1:7" s="14" customFormat="1" x14ac:dyDescent="0.35">
      <c r="A717" s="15"/>
      <c r="B717" s="6"/>
      <c r="C717" s="18"/>
      <c r="D717" s="28"/>
      <c r="E717" s="16"/>
      <c r="G717"/>
    </row>
    <row r="718" spans="1:7" s="14" customFormat="1" x14ac:dyDescent="0.35">
      <c r="A718" s="15"/>
      <c r="B718" s="6"/>
      <c r="C718" s="18"/>
      <c r="D718" s="28"/>
      <c r="E718" s="16"/>
      <c r="G718"/>
    </row>
    <row r="719" spans="1:7" s="14" customFormat="1" x14ac:dyDescent="0.35">
      <c r="A719" s="15"/>
      <c r="B719" s="6"/>
      <c r="C719" s="18"/>
      <c r="D719" s="28"/>
      <c r="E719" s="16"/>
      <c r="G719"/>
    </row>
    <row r="720" spans="1:7" s="14" customFormat="1" x14ac:dyDescent="0.35">
      <c r="A720" s="15"/>
      <c r="B720" s="6"/>
      <c r="C720" s="18"/>
      <c r="D720" s="28"/>
      <c r="E720" s="16"/>
      <c r="G720"/>
    </row>
    <row r="721" spans="1:7" s="14" customFormat="1" x14ac:dyDescent="0.35">
      <c r="A721" s="15"/>
      <c r="B721" s="6"/>
      <c r="C721" s="18"/>
      <c r="D721" s="28"/>
      <c r="E721" s="16"/>
      <c r="G721"/>
    </row>
    <row r="722" spans="1:7" s="14" customFormat="1" x14ac:dyDescent="0.35">
      <c r="A722" s="15"/>
      <c r="B722" s="6"/>
      <c r="C722" s="18"/>
      <c r="D722" s="28"/>
      <c r="E722" s="16"/>
      <c r="G722"/>
    </row>
    <row r="723" spans="1:7" s="14" customFormat="1" x14ac:dyDescent="0.35">
      <c r="A723" s="15"/>
      <c r="B723" s="6"/>
      <c r="C723" s="18"/>
      <c r="D723" s="28"/>
      <c r="E723" s="16"/>
      <c r="G723"/>
    </row>
    <row r="724" spans="1:7" s="14" customFormat="1" x14ac:dyDescent="0.35">
      <c r="A724" s="15"/>
      <c r="B724" s="6"/>
      <c r="C724" s="18"/>
      <c r="D724" s="28"/>
      <c r="E724" s="16"/>
      <c r="G724"/>
    </row>
    <row r="725" spans="1:7" s="14" customFormat="1" x14ac:dyDescent="0.35">
      <c r="A725" s="15"/>
      <c r="B725" s="6"/>
      <c r="C725" s="18"/>
      <c r="D725" s="28"/>
      <c r="E725" s="16"/>
      <c r="G725"/>
    </row>
    <row r="726" spans="1:7" s="14" customFormat="1" x14ac:dyDescent="0.35">
      <c r="A726" s="15"/>
      <c r="B726" s="6"/>
      <c r="C726" s="18"/>
      <c r="D726" s="28"/>
      <c r="E726" s="16"/>
      <c r="G726"/>
    </row>
    <row r="727" spans="1:7" s="14" customFormat="1" x14ac:dyDescent="0.35">
      <c r="A727" s="15"/>
      <c r="B727" s="6"/>
      <c r="C727" s="18"/>
      <c r="D727" s="28"/>
      <c r="E727" s="16"/>
      <c r="G727"/>
    </row>
    <row r="728" spans="1:7" s="14" customFormat="1" x14ac:dyDescent="0.35">
      <c r="A728" s="15"/>
      <c r="B728" s="6"/>
      <c r="C728" s="18"/>
      <c r="D728" s="28"/>
      <c r="E728" s="16"/>
      <c r="G728"/>
    </row>
    <row r="729" spans="1:7" s="14" customFormat="1" x14ac:dyDescent="0.35">
      <c r="A729" s="15"/>
      <c r="B729" s="6"/>
      <c r="C729" s="18"/>
      <c r="D729" s="28"/>
      <c r="E729" s="16"/>
      <c r="G729"/>
    </row>
    <row r="730" spans="1:7" s="14" customFormat="1" x14ac:dyDescent="0.35">
      <c r="A730" s="15"/>
      <c r="B730" s="6"/>
      <c r="C730" s="18"/>
      <c r="D730" s="28"/>
      <c r="E730" s="16"/>
      <c r="G730"/>
    </row>
    <row r="731" spans="1:7" s="14" customFormat="1" x14ac:dyDescent="0.35">
      <c r="A731" s="15"/>
      <c r="B731" s="6"/>
      <c r="C731" s="18"/>
      <c r="D731" s="28"/>
      <c r="E731" s="16"/>
      <c r="G731"/>
    </row>
    <row r="732" spans="1:7" s="14" customFormat="1" x14ac:dyDescent="0.35">
      <c r="A732" s="15"/>
      <c r="B732" s="6"/>
      <c r="C732" s="18"/>
      <c r="D732" s="28"/>
      <c r="E732" s="16"/>
      <c r="G732"/>
    </row>
    <row r="733" spans="1:7" s="14" customFormat="1" x14ac:dyDescent="0.35">
      <c r="A733" s="15"/>
      <c r="B733" s="6"/>
      <c r="C733" s="18"/>
      <c r="D733" s="28"/>
      <c r="E733" s="16"/>
      <c r="G733"/>
    </row>
    <row r="734" spans="1:7" s="14" customFormat="1" x14ac:dyDescent="0.35">
      <c r="A734" s="15"/>
      <c r="B734" s="6"/>
      <c r="C734" s="18"/>
      <c r="D734" s="28"/>
      <c r="E734" s="16"/>
      <c r="G734"/>
    </row>
    <row r="735" spans="1:7" s="14" customFormat="1" x14ac:dyDescent="0.35">
      <c r="A735" s="15"/>
      <c r="B735" s="6"/>
      <c r="C735" s="18"/>
      <c r="D735" s="28"/>
      <c r="E735" s="16"/>
      <c r="G735"/>
    </row>
    <row r="736" spans="1:7" s="14" customFormat="1" x14ac:dyDescent="0.35">
      <c r="A736" s="15"/>
      <c r="B736" s="6"/>
      <c r="C736" s="18"/>
      <c r="D736" s="28"/>
      <c r="E736" s="16"/>
      <c r="G736"/>
    </row>
    <row r="737" spans="1:7" s="14" customFormat="1" x14ac:dyDescent="0.35">
      <c r="A737" s="15"/>
      <c r="B737" s="6"/>
      <c r="C737" s="18"/>
      <c r="D737" s="28"/>
      <c r="E737" s="16"/>
      <c r="G737"/>
    </row>
    <row r="738" spans="1:7" s="14" customFormat="1" x14ac:dyDescent="0.35">
      <c r="A738" s="15"/>
      <c r="B738" s="6"/>
      <c r="C738" s="18"/>
      <c r="D738" s="28"/>
      <c r="E738" s="16"/>
      <c r="G738"/>
    </row>
    <row r="739" spans="1:7" s="14" customFormat="1" x14ac:dyDescent="0.35">
      <c r="A739" s="15"/>
      <c r="B739" s="6"/>
      <c r="C739" s="18"/>
      <c r="D739" s="28"/>
      <c r="E739" s="16"/>
      <c r="G739"/>
    </row>
    <row r="740" spans="1:7" s="14" customFormat="1" x14ac:dyDescent="0.35">
      <c r="A740" s="15"/>
      <c r="B740" s="6"/>
      <c r="C740" s="18"/>
      <c r="D740" s="28"/>
      <c r="E740" s="16"/>
      <c r="G740"/>
    </row>
    <row r="741" spans="1:7" s="14" customFormat="1" x14ac:dyDescent="0.35">
      <c r="A741" s="15"/>
      <c r="B741" s="6"/>
      <c r="C741" s="18"/>
      <c r="D741" s="28"/>
      <c r="E741" s="16"/>
      <c r="G741"/>
    </row>
    <row r="742" spans="1:7" s="14" customFormat="1" x14ac:dyDescent="0.35">
      <c r="A742" s="15"/>
      <c r="B742" s="6"/>
      <c r="C742" s="18"/>
      <c r="D742" s="28"/>
      <c r="E742" s="16"/>
      <c r="G742"/>
    </row>
    <row r="743" spans="1:7" s="14" customFormat="1" x14ac:dyDescent="0.35">
      <c r="A743" s="15"/>
      <c r="B743" s="6"/>
      <c r="C743" s="18"/>
      <c r="D743" s="28"/>
      <c r="E743" s="16"/>
      <c r="G743"/>
    </row>
    <row r="744" spans="1:7" s="14" customFormat="1" x14ac:dyDescent="0.35">
      <c r="A744" s="15"/>
      <c r="B744" s="6"/>
      <c r="C744" s="18"/>
      <c r="D744" s="28"/>
      <c r="E744" s="16"/>
      <c r="G744"/>
    </row>
    <row r="745" spans="1:7" s="14" customFormat="1" x14ac:dyDescent="0.35">
      <c r="A745" s="15"/>
      <c r="B745" s="6"/>
      <c r="C745" s="18"/>
      <c r="D745" s="28"/>
      <c r="E745" s="16"/>
      <c r="G745"/>
    </row>
    <row r="746" spans="1:7" s="14" customFormat="1" x14ac:dyDescent="0.35">
      <c r="A746" s="15"/>
      <c r="B746" s="6"/>
      <c r="C746" s="18"/>
      <c r="D746" s="28"/>
      <c r="E746" s="16"/>
      <c r="G746"/>
    </row>
    <row r="747" spans="1:7" s="14" customFormat="1" x14ac:dyDescent="0.35">
      <c r="A747" s="15"/>
      <c r="B747" s="6"/>
      <c r="C747" s="18"/>
      <c r="D747" s="28"/>
      <c r="E747" s="16"/>
      <c r="G747"/>
    </row>
    <row r="748" spans="1:7" s="14" customFormat="1" x14ac:dyDescent="0.35">
      <c r="A748" s="15"/>
      <c r="B748" s="6"/>
      <c r="C748" s="18"/>
      <c r="D748" s="28"/>
      <c r="E748" s="16"/>
      <c r="G748"/>
    </row>
    <row r="749" spans="1:7" s="14" customFormat="1" x14ac:dyDescent="0.35">
      <c r="A749" s="15"/>
      <c r="B749" s="6"/>
      <c r="C749" s="18"/>
      <c r="D749" s="28"/>
      <c r="E749" s="16"/>
      <c r="G749"/>
    </row>
    <row r="750" spans="1:7" s="14" customFormat="1" x14ac:dyDescent="0.35">
      <c r="A750" s="15"/>
      <c r="B750" s="6"/>
      <c r="C750" s="18"/>
      <c r="D750" s="28"/>
      <c r="E750" s="16"/>
      <c r="G750"/>
    </row>
    <row r="751" spans="1:7" s="14" customFormat="1" x14ac:dyDescent="0.35">
      <c r="A751" s="15"/>
      <c r="B751" s="6"/>
      <c r="C751" s="18"/>
      <c r="D751" s="28"/>
      <c r="E751" s="16"/>
      <c r="G751"/>
    </row>
    <row r="752" spans="1:7" s="14" customFormat="1" x14ac:dyDescent="0.35">
      <c r="A752" s="15"/>
      <c r="B752" s="6"/>
      <c r="C752" s="18"/>
      <c r="D752" s="28"/>
      <c r="E752" s="16"/>
      <c r="G752"/>
    </row>
    <row r="753" spans="1:7" s="14" customFormat="1" x14ac:dyDescent="0.35">
      <c r="A753" s="15"/>
      <c r="B753" s="6"/>
      <c r="C753" s="18"/>
      <c r="D753" s="28"/>
      <c r="E753" s="16"/>
      <c r="G753"/>
    </row>
    <row r="754" spans="1:7" s="14" customFormat="1" x14ac:dyDescent="0.35">
      <c r="A754" s="15"/>
      <c r="B754" s="6"/>
      <c r="C754" s="18"/>
      <c r="D754" s="28"/>
      <c r="E754" s="16"/>
      <c r="G754"/>
    </row>
    <row r="755" spans="1:7" s="14" customFormat="1" x14ac:dyDescent="0.35">
      <c r="A755" s="15"/>
      <c r="B755" s="6"/>
      <c r="C755" s="18"/>
      <c r="D755" s="28"/>
      <c r="E755" s="16"/>
      <c r="G755"/>
    </row>
    <row r="756" spans="1:7" s="14" customFormat="1" x14ac:dyDescent="0.35">
      <c r="A756" s="15"/>
      <c r="B756" s="6"/>
      <c r="C756" s="18"/>
      <c r="D756" s="28"/>
      <c r="E756" s="16"/>
      <c r="G756"/>
    </row>
    <row r="757" spans="1:7" s="14" customFormat="1" x14ac:dyDescent="0.35">
      <c r="A757" s="15"/>
      <c r="B757" s="6"/>
      <c r="C757" s="18"/>
      <c r="D757" s="28"/>
      <c r="E757" s="16"/>
      <c r="G757"/>
    </row>
    <row r="758" spans="1:7" s="14" customFormat="1" x14ac:dyDescent="0.35">
      <c r="A758" s="15"/>
      <c r="B758" s="6"/>
      <c r="C758" s="18"/>
      <c r="D758" s="28"/>
      <c r="E758" s="16"/>
      <c r="G758"/>
    </row>
    <row r="759" spans="1:7" s="14" customFormat="1" x14ac:dyDescent="0.35">
      <c r="A759" s="15"/>
      <c r="B759" s="6"/>
      <c r="C759" s="18"/>
      <c r="D759" s="28"/>
      <c r="E759" s="16"/>
      <c r="G759"/>
    </row>
    <row r="760" spans="1:7" s="14" customFormat="1" x14ac:dyDescent="0.35">
      <c r="A760" s="15"/>
      <c r="B760" s="6"/>
      <c r="C760" s="18"/>
      <c r="D760" s="28"/>
      <c r="E760" s="16"/>
      <c r="G760"/>
    </row>
    <row r="761" spans="1:7" s="14" customFormat="1" x14ac:dyDescent="0.35">
      <c r="A761" s="15"/>
      <c r="B761" s="6"/>
      <c r="C761" s="18"/>
      <c r="D761" s="28"/>
      <c r="E761" s="16"/>
      <c r="G761"/>
    </row>
    <row r="762" spans="1:7" s="14" customFormat="1" x14ac:dyDescent="0.35">
      <c r="A762" s="15"/>
      <c r="B762" s="6"/>
      <c r="C762" s="18"/>
      <c r="D762" s="28"/>
      <c r="E762" s="16"/>
      <c r="G762"/>
    </row>
    <row r="763" spans="1:7" s="14" customFormat="1" x14ac:dyDescent="0.35">
      <c r="A763" s="15"/>
      <c r="B763" s="6"/>
      <c r="C763" s="18"/>
      <c r="D763" s="28"/>
      <c r="E763" s="16"/>
      <c r="G763"/>
    </row>
    <row r="764" spans="1:7" s="14" customFormat="1" x14ac:dyDescent="0.35">
      <c r="A764" s="15"/>
      <c r="B764" s="6"/>
      <c r="C764" s="18"/>
      <c r="D764" s="28"/>
      <c r="E764" s="16"/>
      <c r="G764"/>
    </row>
    <row r="765" spans="1:7" s="14" customFormat="1" x14ac:dyDescent="0.35">
      <c r="A765" s="15"/>
      <c r="B765" s="6"/>
      <c r="C765" s="18"/>
      <c r="D765" s="28"/>
      <c r="E765" s="16"/>
      <c r="G765"/>
    </row>
    <row r="766" spans="1:7" s="14" customFormat="1" x14ac:dyDescent="0.35">
      <c r="A766" s="15"/>
      <c r="B766" s="6"/>
      <c r="C766" s="18"/>
      <c r="D766" s="28"/>
      <c r="E766" s="16"/>
      <c r="G766"/>
    </row>
    <row r="767" spans="1:7" s="14" customFormat="1" x14ac:dyDescent="0.35">
      <c r="A767" s="15"/>
      <c r="B767" s="6"/>
      <c r="C767" s="18"/>
      <c r="D767" s="28"/>
      <c r="E767" s="16"/>
      <c r="G767"/>
    </row>
    <row r="768" spans="1:7" s="14" customFormat="1" x14ac:dyDescent="0.35">
      <c r="A768" s="15"/>
      <c r="B768" s="6"/>
      <c r="C768" s="18"/>
      <c r="D768" s="28"/>
      <c r="E768" s="16"/>
      <c r="G768"/>
    </row>
    <row r="769" spans="1:7" s="14" customFormat="1" x14ac:dyDescent="0.35">
      <c r="A769" s="15"/>
      <c r="B769" s="6"/>
      <c r="C769" s="18"/>
      <c r="D769" s="28"/>
      <c r="E769" s="16"/>
      <c r="G769"/>
    </row>
    <row r="770" spans="1:7" s="14" customFormat="1" x14ac:dyDescent="0.35">
      <c r="A770" s="15"/>
      <c r="B770" s="6"/>
      <c r="C770" s="18"/>
      <c r="D770" s="28"/>
      <c r="E770" s="16"/>
      <c r="G770"/>
    </row>
    <row r="771" spans="1:7" s="14" customFormat="1" x14ac:dyDescent="0.35">
      <c r="A771" s="15"/>
      <c r="B771" s="6"/>
      <c r="C771" s="18"/>
      <c r="D771" s="28"/>
      <c r="E771" s="16"/>
      <c r="G771"/>
    </row>
    <row r="772" spans="1:7" s="14" customFormat="1" x14ac:dyDescent="0.35">
      <c r="A772" s="15"/>
      <c r="B772" s="6"/>
      <c r="C772" s="18"/>
      <c r="D772" s="28"/>
      <c r="E772" s="16"/>
      <c r="G772"/>
    </row>
    <row r="773" spans="1:7" s="14" customFormat="1" x14ac:dyDescent="0.35">
      <c r="A773" s="15"/>
      <c r="B773" s="6"/>
      <c r="C773" s="18"/>
      <c r="D773" s="28"/>
      <c r="E773" s="16"/>
      <c r="G773"/>
    </row>
    <row r="774" spans="1:7" s="14" customFormat="1" x14ac:dyDescent="0.35">
      <c r="A774" s="15"/>
      <c r="B774" s="6"/>
      <c r="C774" s="18"/>
      <c r="D774" s="28"/>
      <c r="E774" s="16"/>
      <c r="G774"/>
    </row>
    <row r="775" spans="1:7" s="14" customFormat="1" x14ac:dyDescent="0.35">
      <c r="A775" s="15"/>
      <c r="B775" s="6"/>
      <c r="C775" s="18"/>
      <c r="D775" s="28"/>
      <c r="E775" s="16"/>
      <c r="G775"/>
    </row>
    <row r="776" spans="1:7" s="14" customFormat="1" x14ac:dyDescent="0.35">
      <c r="A776" s="15"/>
      <c r="B776" s="6"/>
      <c r="C776" s="18"/>
      <c r="D776" s="28"/>
      <c r="E776" s="16"/>
      <c r="G776"/>
    </row>
    <row r="777" spans="1:7" s="14" customFormat="1" x14ac:dyDescent="0.35">
      <c r="A777" s="15"/>
      <c r="B777" s="6"/>
      <c r="C777" s="18"/>
      <c r="D777" s="28"/>
      <c r="E777" s="16"/>
      <c r="G777"/>
    </row>
    <row r="778" spans="1:7" s="14" customFormat="1" x14ac:dyDescent="0.35">
      <c r="A778" s="15"/>
      <c r="B778" s="6"/>
      <c r="C778" s="18"/>
      <c r="D778" s="28"/>
      <c r="E778" s="16"/>
      <c r="G778"/>
    </row>
    <row r="779" spans="1:7" s="14" customFormat="1" x14ac:dyDescent="0.35">
      <c r="A779" s="15"/>
      <c r="B779" s="6"/>
      <c r="C779" s="18"/>
      <c r="D779" s="28"/>
      <c r="E779" s="16"/>
      <c r="G779"/>
    </row>
    <row r="780" spans="1:7" s="14" customFormat="1" x14ac:dyDescent="0.35">
      <c r="A780" s="15"/>
      <c r="B780" s="6"/>
      <c r="C780" s="18"/>
      <c r="D780" s="28"/>
      <c r="E780" s="16"/>
      <c r="G780"/>
    </row>
    <row r="781" spans="1:7" s="14" customFormat="1" x14ac:dyDescent="0.35">
      <c r="A781" s="15"/>
      <c r="B781" s="6"/>
      <c r="C781" s="18"/>
      <c r="D781" s="28"/>
      <c r="E781" s="16"/>
      <c r="G781"/>
    </row>
    <row r="782" spans="1:7" s="14" customFormat="1" x14ac:dyDescent="0.35">
      <c r="A782" s="15"/>
      <c r="B782" s="6"/>
      <c r="C782" s="18"/>
      <c r="D782" s="28"/>
      <c r="E782" s="16"/>
      <c r="G782"/>
    </row>
    <row r="783" spans="1:7" s="14" customFormat="1" x14ac:dyDescent="0.35">
      <c r="A783" s="15"/>
      <c r="B783" s="6"/>
      <c r="C783" s="18"/>
      <c r="D783" s="28"/>
      <c r="E783" s="16"/>
      <c r="G783"/>
    </row>
    <row r="784" spans="1:7" s="14" customFormat="1" x14ac:dyDescent="0.35">
      <c r="A784" s="15"/>
      <c r="B784" s="6"/>
      <c r="C784" s="18"/>
      <c r="D784" s="28"/>
      <c r="E784" s="16"/>
      <c r="G784"/>
    </row>
    <row r="785" spans="1:7" s="14" customFormat="1" x14ac:dyDescent="0.35">
      <c r="A785" s="15"/>
      <c r="B785" s="6"/>
      <c r="C785" s="18"/>
      <c r="D785" s="28"/>
      <c r="E785" s="16"/>
      <c r="G785"/>
    </row>
    <row r="786" spans="1:7" s="14" customFormat="1" x14ac:dyDescent="0.35">
      <c r="A786" s="15"/>
      <c r="B786" s="6"/>
      <c r="C786" s="18"/>
      <c r="D786" s="28"/>
      <c r="E786" s="16"/>
      <c r="G786"/>
    </row>
    <row r="787" spans="1:7" s="14" customFormat="1" x14ac:dyDescent="0.35">
      <c r="A787" s="15"/>
      <c r="B787" s="6"/>
      <c r="C787" s="18"/>
      <c r="D787" s="28"/>
      <c r="E787" s="16"/>
      <c r="G787"/>
    </row>
    <row r="788" spans="1:7" s="14" customFormat="1" x14ac:dyDescent="0.35">
      <c r="A788" s="15"/>
      <c r="B788" s="6"/>
      <c r="C788" s="18"/>
      <c r="D788" s="28"/>
      <c r="E788" s="16"/>
      <c r="G788"/>
    </row>
    <row r="789" spans="1:7" s="14" customFormat="1" x14ac:dyDescent="0.35">
      <c r="A789" s="15"/>
      <c r="B789" s="6"/>
      <c r="C789" s="18"/>
      <c r="D789" s="28"/>
      <c r="E789" s="16"/>
      <c r="G789"/>
    </row>
    <row r="790" spans="1:7" s="14" customFormat="1" x14ac:dyDescent="0.35">
      <c r="A790" s="15"/>
      <c r="B790" s="6"/>
      <c r="C790" s="18"/>
      <c r="D790" s="28"/>
      <c r="E790" s="16"/>
      <c r="G790"/>
    </row>
    <row r="791" spans="1:7" s="14" customFormat="1" x14ac:dyDescent="0.35">
      <c r="A791" s="15"/>
      <c r="B791" s="6"/>
      <c r="C791" s="18"/>
      <c r="D791" s="28"/>
      <c r="E791" s="16"/>
      <c r="G791"/>
    </row>
    <row r="792" spans="1:7" s="14" customFormat="1" x14ac:dyDescent="0.35">
      <c r="A792" s="15"/>
      <c r="B792" s="6"/>
      <c r="C792" s="18"/>
      <c r="D792" s="28"/>
      <c r="E792" s="16"/>
      <c r="G792"/>
    </row>
    <row r="793" spans="1:7" s="14" customFormat="1" x14ac:dyDescent="0.35">
      <c r="A793" s="15"/>
      <c r="B793" s="6"/>
      <c r="C793" s="18"/>
      <c r="D793" s="28"/>
      <c r="E793" s="16"/>
      <c r="G793"/>
    </row>
    <row r="794" spans="1:7" s="14" customFormat="1" x14ac:dyDescent="0.35">
      <c r="A794" s="15"/>
      <c r="B794" s="6"/>
      <c r="C794" s="18"/>
      <c r="D794" s="28"/>
      <c r="E794" s="16"/>
      <c r="G794"/>
    </row>
    <row r="795" spans="1:7" s="14" customFormat="1" x14ac:dyDescent="0.35">
      <c r="A795" s="15"/>
      <c r="B795" s="6"/>
      <c r="C795" s="18"/>
      <c r="D795" s="28"/>
      <c r="E795" s="16"/>
      <c r="G795"/>
    </row>
    <row r="796" spans="1:7" s="14" customFormat="1" x14ac:dyDescent="0.35">
      <c r="A796" s="15"/>
      <c r="B796" s="6"/>
      <c r="C796" s="18"/>
      <c r="D796" s="28"/>
      <c r="E796" s="16"/>
      <c r="G796"/>
    </row>
    <row r="797" spans="1:7" s="14" customFormat="1" x14ac:dyDescent="0.35">
      <c r="A797" s="15"/>
      <c r="B797" s="6"/>
      <c r="C797" s="18"/>
      <c r="D797" s="28"/>
      <c r="E797" s="16"/>
      <c r="G797"/>
    </row>
    <row r="798" spans="1:7" s="14" customFormat="1" x14ac:dyDescent="0.35">
      <c r="A798" s="15"/>
      <c r="B798" s="6"/>
      <c r="C798" s="18"/>
      <c r="D798" s="28"/>
      <c r="E798" s="16"/>
      <c r="G798"/>
    </row>
    <row r="799" spans="1:7" s="14" customFormat="1" x14ac:dyDescent="0.35">
      <c r="A799" s="15"/>
      <c r="B799" s="6"/>
      <c r="C799" s="18"/>
      <c r="D799" s="28"/>
      <c r="E799" s="16"/>
      <c r="G799"/>
    </row>
    <row r="800" spans="1:7" s="14" customFormat="1" x14ac:dyDescent="0.35">
      <c r="A800" s="15"/>
      <c r="B800" s="6"/>
      <c r="C800" s="18"/>
      <c r="D800" s="28"/>
      <c r="E800" s="16"/>
      <c r="G800"/>
    </row>
    <row r="801" spans="1:7" s="14" customFormat="1" x14ac:dyDescent="0.35">
      <c r="A801" s="15"/>
      <c r="B801" s="6"/>
      <c r="C801" s="18"/>
      <c r="D801" s="28"/>
      <c r="E801" s="16"/>
      <c r="G801"/>
    </row>
    <row r="802" spans="1:7" s="14" customFormat="1" x14ac:dyDescent="0.35">
      <c r="A802" s="15"/>
      <c r="B802" s="6"/>
      <c r="C802" s="18"/>
      <c r="D802" s="28"/>
      <c r="E802" s="16"/>
      <c r="G802"/>
    </row>
    <row r="803" spans="1:7" s="14" customFormat="1" x14ac:dyDescent="0.35">
      <c r="A803" s="15"/>
      <c r="B803" s="6"/>
      <c r="C803" s="18"/>
      <c r="D803" s="28"/>
      <c r="E803" s="16"/>
      <c r="G803"/>
    </row>
    <row r="804" spans="1:7" s="14" customFormat="1" x14ac:dyDescent="0.35">
      <c r="A804" s="15"/>
      <c r="B804" s="6"/>
      <c r="C804" s="18"/>
      <c r="D804" s="28"/>
      <c r="E804" s="16"/>
      <c r="G804"/>
    </row>
    <row r="805" spans="1:7" s="14" customFormat="1" x14ac:dyDescent="0.35">
      <c r="A805" s="15"/>
      <c r="B805" s="6"/>
      <c r="C805" s="18"/>
      <c r="D805" s="28"/>
      <c r="E805" s="16"/>
      <c r="G805"/>
    </row>
    <row r="806" spans="1:7" s="14" customFormat="1" x14ac:dyDescent="0.35">
      <c r="A806" s="15"/>
      <c r="B806" s="6"/>
      <c r="C806" s="18"/>
      <c r="D806" s="28"/>
      <c r="E806" s="16"/>
      <c r="G806"/>
    </row>
    <row r="807" spans="1:7" s="14" customFormat="1" x14ac:dyDescent="0.35">
      <c r="A807" s="15"/>
      <c r="B807" s="6"/>
      <c r="C807" s="18"/>
      <c r="D807" s="28"/>
      <c r="E807" s="16"/>
      <c r="G807"/>
    </row>
    <row r="808" spans="1:7" s="14" customFormat="1" x14ac:dyDescent="0.35">
      <c r="A808" s="15"/>
      <c r="B808" s="6"/>
      <c r="C808" s="18"/>
      <c r="D808" s="28"/>
      <c r="E808" s="16"/>
      <c r="G808"/>
    </row>
    <row r="809" spans="1:7" s="14" customFormat="1" x14ac:dyDescent="0.35">
      <c r="A809" s="15"/>
      <c r="B809" s="6"/>
      <c r="C809" s="18"/>
      <c r="D809" s="28"/>
      <c r="E809" s="16"/>
      <c r="G809"/>
    </row>
    <row r="810" spans="1:7" s="14" customFormat="1" x14ac:dyDescent="0.35">
      <c r="A810" s="15"/>
      <c r="B810" s="6"/>
      <c r="C810" s="18"/>
      <c r="D810" s="28"/>
      <c r="E810" s="16"/>
      <c r="G810"/>
    </row>
    <row r="811" spans="1:7" s="14" customFormat="1" x14ac:dyDescent="0.35">
      <c r="A811" s="15"/>
      <c r="B811" s="6"/>
      <c r="C811" s="18"/>
      <c r="D811" s="28"/>
      <c r="E811" s="16"/>
      <c r="G811"/>
    </row>
    <row r="812" spans="1:7" s="14" customFormat="1" x14ac:dyDescent="0.35">
      <c r="A812" s="15"/>
      <c r="B812" s="6"/>
      <c r="C812" s="18"/>
      <c r="D812" s="28"/>
      <c r="E812" s="16"/>
      <c r="G812"/>
    </row>
    <row r="813" spans="1:7" s="14" customFormat="1" x14ac:dyDescent="0.35">
      <c r="A813" s="15"/>
      <c r="B813" s="6"/>
      <c r="C813" s="18"/>
      <c r="D813" s="28"/>
      <c r="E813" s="16"/>
      <c r="G813"/>
    </row>
    <row r="814" spans="1:7" s="14" customFormat="1" x14ac:dyDescent="0.35">
      <c r="A814" s="15"/>
      <c r="B814" s="6"/>
      <c r="C814" s="18"/>
      <c r="D814" s="28"/>
      <c r="E814" s="16"/>
      <c r="G814"/>
    </row>
    <row r="815" spans="1:7" s="14" customFormat="1" x14ac:dyDescent="0.35">
      <c r="A815" s="15"/>
      <c r="B815" s="6"/>
      <c r="C815" s="18"/>
      <c r="D815" s="28"/>
      <c r="E815" s="16"/>
      <c r="G815"/>
    </row>
    <row r="816" spans="1:7" s="14" customFormat="1" x14ac:dyDescent="0.35">
      <c r="A816" s="15"/>
      <c r="B816" s="6"/>
      <c r="C816" s="18"/>
      <c r="D816" s="28"/>
      <c r="E816" s="16"/>
      <c r="G816"/>
    </row>
    <row r="817" spans="1:7" s="14" customFormat="1" x14ac:dyDescent="0.35">
      <c r="A817" s="15"/>
      <c r="B817" s="6"/>
      <c r="C817" s="18"/>
      <c r="D817" s="28"/>
      <c r="E817" s="16"/>
      <c r="G817"/>
    </row>
    <row r="818" spans="1:7" s="14" customFormat="1" x14ac:dyDescent="0.35">
      <c r="A818" s="15"/>
      <c r="B818" s="6"/>
      <c r="C818" s="18"/>
      <c r="D818" s="28"/>
      <c r="E818" s="16"/>
      <c r="G818"/>
    </row>
    <row r="819" spans="1:7" s="14" customFormat="1" x14ac:dyDescent="0.3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4.5" x14ac:dyDescent="0.35"/>
  <cols>
    <col min="1" max="1" width="8.54296875" bestFit="1" customWidth="1"/>
    <col min="2" max="2" width="8.54296875" customWidth="1"/>
    <col min="3" max="3" width="32.81640625" bestFit="1" customWidth="1"/>
    <col min="4" max="4" width="0.7265625" customWidth="1"/>
  </cols>
  <sheetData>
    <row r="1" spans="1:4" x14ac:dyDescent="0.35">
      <c r="A1" s="104"/>
      <c r="B1" s="104"/>
      <c r="C1" s="104"/>
      <c r="D1" s="6"/>
    </row>
    <row r="2" spans="1:4" hidden="1" x14ac:dyDescent="0.35"/>
    <row r="3" spans="1:4" x14ac:dyDescent="0.35">
      <c r="A3" s="99" t="s">
        <v>279</v>
      </c>
      <c r="B3" s="100"/>
      <c r="C3" s="101"/>
      <c r="D3" s="68"/>
    </row>
    <row r="4" spans="1:4" x14ac:dyDescent="0.35">
      <c r="A4" s="69" t="s">
        <v>280</v>
      </c>
      <c r="B4" s="102" t="s">
        <v>281</v>
      </c>
      <c r="C4" s="103"/>
      <c r="D4" s="68"/>
    </row>
    <row r="5" spans="1:4" x14ac:dyDescent="0.35">
      <c r="A5" s="70" t="s">
        <v>39</v>
      </c>
      <c r="B5" s="70" t="s">
        <v>40</v>
      </c>
      <c r="C5" s="70" t="s">
        <v>257</v>
      </c>
      <c r="D5" s="68"/>
    </row>
    <row r="6" spans="1:4" x14ac:dyDescent="0.35">
      <c r="A6" t="s">
        <v>243</v>
      </c>
      <c r="B6" t="s">
        <v>255</v>
      </c>
      <c r="C6" t="s">
        <v>259</v>
      </c>
    </row>
    <row r="7" spans="1:4" x14ac:dyDescent="0.35">
      <c r="A7" t="s">
        <v>38</v>
      </c>
      <c r="B7" t="s">
        <v>38</v>
      </c>
      <c r="C7" t="s">
        <v>258</v>
      </c>
    </row>
    <row r="8" spans="1:4" x14ac:dyDescent="0.35">
      <c r="A8" t="s">
        <v>244</v>
      </c>
      <c r="B8" t="s">
        <v>37</v>
      </c>
      <c r="C8" t="s">
        <v>260</v>
      </c>
    </row>
    <row r="9" spans="1:4" x14ac:dyDescent="0.35">
      <c r="A9" t="s">
        <v>246</v>
      </c>
      <c r="B9" t="s">
        <v>256</v>
      </c>
      <c r="C9" t="s">
        <v>261</v>
      </c>
    </row>
    <row r="10" spans="1:4" x14ac:dyDescent="0.35">
      <c r="A10" t="s">
        <v>41</v>
      </c>
      <c r="B10" t="s">
        <v>14</v>
      </c>
      <c r="C10" t="s">
        <v>262</v>
      </c>
    </row>
    <row r="11" spans="1:4" x14ac:dyDescent="0.35">
      <c r="A11" t="s">
        <v>245</v>
      </c>
      <c r="B11" t="s">
        <v>231</v>
      </c>
      <c r="C11" t="s">
        <v>263</v>
      </c>
    </row>
    <row r="12" spans="1:4" x14ac:dyDescent="0.35">
      <c r="A12" t="s">
        <v>28</v>
      </c>
      <c r="B12" t="s">
        <v>29</v>
      </c>
      <c r="C12" t="s">
        <v>265</v>
      </c>
    </row>
    <row r="13" spans="1:4" x14ac:dyDescent="0.35">
      <c r="A13" t="s">
        <v>33</v>
      </c>
      <c r="B13" t="s">
        <v>34</v>
      </c>
      <c r="C13" t="s">
        <v>264</v>
      </c>
    </row>
    <row r="14" spans="1:4" x14ac:dyDescent="0.35">
      <c r="A14" t="s">
        <v>25</v>
      </c>
      <c r="B14" t="s">
        <v>10</v>
      </c>
      <c r="C14" t="s">
        <v>266</v>
      </c>
    </row>
    <row r="15" spans="1:4" x14ac:dyDescent="0.35">
      <c r="A15" t="s">
        <v>26</v>
      </c>
      <c r="B15" t="s">
        <v>27</v>
      </c>
      <c r="C15" t="s">
        <v>267</v>
      </c>
    </row>
    <row r="16" spans="1:4" x14ac:dyDescent="0.35">
      <c r="A16" t="s">
        <v>247</v>
      </c>
      <c r="B16" t="s">
        <v>249</v>
      </c>
      <c r="C16" t="s">
        <v>268</v>
      </c>
    </row>
    <row r="17" spans="1:3" x14ac:dyDescent="0.35">
      <c r="A17" t="s">
        <v>31</v>
      </c>
      <c r="B17" t="s">
        <v>15</v>
      </c>
      <c r="C17" t="s">
        <v>269</v>
      </c>
    </row>
    <row r="18" spans="1:3" x14ac:dyDescent="0.35">
      <c r="A18" t="s">
        <v>22</v>
      </c>
      <c r="B18" t="s">
        <v>13</v>
      </c>
      <c r="C18" t="s">
        <v>270</v>
      </c>
    </row>
    <row r="19" spans="1:3" x14ac:dyDescent="0.35">
      <c r="A19" t="s">
        <v>24</v>
      </c>
      <c r="B19" t="s">
        <v>18</v>
      </c>
      <c r="C19" t="s">
        <v>271</v>
      </c>
    </row>
    <row r="20" spans="1:3" x14ac:dyDescent="0.35">
      <c r="A20" t="s">
        <v>4</v>
      </c>
      <c r="B20" t="s">
        <v>12</v>
      </c>
      <c r="C20" t="s">
        <v>272</v>
      </c>
    </row>
    <row r="21" spans="1:3" x14ac:dyDescent="0.35">
      <c r="A21" t="s">
        <v>92</v>
      </c>
      <c r="B21" t="s">
        <v>67</v>
      </c>
      <c r="C21" t="s">
        <v>273</v>
      </c>
    </row>
    <row r="22" spans="1:3" x14ac:dyDescent="0.35">
      <c r="A22" t="s">
        <v>67</v>
      </c>
      <c r="B22" t="s">
        <v>59</v>
      </c>
      <c r="C22" t="s">
        <v>274</v>
      </c>
    </row>
    <row r="23" spans="1:3" x14ac:dyDescent="0.35">
      <c r="A23" t="s">
        <v>30</v>
      </c>
      <c r="B23" t="s">
        <v>30</v>
      </c>
      <c r="C23" t="s">
        <v>275</v>
      </c>
    </row>
    <row r="24" spans="1:3" x14ac:dyDescent="0.35">
      <c r="A24" t="s">
        <v>35</v>
      </c>
      <c r="B24" t="s">
        <v>36</v>
      </c>
      <c r="C24" t="s">
        <v>276</v>
      </c>
    </row>
    <row r="25" spans="1:3" x14ac:dyDescent="0.35">
      <c r="A25" t="s">
        <v>248</v>
      </c>
      <c r="B25" t="s">
        <v>32</v>
      </c>
      <c r="C25" t="s">
        <v>277</v>
      </c>
    </row>
    <row r="26" spans="1:3" x14ac:dyDescent="0.3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cp:lastPrinted>2023-07-14T03:21:57Z</cp:lastPrinted>
  <dcterms:created xsi:type="dcterms:W3CDTF">2023-04-11T02:47:24Z</dcterms:created>
  <dcterms:modified xsi:type="dcterms:W3CDTF">2024-11-23T08:46:59Z</dcterms:modified>
</cp:coreProperties>
</file>