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di\Documents\!!!!!!!!!!!!!!!-LOCAL DISK-!!!!!!!!!!!!!!!\!MACRO PROJECTS\!!!!!ON PROGRESS\MACRO_RPA - Pembuatan Dokumen di CEISA 4.0\BC. 41\macro\New folder (7)\"/>
    </mc:Choice>
  </mc:AlternateContent>
  <xr:revisionPtr revIDLastSave="0" documentId="13_ncr:1_{27BCA63B-CA14-4FDC-915D-97630CE2F14D}" xr6:coauthVersionLast="47" xr6:coauthVersionMax="47" xr10:uidLastSave="{00000000-0000-0000-0000-000000000000}"/>
  <bookViews>
    <workbookView xWindow="-120" yWindow="-120" windowWidth="20640" windowHeight="1116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r:id="rId10"/>
    <sheet name="PENGANGKUT" sheetId="149" state="hidden" r:id="rId11"/>
    <sheet name="UPIXT" sheetId="155" state="hidden" r:id="rId12"/>
    <sheet name="UPIXT_Summary" sheetId="154" state="hidden" r:id="rId13"/>
    <sheet name="Set_Ref" sheetId="130" state="hidden" r:id="rId14"/>
  </sheets>
  <functionGroups builtInGroupCount="19"/>
  <externalReferences>
    <externalReference r:id="rId15"/>
  </externalReferences>
  <definedNames>
    <definedName name="_xlnm._FilterDatabase" localSheetId="9" hidden="1">BAHANBAKU!$A$1:$AX$78</definedName>
    <definedName name="_xlnm._FilterDatabase" localSheetId="8" hidden="1">BARANG!$B$1:$BQ$3</definedName>
    <definedName name="_xlnm._FilterDatabase" localSheetId="10" hidden="1">PENGANGKUT!$A$1:$H$3</definedName>
    <definedName name="_xlnm._FilterDatabase" localSheetId="7" hidden="1">Set_CachDok!$A$1:$D$3</definedName>
    <definedName name="_xlnm._FilterDatabase" localSheetId="13" hidden="1">Set_Ref!$A$5:$C$74</definedName>
    <definedName name="Excel_BuiltIn__FilterDatabase" localSheetId="11">#REF!</definedName>
    <definedName name="Excel_BuiltIn__FilterDatabase" localSheetId="12">#REF!</definedName>
    <definedName name="Excel_BuiltIn__FilterDatabase">#REF!</definedName>
    <definedName name="Excel_BuiltIn__FilterDatabase_1" localSheetId="11">#REF!</definedName>
    <definedName name="Excel_BuiltIn__FilterDatabase_1" localSheetId="12">#REF!</definedName>
    <definedName name="Excel_BuiltIn__FilterDatabase_1">#REF!</definedName>
    <definedName name="Excel_BuiltIn_Print_Area_1" localSheetId="11">#REF!</definedName>
    <definedName name="Excel_BuiltIn_Print_Area_1" localSheetId="12">#REF!</definedName>
    <definedName name="Excel_BuiltIn_Print_Area_1">#REF!</definedName>
    <definedName name="Excel_BuiltIn_Print_Area_2" localSheetId="11">#REF!</definedName>
    <definedName name="Excel_BuiltIn_Print_Area_2" localSheetId="12">#REF!</definedName>
    <definedName name="Excel_BuiltIn_Print_Area_2">#REF!</definedName>
    <definedName name="Excel_BuiltIn_Print_Area_3" localSheetId="11">#REF!</definedName>
    <definedName name="Excel_BuiltIn_Print_Area_3" localSheetId="1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2" i="150" l="1"/>
  <c r="AX14" i="150"/>
  <c r="AX15" i="150"/>
  <c r="AX16" i="150"/>
  <c r="AX17" i="150"/>
  <c r="AX18" i="150"/>
  <c r="AX19" i="150"/>
  <c r="AX20" i="150"/>
  <c r="AX21" i="150"/>
  <c r="AX22" i="150"/>
  <c r="AX23" i="150"/>
  <c r="AX24" i="150"/>
  <c r="AX25" i="150"/>
  <c r="AX26" i="150"/>
  <c r="AX27" i="150"/>
  <c r="AX28" i="150"/>
  <c r="AX29" i="150"/>
  <c r="AX30" i="150"/>
  <c r="AX31" i="150"/>
  <c r="AX32" i="150"/>
  <c r="AX33" i="150"/>
  <c r="AX34" i="150"/>
  <c r="AX35" i="150"/>
  <c r="AX36" i="150"/>
  <c r="AX37" i="150"/>
  <c r="AX38" i="150"/>
  <c r="AX39" i="150"/>
  <c r="AX40" i="150"/>
  <c r="AX41" i="150"/>
  <c r="AX42" i="150"/>
  <c r="AX43" i="150"/>
  <c r="AX44" i="150"/>
  <c r="AX45" i="150"/>
  <c r="AX46" i="150"/>
  <c r="AX47" i="150"/>
  <c r="AX48" i="150"/>
  <c r="AX49" i="150"/>
  <c r="AX50" i="150"/>
  <c r="AX51" i="150"/>
  <c r="AX52" i="150"/>
  <c r="AX53" i="150"/>
  <c r="AX54" i="150"/>
  <c r="AX55" i="150"/>
  <c r="AX56" i="150"/>
  <c r="AX57" i="150"/>
  <c r="AX58" i="150"/>
  <c r="AX59" i="150"/>
  <c r="AX60" i="150"/>
  <c r="AX61" i="150"/>
  <c r="AX62" i="150"/>
  <c r="AX63" i="150"/>
  <c r="AX64" i="150"/>
  <c r="AX65" i="150"/>
  <c r="AX66" i="150"/>
  <c r="AX67" i="150"/>
  <c r="AX68" i="150"/>
  <c r="AX69" i="150"/>
  <c r="AX70" i="150"/>
  <c r="AX71" i="150"/>
  <c r="AX72" i="150"/>
  <c r="AX73" i="150"/>
  <c r="AX74" i="150"/>
  <c r="AX75" i="150"/>
  <c r="AX76" i="150"/>
  <c r="AX77" i="150"/>
  <c r="AX78" i="150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W29" i="150"/>
  <c r="AW30" i="150"/>
  <c r="AW31" i="150"/>
  <c r="AW32" i="150"/>
  <c r="AW33" i="150"/>
  <c r="AW34" i="150"/>
  <c r="AW35" i="150"/>
  <c r="AW36" i="150"/>
  <c r="AW37" i="150"/>
  <c r="AW38" i="150"/>
  <c r="AW39" i="150"/>
  <c r="AW40" i="150"/>
  <c r="AW41" i="150"/>
  <c r="AW42" i="150"/>
  <c r="AW43" i="150"/>
  <c r="AW44" i="150"/>
  <c r="AW45" i="150"/>
  <c r="AW46" i="150"/>
  <c r="AW47" i="150"/>
  <c r="AW48" i="150"/>
  <c r="AW49" i="150"/>
  <c r="AW50" i="150"/>
  <c r="AW51" i="150"/>
  <c r="AW52" i="150"/>
  <c r="AW53" i="150"/>
  <c r="AW54" i="150"/>
  <c r="AW55" i="150"/>
  <c r="AW56" i="150"/>
  <c r="AW57" i="150"/>
  <c r="AW58" i="150"/>
  <c r="AW59" i="150"/>
  <c r="AW60" i="150"/>
  <c r="AW61" i="150"/>
  <c r="AW62" i="150"/>
  <c r="AW63" i="150"/>
  <c r="AW64" i="150"/>
  <c r="AW65" i="150"/>
  <c r="AW66" i="150"/>
  <c r="AW67" i="150"/>
  <c r="AW68" i="150"/>
  <c r="AW69" i="150"/>
  <c r="AW70" i="150"/>
  <c r="AW71" i="150"/>
  <c r="AW72" i="150"/>
  <c r="AW73" i="150"/>
  <c r="AW74" i="150"/>
  <c r="AW75" i="150"/>
  <c r="AW76" i="150"/>
  <c r="AW77" i="150"/>
  <c r="AW78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V29" i="150"/>
  <c r="AV30" i="150"/>
  <c r="AV31" i="150"/>
  <c r="AV32" i="150"/>
  <c r="AV33" i="150"/>
  <c r="AV34" i="150"/>
  <c r="AV35" i="150"/>
  <c r="AV36" i="150"/>
  <c r="AV37" i="150"/>
  <c r="AV38" i="150"/>
  <c r="AV39" i="150"/>
  <c r="AV40" i="150"/>
  <c r="AV41" i="150"/>
  <c r="AV42" i="150"/>
  <c r="AV43" i="150"/>
  <c r="AV44" i="150"/>
  <c r="AV45" i="150"/>
  <c r="AV46" i="150"/>
  <c r="AV47" i="150"/>
  <c r="AV48" i="150"/>
  <c r="AV49" i="150"/>
  <c r="AV50" i="150"/>
  <c r="AV51" i="150"/>
  <c r="AV52" i="150"/>
  <c r="AV53" i="150"/>
  <c r="AV54" i="150"/>
  <c r="AV55" i="150"/>
  <c r="AV56" i="150"/>
  <c r="AV57" i="150"/>
  <c r="AV58" i="150"/>
  <c r="AV59" i="150"/>
  <c r="AV60" i="150"/>
  <c r="AV61" i="150"/>
  <c r="AV62" i="150"/>
  <c r="AV63" i="150"/>
  <c r="AV64" i="150"/>
  <c r="AV65" i="150"/>
  <c r="AV66" i="150"/>
  <c r="AV67" i="150"/>
  <c r="AV68" i="150"/>
  <c r="AV69" i="150"/>
  <c r="AV70" i="150"/>
  <c r="AV71" i="150"/>
  <c r="AV72" i="150"/>
  <c r="AV73" i="150"/>
  <c r="AV74" i="150"/>
  <c r="AV75" i="150"/>
  <c r="AV76" i="150"/>
  <c r="AV77" i="150"/>
  <c r="AV78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U29" i="150"/>
  <c r="AU30" i="150"/>
  <c r="AU31" i="150"/>
  <c r="AU32" i="150"/>
  <c r="AU33" i="150"/>
  <c r="AU34" i="150"/>
  <c r="AU35" i="150"/>
  <c r="AU36" i="150"/>
  <c r="AU37" i="150"/>
  <c r="AU38" i="150"/>
  <c r="AU39" i="150"/>
  <c r="AU40" i="150"/>
  <c r="AU41" i="150"/>
  <c r="AU42" i="150"/>
  <c r="AU43" i="150"/>
  <c r="AU44" i="150"/>
  <c r="AU45" i="150"/>
  <c r="AU46" i="150"/>
  <c r="AU47" i="150"/>
  <c r="AU48" i="150"/>
  <c r="AU49" i="150"/>
  <c r="AU50" i="150"/>
  <c r="AU51" i="150"/>
  <c r="AU52" i="150"/>
  <c r="AU53" i="150"/>
  <c r="AU54" i="150"/>
  <c r="AU55" i="150"/>
  <c r="AU56" i="150"/>
  <c r="AU57" i="150"/>
  <c r="AU58" i="150"/>
  <c r="AU59" i="150"/>
  <c r="AU60" i="150"/>
  <c r="AU61" i="150"/>
  <c r="AU62" i="150"/>
  <c r="AU63" i="150"/>
  <c r="AU64" i="150"/>
  <c r="AU65" i="150"/>
  <c r="AU66" i="150"/>
  <c r="AU67" i="150"/>
  <c r="AU68" i="150"/>
  <c r="AU69" i="150"/>
  <c r="AU70" i="150"/>
  <c r="AU71" i="150"/>
  <c r="AU72" i="150"/>
  <c r="AU73" i="150"/>
  <c r="AU74" i="150"/>
  <c r="AU75" i="150"/>
  <c r="AU76" i="150"/>
  <c r="AU77" i="150"/>
  <c r="AU78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T29" i="150"/>
  <c r="AT30" i="150"/>
  <c r="AT31" i="150"/>
  <c r="AT32" i="150"/>
  <c r="AT33" i="150"/>
  <c r="AT34" i="150"/>
  <c r="AT35" i="150"/>
  <c r="AT36" i="150"/>
  <c r="AT37" i="150"/>
  <c r="AT38" i="150"/>
  <c r="AT39" i="150"/>
  <c r="AT40" i="150"/>
  <c r="AT41" i="150"/>
  <c r="AT42" i="150"/>
  <c r="AT43" i="150"/>
  <c r="AT44" i="150"/>
  <c r="AT45" i="150"/>
  <c r="AT46" i="150"/>
  <c r="AT47" i="150"/>
  <c r="AT48" i="150"/>
  <c r="AT49" i="150"/>
  <c r="AT50" i="150"/>
  <c r="AT51" i="150"/>
  <c r="AT52" i="150"/>
  <c r="AT53" i="150"/>
  <c r="AT54" i="150"/>
  <c r="AT55" i="150"/>
  <c r="AT56" i="150"/>
  <c r="AT57" i="150"/>
  <c r="AT58" i="150"/>
  <c r="AT59" i="150"/>
  <c r="AT60" i="150"/>
  <c r="AT61" i="150"/>
  <c r="AT62" i="150"/>
  <c r="AT63" i="150"/>
  <c r="AT64" i="150"/>
  <c r="AT65" i="150"/>
  <c r="AT66" i="150"/>
  <c r="AT67" i="150"/>
  <c r="AT68" i="150"/>
  <c r="AT69" i="150"/>
  <c r="AT70" i="150"/>
  <c r="AT71" i="150"/>
  <c r="AT72" i="150"/>
  <c r="AT73" i="150"/>
  <c r="AT74" i="150"/>
  <c r="AT75" i="150"/>
  <c r="AT76" i="150"/>
  <c r="AT77" i="150"/>
  <c r="AT78" i="150"/>
  <c r="AR2" i="150"/>
  <c r="AX2" i="150" s="1"/>
  <c r="AR3" i="150"/>
  <c r="AX3" i="150" s="1"/>
  <c r="AR4" i="150"/>
  <c r="AX4" i="150" s="1"/>
  <c r="AR5" i="150"/>
  <c r="AX5" i="150" s="1"/>
  <c r="AR6" i="150"/>
  <c r="AX6" i="150" s="1"/>
  <c r="AR7" i="150"/>
  <c r="AX7" i="150" s="1"/>
  <c r="AR8" i="150"/>
  <c r="AX8" i="150" s="1"/>
  <c r="AR9" i="150"/>
  <c r="AX9" i="150" s="1"/>
  <c r="AR10" i="150"/>
  <c r="AX10" i="150" s="1"/>
  <c r="AR11" i="150"/>
  <c r="AX11" i="150" s="1"/>
  <c r="AR12" i="150"/>
  <c r="AR13" i="150"/>
  <c r="AX13" i="150" s="1"/>
  <c r="AR14" i="150"/>
  <c r="AR15" i="150"/>
  <c r="AR16" i="150"/>
  <c r="AR17" i="150"/>
  <c r="AR18" i="150"/>
  <c r="AR19" i="150"/>
  <c r="AR20" i="150"/>
  <c r="AR21" i="150"/>
  <c r="AR22" i="150"/>
  <c r="AR23" i="150"/>
  <c r="AR24" i="150"/>
  <c r="AR25" i="150"/>
  <c r="AR26" i="150"/>
  <c r="AR27" i="150"/>
  <c r="AR28" i="150"/>
  <c r="AR29" i="150"/>
  <c r="AR30" i="150"/>
  <c r="AR31" i="150"/>
  <c r="AR32" i="150"/>
  <c r="AR33" i="150"/>
  <c r="AR34" i="150"/>
  <c r="AR35" i="150"/>
  <c r="AR36" i="150"/>
  <c r="AR37" i="150"/>
  <c r="AR38" i="150"/>
  <c r="AR39" i="150"/>
  <c r="AR40" i="150"/>
  <c r="AR41" i="150"/>
  <c r="AR42" i="150"/>
  <c r="AR43" i="150"/>
  <c r="AR44" i="150"/>
  <c r="AR45" i="150"/>
  <c r="AR46" i="150"/>
  <c r="AR47" i="150"/>
  <c r="AR48" i="150"/>
  <c r="AR49" i="150"/>
  <c r="AR50" i="150"/>
  <c r="AR51" i="150"/>
  <c r="AR52" i="150"/>
  <c r="AR53" i="150"/>
  <c r="AR54" i="150"/>
  <c r="AR55" i="150"/>
  <c r="AR56" i="150"/>
  <c r="AR57" i="150"/>
  <c r="AR58" i="150"/>
  <c r="AR59" i="150"/>
  <c r="AR60" i="150"/>
  <c r="AR61" i="150"/>
  <c r="AR62" i="150"/>
  <c r="AR63" i="150"/>
  <c r="AR64" i="150"/>
  <c r="AR65" i="150"/>
  <c r="AR66" i="150"/>
  <c r="AR67" i="150"/>
  <c r="AR68" i="150"/>
  <c r="AR69" i="150"/>
  <c r="AR70" i="150"/>
  <c r="AR71" i="150"/>
  <c r="AR72" i="150"/>
  <c r="AR73" i="150"/>
  <c r="AR74" i="150"/>
  <c r="AR75" i="150"/>
  <c r="AR76" i="150"/>
  <c r="AR77" i="150"/>
  <c r="AR78" i="150"/>
  <c r="C1" i="154" l="1"/>
  <c r="B16" i="129" l="1"/>
  <c r="C6" i="139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<sst xmlns="http://schemas.openxmlformats.org/spreadsheetml/2006/main" count="1423" uniqueCount="469">
  <si>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</si>
  <si>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</si>
  <si>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</si>
  <si>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</si>
  <si>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</si>
  <si>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</si>
  <si>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</si>
  <si>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</si>
  <si>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</si>
  <si>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</si>
  <si>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</si>
  <si>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</si>
  <si>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</si>
  <si>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</si>
  <si>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</si>
  <si>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</si>
  <si>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</si>
  <si>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</si>
  <si>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</si>
  <si>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</si>
  <si>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</si>
  <si>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</si>
  <si>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</si>
  <si>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</si>
  <si>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</si>
  <si>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</si>
  <si>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</si>
  <si>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</si>
  <si>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</si>
  <si>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</si>
  <si>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</si>
  <si>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</si>
  <si>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</si>
  <si>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</si>
  <si>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</si>
  <si>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</si>
  <si>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</si>
  <si>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</si>
  <si>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</si>
  <si>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</si>
  <si>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</si>
  <si>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</si>
  <si>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</si>
  <si>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</si>
  <si>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</si>
  <si>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</si>
  <si>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</si>
  <si>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</si>
  <si>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</si>
  <si>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</si>
  <si>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</si>
  <si>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</si>
  <si>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</si>
  <si>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</si>
  <si>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</si>
  <si>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</si>
  <si>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</si>
  <si>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</si>
  <si>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</si>
  <si>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</si>
  <si>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</si>
  <si>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</si>
  <si>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</si>
  <si>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</si>
  <si>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</si>
  <si>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</si>
  <si>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</si>
  <si>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</si>
  <si>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</si>
  <si>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</si>
  <si>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</si>
  <si>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</si>
  <si>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</si>
  <si>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</si>
  <si>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</si>
  <si>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</si>
  <si>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</si>
  <si>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</si>
  <si>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</si>
  <si>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</si>
  <si>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</si>
  <si>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</si>
  <si>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</si>
  <si>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</si>
  <si>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</si>
  <si>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</si>
  <si>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</si>
  <si>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</si>
  <si>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</si>
  <si>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</si>
  <si>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</si>
  <si>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</si>
  <si>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</si>
  <si>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</si>
  <si>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</si>
  <si>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</si>
  <si>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</si>
  <si>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</si>
  <si>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</si>
  <si>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</si>
  <si>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</si>
  <si>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</si>
  <si>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</si>
  <si>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</si>
  <si>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</si>
  <si>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</si>
  <si>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</si>
  <si>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</si>
  <si>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</si>
  <si>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</si>
  <si>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</si>
  <si>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</si>
  <si>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</si>
  <si>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</si>
  <si>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</si>
  <si>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</si>
  <si>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</si>
  <si>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</si>
  <si>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</si>
  <si>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</si>
  <si>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</si>
  <si>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</si>
  <si>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</si>
  <si>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</si>
  <si>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</si>
  <si>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</si>
  <si>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</si>
  <si>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</si>
  <si>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</si>
  <si>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</si>
  <si>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</si>
  <si>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</si>
  <si>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</si>
  <si>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</si>
  <si>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</si>
  <si>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</si>
  <si>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</si>
  <si>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</si>
  <si>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</si>
  <si>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</si>
  <si>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</si>
  <si>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</si>
  <si>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</si>
  <si>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</si>
  <si>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</si>
  <si>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</si>
  <si>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</si>
  <si>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</si>
  <si>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</si>
  <si>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</si>
  <si>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</si>
  <si>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</si>
  <si>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</si>
  <si>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</si>
  <si>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</si>
  <si>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</si>
  <si>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</si>
  <si>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</si>
  <si>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</si>
  <si>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</si>
  <si>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</si>
  <si>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</si>
  <si>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</si>
  <si>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</si>
  <si>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</si>
  <si>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</si>
  <si>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</si>
  <si>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</si>
  <si>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</si>
  <si>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</si>
  <si>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</si>
  <si>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</si>
  <si>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</si>
  <si>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</si>
  <si>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</si>
  <si>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</si>
  <si>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</si>
  <si>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</si>
  <si>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</si>
  <si>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</si>
  <si>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</si>
  <si>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</si>
  <si>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</si>
  <si>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</si>
  <si>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</si>
  <si>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</si>
  <si>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</si>
  <si>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</si>
  <si>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</si>
  <si>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</si>
  <si>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</si>
  <si>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</si>
  <si>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</si>
  <si>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</si>
  <si>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</si>
  <si>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</si>
  <si>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</si>
  <si>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</si>
  <si>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</si>
  <si>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</si>
  <si>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</si>
  <si>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</si>
  <si>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</si>
  <si>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</si>
  <si>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</si>
  <si>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</si>
  <si>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</si>
  <si>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</si>
  <si>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</si>
  <si>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</si>
  <si>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</si>
  <si>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</si>
  <si>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</si>
  <si>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</si>
  <si>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</si>
  <si>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</si>
  <si>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</si>
  <si>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</si>
  <si>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</si>
  <si>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</si>
  <si>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</si>
  <si>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</si>
  <si>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</si>
  <si>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</si>
  <si>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</si>
  <si>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</si>
  <si>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</si>
  <si>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</si>
  <si>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</si>
  <si>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</si>
  <si>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</si>
  <si>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</si>
  <si>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</si>
  <si>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</si>
  <si>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</si>
  <si>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</si>
  <si>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</si>
  <si>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</si>
  <si>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</si>
  <si>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</si>
  <si>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</si>
  <si>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</si>
  <si>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</si>
  <si>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</si>
  <si>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</si>
  <si>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</si>
  <si>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</si>
  <si>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</si>
  <si>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</si>
  <si>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</si>
  <si>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</si>
  <si>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</si>
  <si>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</si>
  <si>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</si>
  <si>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</si>
  <si>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</si>
  <si>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</si>
  <si>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</si>
  <si>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</si>
  <si>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</si>
  <si>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</si>
  <si>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</si>
  <si>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</si>
  <si>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</si>
  <si>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</si>
  <si>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</si>
  <si>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</si>
  <si>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</si>
  <si>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</si>
  <si>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</si>
  <si>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</si>
  <si>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</si>
  <si>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</si>
  <si>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</si>
  <si>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</si>
  <si>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</si>
  <si>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</si>
  <si>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</si>
  <si>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</si>
  <si>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</si>
  <si>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</si>
  <si>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</si>
  <si>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</si>
  <si>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</si>
  <si>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TPB atau tidak?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</si>
  <si>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</si>
  <si>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</si>
  <si>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</si>
  <si>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&lt;= 0</t>
    </r>
  </si>
  <si>
    <t>VALIDASI1 (Detail Barang)</t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</si>
  <si>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</si>
  <si>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</si>
  <si>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</si>
  <si>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</si>
  <si>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</si>
  <si>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</si>
  <si>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</si>
  <si>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</si>
  <si>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</si>
  <si>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C:\Users\fandriyani\Downloads\00004131560820231215000019.xlsx</t>
  </si>
  <si>
    <t>X:\path file\MACRO_RPA - Pembuatan Dokumen di CEISA 4.0\BC 41\TEMPLATE INV-PL BC.41.xlsx</t>
  </si>
  <si>
    <t>00004131560820231215000019</t>
  </si>
  <si>
    <t>BUDDHA TZU CHI MEDIKA INDONESIA</t>
  </si>
  <si>
    <t>005/GGI/01/XII/2023</t>
  </si>
  <si>
    <t>2023-12-14</t>
  </si>
  <si>
    <t>SHOE COVER</t>
  </si>
  <si>
    <t>HAZMAT PP (COVER ALL SUIT)</t>
  </si>
  <si>
    <t>PO:8100028127</t>
  </si>
  <si>
    <t>2020-04-11</t>
  </si>
  <si>
    <t>2020-09-11</t>
  </si>
  <si>
    <t>2020-01-12</t>
  </si>
  <si>
    <t>10/30/2020</t>
  </si>
  <si>
    <t>10/26/2020</t>
  </si>
  <si>
    <t>08/21/2020</t>
  </si>
  <si>
    <t>09/24/2020</t>
  </si>
  <si>
    <t>2020-05-10</t>
  </si>
  <si>
    <t>10/20/2020</t>
  </si>
  <si>
    <t>2020-05-11</t>
  </si>
  <si>
    <t>11/18/2020</t>
  </si>
  <si>
    <t>2020-07-12</t>
  </si>
  <si>
    <t>2020-07-04</t>
  </si>
  <si>
    <t>02/26/2021</t>
  </si>
  <si>
    <t>2021-08-03</t>
  </si>
  <si>
    <t>2020-02-06</t>
  </si>
  <si>
    <t>10/19/2020</t>
  </si>
  <si>
    <t>10/28/2020</t>
  </si>
  <si>
    <t>09/13/2022</t>
  </si>
  <si>
    <t>05/26/2020</t>
  </si>
  <si>
    <t>11/17/2020</t>
  </si>
  <si>
    <t>11/24/2020</t>
  </si>
  <si>
    <t>2020-02-12</t>
  </si>
  <si>
    <t>12/17/2020</t>
  </si>
  <si>
    <t>09/22/2020</t>
  </si>
  <si>
    <t>11/19/2020</t>
  </si>
  <si>
    <t>11/16/2020</t>
  </si>
  <si>
    <t>07/15/2021</t>
  </si>
  <si>
    <t>07/16/2021</t>
  </si>
  <si>
    <t>11/29/2021</t>
  </si>
  <si>
    <t>03/15/2022</t>
  </si>
  <si>
    <t>07/18/2022</t>
  </si>
  <si>
    <t>2022-11-08</t>
  </si>
  <si>
    <t>2022-05-09</t>
  </si>
  <si>
    <t>2022-07-09</t>
  </si>
  <si>
    <t>2022-12-09</t>
  </si>
  <si>
    <t>09/19/2022</t>
  </si>
  <si>
    <t>04/14/2022</t>
  </si>
  <si>
    <t>2020-08-12</t>
  </si>
  <si>
    <t>2020-11-12</t>
  </si>
  <si>
    <t>12/22/2020</t>
  </si>
  <si>
    <t>2020-11-11</t>
  </si>
  <si>
    <t>04/19/2021</t>
  </si>
  <si>
    <t>2021-11-02</t>
  </si>
  <si>
    <t>BREATHABLE PROTECTIV NON WOVEN - CW200CM,78 3/4,60G,W2,L500,WHT</t>
  </si>
  <si>
    <t>BREATHABLE PROTECTIV NON WOVENCW200CM,78 3/4,60G,W2,L500,WHT</t>
  </si>
  <si>
    <t>THREAD,CAP GAJAH@5000YD499, 40/2</t>
  </si>
  <si>
    <t>ZIPPER, NILON COIL #3 WHITES/M : 75 CM</t>
  </si>
  <si>
    <t>ZIPPER, NILON COIL #3 WHITEL/XL : 77 CM</t>
  </si>
  <si>
    <t>ELASTIC 12MMWHITE</t>
  </si>
  <si>
    <t>ELASTIC ART#K22150 3MM</t>
  </si>
  <si>
    <t>ELASTIC ART#K22150 3MM-WHITE</t>
  </si>
  <si>
    <t>ELASTIC ART#K22150 3MMWHITE</t>
  </si>
  <si>
    <t>SINGLE WALL LAYER36CM X 16CM</t>
  </si>
  <si>
    <t>SINGLE WALL LAYER 36CM X 16CM</t>
  </si>
  <si>
    <t>SINGLE WALL LAYER</t>
  </si>
  <si>
    <t>BLISTER BAG, PE66CM X 45CM X 110CM</t>
  </si>
  <si>
    <t>STICKER LOGOG SHIELD</t>
  </si>
  <si>
    <t>STICKER LOGO G SHIELD</t>
  </si>
  <si>
    <t>POLYBAG</t>
  </si>
  <si>
    <t>INDIVIDUAL POLYBAG42(O)CM X 40CM+PRINT INDONESIA</t>
  </si>
  <si>
    <t>INDIVIDUAL POLYBAG</t>
  </si>
  <si>
    <t>CARTON BOX G-SHIELD52 X 34.5 X31CM+PRIN INDONESIA</t>
  </si>
  <si>
    <t>CARTON BOX G-SHIELD  X 34.5 X31CM+PRIN INDONESIA</t>
  </si>
  <si>
    <t>CARTON BOX G-SHIELD 52 X 34.5 X31CM+PRIN INDONESIA</t>
  </si>
  <si>
    <t>POLYBAG BLISTERBAG 0.04MM90 X 90 CM</t>
  </si>
  <si>
    <t>STICKER SIZESIZE XXL</t>
  </si>
  <si>
    <t>DOUBLE TAPE 2.5 CMWHITE</t>
  </si>
  <si>
    <t>DOUBLE TAPE 2.5 CM WHITE</t>
  </si>
  <si>
    <t>INDIVIDUAL POLYBAG DTM 42 X 45 CM + PRINT INDONESIA</t>
  </si>
  <si>
    <t>LAKBAN BENING</t>
  </si>
  <si>
    <t>ELASTIC ART#K22150 3MM - WHITE</t>
  </si>
  <si>
    <t>POLYBAG POLOSUK. 30 (O) X 39 CM</t>
  </si>
  <si>
    <t>LAKBAN BENING2"</t>
  </si>
  <si>
    <t>2020-10-30</t>
  </si>
  <si>
    <t>2020-10-26</t>
  </si>
  <si>
    <t>2020-08-21</t>
  </si>
  <si>
    <t>2020-09-24</t>
  </si>
  <si>
    <t>2020-10-20</t>
  </si>
  <si>
    <t>2020-11-18</t>
  </si>
  <si>
    <t>2021-02-26</t>
  </si>
  <si>
    <t>2020-10-19</t>
  </si>
  <si>
    <t>2020-10-28</t>
  </si>
  <si>
    <t>2022-09-13</t>
  </si>
  <si>
    <t>2020-05-26</t>
  </si>
  <si>
    <t>2020-11-17</t>
  </si>
  <si>
    <t>2020-11-24</t>
  </si>
  <si>
    <t>2020-12-17</t>
  </si>
  <si>
    <t>2020-09-22</t>
  </si>
  <si>
    <t>2020-11-19</t>
  </si>
  <si>
    <t>2020-11-16</t>
  </si>
  <si>
    <t>2021-07-15</t>
  </si>
  <si>
    <t>2021-07-16</t>
  </si>
  <si>
    <t>2021-11-29</t>
  </si>
  <si>
    <t>2022-03-15</t>
  </si>
  <si>
    <t>2022-07-18</t>
  </si>
  <si>
    <t>2022-09-19</t>
  </si>
  <si>
    <t>2022-04-14</t>
  </si>
  <si>
    <t>2020-12-22</t>
  </si>
  <si>
    <t>2021-04-19</t>
  </si>
  <si>
    <t>05054000520520201104005966</t>
  </si>
  <si>
    <t>05054000520520201109006028</t>
  </si>
  <si>
    <t>05054000520520201201006467</t>
  </si>
  <si>
    <t>05054000520520201104005976</t>
  </si>
  <si>
    <t>05054000520520201030005909</t>
  </si>
  <si>
    <t>05054000520520201104005984</t>
  </si>
  <si>
    <t>05054000520520201030005910</t>
  </si>
  <si>
    <t>05054000520520201104005985</t>
  </si>
  <si>
    <t>05054000520520201026005859</t>
  </si>
  <si>
    <t>05054000520520200821004542</t>
  </si>
  <si>
    <t>05054000520520200924005154</t>
  </si>
  <si>
    <t>05054000520520201005005359</t>
  </si>
  <si>
    <t>05054000520520201020005747</t>
  </si>
  <si>
    <t>05054000520520201105005995</t>
  </si>
  <si>
    <t>05054000520520201118006253</t>
  </si>
  <si>
    <t>05054000520520201118006256</t>
  </si>
  <si>
    <t>05054000520520201118006262</t>
  </si>
  <si>
    <t>05054000520520201207006546</t>
  </si>
  <si>
    <t>05054000520520201207006548</t>
  </si>
  <si>
    <t>05054000520520200408002240</t>
  </si>
  <si>
    <t>05054000520520210226000802</t>
  </si>
  <si>
    <t>05054000520520210226000803</t>
  </si>
  <si>
    <t>05054000520520210308000980</t>
  </si>
  <si>
    <t>05054000520520200602003104</t>
  </si>
  <si>
    <t>05054000520520201019005724</t>
  </si>
  <si>
    <t>05054000520520201028005885</t>
  </si>
  <si>
    <t>05054000520520220913003682</t>
  </si>
  <si>
    <t>05054000520520200526003058</t>
  </si>
  <si>
    <t>05054000520520201117006231</t>
  </si>
  <si>
    <t>05054000520520201124006336</t>
  </si>
  <si>
    <t>05054000520520201202006482</t>
  </si>
  <si>
    <t>05054000520520201217006750</t>
  </si>
  <si>
    <t>05054000520520200922005098</t>
  </si>
  <si>
    <t>05054000520520201109006032</t>
  </si>
  <si>
    <t>05054000520520201119006268</t>
  </si>
  <si>
    <t>05054000520520201116006180</t>
  </si>
  <si>
    <t>05054000520520201116006182</t>
  </si>
  <si>
    <t>05054000520520201116006184</t>
  </si>
  <si>
    <t>05054000520520210715003442</t>
  </si>
  <si>
    <t>05054000520520210716003462</t>
  </si>
  <si>
    <t>05054000520520211129006156</t>
  </si>
  <si>
    <t>05054000520520220315001091</t>
  </si>
  <si>
    <t>05054000520520220718002641</t>
  </si>
  <si>
    <t>05054000520520220811003168</t>
  </si>
  <si>
    <t>05054000520520220905003534</t>
  </si>
  <si>
    <t>05054000520520220907003577</t>
  </si>
  <si>
    <t>05054000520520220912003647</t>
  </si>
  <si>
    <t>05054000520520220919003756</t>
  </si>
  <si>
    <t>05054000520520220919003757</t>
  </si>
  <si>
    <t>05054000520520220414001519</t>
  </si>
  <si>
    <t>05054000520520201208006586</t>
  </si>
  <si>
    <t>05054000520520201211006642</t>
  </si>
  <si>
    <t>05054000520520201222006815</t>
  </si>
  <si>
    <t>05054000520520201111006099</t>
  </si>
  <si>
    <t>05054000520520210419002010</t>
  </si>
  <si>
    <t>05054000520520210419002008</t>
  </si>
  <si>
    <t>05054000520520210211000516</t>
  </si>
  <si>
    <t>\\10.8.0.35\Bersama\DATA SHARING PART 2\INVOICE LOKAL\2023\12. DESEMBER\1201\005 XII YAYASAN BUDDHA TZU CHI\BACKUP\BACKUP Macro Resume Asal Bahan Baku - 13 DESEMBER 2023 - Copy - Copy.xlsm</t>
  </si>
  <si>
    <t>STICKER SIZE &amp; CARE</t>
  </si>
  <si>
    <t>A3 LOGO PERTAMINA</t>
  </si>
  <si>
    <t>STICKER KODE PRODUK POLYBAG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</si>
</sst>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9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6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79"/>
      <c r="B5" s="79"/>
      <c r="C5" s="79"/>
      <c r="D5" s="79"/>
      <c r="E5" s="79"/>
      <c r="F5" s="79"/>
      <c r="G5" s="79"/>
      <c r="H5" s="47" t="s">
        <v>0</v>
      </c>
      <c r="I5" s="78"/>
      <c r="J5" s="78"/>
      <c r="K5" s="78"/>
      <c r="L5" s="78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77" t="s">
        <v>1</v>
      </c>
      <c r="I8" s="77"/>
      <c r="J8" s="77"/>
      <c r="K8" s="77"/>
      <c r="L8" s="77"/>
      <c r="M8" s="77"/>
    </row>
    <row r="9" spans="1:14" s="52" customFormat="1" ht="76.5" customHeight="1" x14ac:dyDescent="0.25">
      <c r="H9" s="77"/>
      <c r="I9" s="77"/>
      <c r="J9" s="77"/>
      <c r="K9" s="77"/>
      <c r="L9" s="77"/>
      <c r="M9" s="77"/>
    </row>
    <row r="10" spans="1:14" s="52" customFormat="1" x14ac:dyDescent="0.25">
      <c r="H10" s="77"/>
      <c r="I10" s="77"/>
      <c r="J10" s="77"/>
      <c r="K10" s="77"/>
      <c r="L10" s="77"/>
      <c r="M10" s="77"/>
    </row>
    <row r="11" spans="1:14" s="52" customFormat="1" x14ac:dyDescent="0.25">
      <c r="H11" s="77"/>
      <c r="I11" s="77"/>
      <c r="J11" s="77"/>
      <c r="K11" s="77"/>
      <c r="L11" s="77"/>
      <c r="M11" s="77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78"/>
      <c r="I14" s="78"/>
      <c r="J14" s="78"/>
      <c r="K14" s="78"/>
      <c r="L14" s="78"/>
      <c r="M14" s="78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80" t="s">
        <v>99</v>
      </c>
      <c r="B4" s="80"/>
      <c r="C4" s="26" t="s">
        <v>93</v>
      </c>
      <c r="D4" s="81" t="s">
        <v>100</v>
      </c>
      <c r="E4" s="80"/>
      <c r="F4" s="26" t="s">
        <v>93</v>
      </c>
      <c r="G4" s="81" t="s">
        <v>94</v>
      </c>
      <c r="H4" s="80"/>
      <c r="I4" s="26" t="s">
        <v>93</v>
      </c>
      <c r="J4" s="81" t="s">
        <v>101</v>
      </c>
      <c r="K4" s="80"/>
      <c r="L4" s="26" t="s">
        <v>93</v>
      </c>
      <c r="M4" s="81" t="s">
        <v>102</v>
      </c>
      <c r="N4" s="80"/>
      <c r="O4" s="26" t="s">
        <v>93</v>
      </c>
      <c r="P4" s="82" t="s">
        <v>103</v>
      </c>
      <c r="Q4" s="83"/>
      <c r="R4" s="26" t="s">
        <v>93</v>
      </c>
      <c r="S4" s="81" t="s">
        <v>104</v>
      </c>
      <c r="T4" s="80"/>
      <c r="U4" s="26" t="s">
        <v>93</v>
      </c>
      <c r="V4" s="81" t="s">
        <v>105</v>
      </c>
      <c r="W4" s="80"/>
      <c r="X4" s="26" t="s">
        <v>93</v>
      </c>
      <c r="Y4" s="82" t="s">
        <v>106</v>
      </c>
      <c r="Z4" s="83"/>
      <c r="AA4" s="26" t="s">
        <v>93</v>
      </c>
      <c r="AB4" s="81" t="s">
        <v>19</v>
      </c>
      <c r="AC4" s="80"/>
      <c r="AD4" s="26" t="s">
        <v>93</v>
      </c>
      <c r="AE4" s="81" t="s">
        <v>126</v>
      </c>
      <c r="AF4" s="80"/>
      <c r="AG4" s="26" t="s">
        <v>93</v>
      </c>
      <c r="AH4" s="84" t="s">
        <v>107</v>
      </c>
      <c r="AI4" s="85"/>
      <c r="AJ4" s="26" t="s">
        <v>93</v>
      </c>
      <c r="AK4" s="84"/>
      <c r="AL4" s="85"/>
      <c r="AM4" s="86"/>
      <c r="AN4" s="84"/>
      <c r="AO4" s="85"/>
      <c r="AP4" s="86"/>
      <c r="AQ4" s="84"/>
      <c r="AR4" s="85"/>
      <c r="AS4" s="86"/>
      <c r="AT4" s="84"/>
      <c r="AU4" s="85"/>
      <c r="AV4" s="86"/>
      <c r="AW4" s="84"/>
      <c r="AX4" s="85"/>
      <c r="AY4" s="86"/>
      <c r="AZ4" s="88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87"/>
      <c r="AN5" s="22"/>
      <c r="AO5" s="19"/>
      <c r="AP5" s="87"/>
      <c r="AQ5" s="22"/>
      <c r="AR5" s="19"/>
      <c r="AS5" s="87"/>
      <c r="AT5" s="22"/>
      <c r="AU5" s="19"/>
      <c r="AV5" s="87"/>
      <c r="AW5" s="22"/>
      <c r="AX5" s="19"/>
      <c r="AY5" s="87"/>
      <c r="AZ5" s="89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80" t="s">
        <v>111</v>
      </c>
      <c r="B4" s="80"/>
      <c r="C4" s="86" t="s">
        <v>93</v>
      </c>
      <c r="D4" s="81" t="s">
        <v>123</v>
      </c>
      <c r="E4" s="80"/>
      <c r="F4" s="86" t="s">
        <v>93</v>
      </c>
      <c r="G4" s="81" t="s">
        <v>114</v>
      </c>
      <c r="H4" s="80"/>
      <c r="I4" s="86" t="s">
        <v>93</v>
      </c>
      <c r="J4" s="82" t="s">
        <v>113</v>
      </c>
      <c r="K4" s="83"/>
      <c r="L4" s="86" t="s">
        <v>93</v>
      </c>
      <c r="M4" s="81" t="s">
        <v>112</v>
      </c>
      <c r="N4" s="80"/>
      <c r="O4" s="86" t="s">
        <v>93</v>
      </c>
      <c r="P4" s="81" t="s">
        <v>115</v>
      </c>
      <c r="Q4" s="80"/>
      <c r="R4" s="86" t="s">
        <v>93</v>
      </c>
      <c r="S4" s="81" t="s">
        <v>116</v>
      </c>
      <c r="T4" s="80"/>
      <c r="U4" s="86" t="s">
        <v>93</v>
      </c>
      <c r="V4" s="81" t="s">
        <v>119</v>
      </c>
      <c r="W4" s="80"/>
      <c r="X4" s="86" t="s">
        <v>93</v>
      </c>
      <c r="Y4" s="81" t="s">
        <v>120</v>
      </c>
      <c r="Z4" s="80"/>
      <c r="AA4" s="86" t="s">
        <v>93</v>
      </c>
      <c r="AB4" s="82" t="s">
        <v>121</v>
      </c>
      <c r="AC4" s="83"/>
      <c r="AD4" s="86" t="s">
        <v>93</v>
      </c>
      <c r="AE4" s="81" t="s">
        <v>122</v>
      </c>
      <c r="AF4" s="80"/>
      <c r="AG4" s="86" t="s">
        <v>93</v>
      </c>
      <c r="AH4" s="84"/>
      <c r="AI4" s="85"/>
      <c r="AJ4" s="86"/>
      <c r="AK4" s="84"/>
      <c r="AL4" s="85"/>
      <c r="AM4" s="86"/>
      <c r="AN4" s="84"/>
      <c r="AO4" s="85"/>
      <c r="AP4" s="86"/>
      <c r="AQ4" s="84"/>
      <c r="AR4" s="85"/>
      <c r="AS4" s="86"/>
      <c r="AT4" s="84"/>
      <c r="AU4" s="85"/>
      <c r="AV4" s="86"/>
      <c r="AW4" s="84"/>
      <c r="AX4" s="85"/>
      <c r="AY4" s="86"/>
      <c r="AZ4" s="88"/>
      <c r="BA4" s="25"/>
    </row>
    <row r="5" spans="1:53" ht="15.75" x14ac:dyDescent="0.25">
      <c r="A5" s="20" t="s">
        <v>108</v>
      </c>
      <c r="B5" s="19" t="s">
        <v>109</v>
      </c>
      <c r="C5" s="87"/>
      <c r="D5" s="22" t="s">
        <v>108</v>
      </c>
      <c r="E5" s="19" t="s">
        <v>109</v>
      </c>
      <c r="F5" s="87"/>
      <c r="G5" s="22" t="s">
        <v>108</v>
      </c>
      <c r="H5" s="19" t="s">
        <v>109</v>
      </c>
      <c r="I5" s="87"/>
      <c r="J5" s="22" t="s">
        <v>108</v>
      </c>
      <c r="K5" s="19" t="s">
        <v>109</v>
      </c>
      <c r="L5" s="87"/>
      <c r="M5" s="22" t="s">
        <v>108</v>
      </c>
      <c r="N5" s="19" t="s">
        <v>109</v>
      </c>
      <c r="O5" s="87"/>
      <c r="P5" s="21" t="s">
        <v>108</v>
      </c>
      <c r="Q5" s="19" t="s">
        <v>109</v>
      </c>
      <c r="R5" s="87"/>
      <c r="S5" s="21" t="s">
        <v>108</v>
      </c>
      <c r="T5" s="19" t="s">
        <v>109</v>
      </c>
      <c r="U5" s="87"/>
      <c r="V5" s="22" t="s">
        <v>108</v>
      </c>
      <c r="W5" s="19" t="s">
        <v>109</v>
      </c>
      <c r="X5" s="87"/>
      <c r="Y5" s="22" t="s">
        <v>108</v>
      </c>
      <c r="Z5" s="19" t="s">
        <v>109</v>
      </c>
      <c r="AA5" s="87"/>
      <c r="AB5" s="22" t="s">
        <v>108</v>
      </c>
      <c r="AC5" s="19" t="s">
        <v>109</v>
      </c>
      <c r="AD5" s="87"/>
      <c r="AE5" s="22" t="s">
        <v>108</v>
      </c>
      <c r="AF5" s="19" t="s">
        <v>109</v>
      </c>
      <c r="AG5" s="87"/>
      <c r="AH5" s="22"/>
      <c r="AI5" s="19"/>
      <c r="AJ5" s="87"/>
      <c r="AK5" s="22"/>
      <c r="AL5" s="19"/>
      <c r="AM5" s="87"/>
      <c r="AN5" s="22"/>
      <c r="AO5" s="19"/>
      <c r="AP5" s="87"/>
      <c r="AQ5" s="22"/>
      <c r="AR5" s="19"/>
      <c r="AS5" s="87"/>
      <c r="AT5" s="22"/>
      <c r="AU5" s="19"/>
      <c r="AV5" s="87"/>
      <c r="AW5" s="22"/>
      <c r="AX5" s="19"/>
      <c r="AY5" s="87"/>
      <c r="AZ5" s="89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1" t="s">
        <v>131</v>
      </c>
      <c r="B1" s="91"/>
      <c r="C1" s="35">
        <f>COUNTIF(C7:C29,TRUE)</f>
        <v>22</v>
      </c>
      <c r="D1" s="30"/>
      <c r="E1" s="31"/>
      <c r="F1" s="44"/>
    </row>
    <row r="2" spans="1:7" ht="15" customHeight="1" x14ac:dyDescent="0.25">
      <c r="A2" s="91" t="s">
        <v>132</v>
      </c>
      <c r="B2" s="91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2" t="s">
        <v>130</v>
      </c>
      <c r="B3" s="92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0" t="s">
        <v>128</v>
      </c>
      <c r="B6" s="90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0" t="s">
        <v>129</v>
      </c>
      <c r="B19" s="90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5" priority="4" operator="containsText" text="FALSE">
      <formula>NOT(ISERROR(SEARCH("FALSE",C3)))</formula>
    </cfRule>
    <cfRule type="containsText" dxfId="4" priority="5" operator="containsText" text="TRUE">
      <formula>NOT(ISERROR(SEARCH("TRUE",C3)))</formula>
    </cfRule>
  </conditionalFormatting>
  <conditionalFormatting sqref="C7:C18 C20:C29">
    <cfRule type="containsText" dxfId="3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G20"/>
  <sheetViews>
    <sheetView workbookViewId="0">
      <selection activeCell="G6" sqref="G6:G82"/>
    </sheetView>
  </sheetViews>
  <sheetFormatPr defaultRowHeight="15" x14ac:dyDescent="0.25"/>
  <cols>
    <col min="1" max="1" width="26.5703125" bestFit="1" customWidth="1"/>
    <col min="2" max="2" width="65.85546875" customWidth="1"/>
    <col min="3" max="3" width="1.7109375" style="66" bestFit="1" customWidth="1"/>
    <col min="4" max="4" width="16.42578125" customWidth="1"/>
    <col min="5" max="5" width="20.140625" bestFit="1" customWidth="1"/>
    <col min="6" max="6" width="3.28515625" customWidth="1"/>
    <col min="7" max="7" width="17.5703125" customWidth="1"/>
  </cols>
  <sheetData>
    <row r="2" spans="1:7" hidden="1" x14ac:dyDescent="0.25"/>
    <row r="3" spans="1:7" hidden="1" x14ac:dyDescent="0.25"/>
    <row r="5" spans="1:7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</row>
    <row r="6" spans="1:7" x14ac:dyDescent="0.25">
      <c r="A6" t="s">
        <v>17</v>
      </c>
      <c r="B6" t="s">
        <v>299</v>
      </c>
      <c r="C6" s="66" t="s">
        <v>60</v>
      </c>
      <c r="D6" t="s">
        <v>228</v>
      </c>
      <c r="G6">
        <v>170393</v>
      </c>
    </row>
    <row r="7" spans="1:7" x14ac:dyDescent="0.25">
      <c r="A7" t="s">
        <v>166</v>
      </c>
      <c r="B7" t="s">
        <v>300</v>
      </c>
      <c r="C7" s="66" t="s">
        <v>60</v>
      </c>
      <c r="D7" t="s">
        <v>298</v>
      </c>
      <c r="E7" t="s">
        <v>302</v>
      </c>
      <c r="G7">
        <v>170976</v>
      </c>
    </row>
    <row r="8" spans="1:7" x14ac:dyDescent="0.25">
      <c r="A8" t="s">
        <v>61</v>
      </c>
      <c r="B8" s="13" t="s">
        <v>301</v>
      </c>
      <c r="C8" s="66" t="s">
        <v>60</v>
      </c>
    </row>
    <row r="9" spans="1:7" x14ac:dyDescent="0.25">
      <c r="A9" t="s">
        <v>84</v>
      </c>
      <c r="B9">
        <v>1</v>
      </c>
      <c r="C9" s="66" t="s">
        <v>60</v>
      </c>
    </row>
    <row r="10" spans="1:7" x14ac:dyDescent="0.25">
      <c r="A10" t="s">
        <v>289</v>
      </c>
      <c r="B10">
        <v>0</v>
      </c>
      <c r="C10" s="66" t="s">
        <v>60</v>
      </c>
      <c r="E10" s="13"/>
    </row>
    <row r="11" spans="1:7" x14ac:dyDescent="0.25">
      <c r="A11" s="23" t="s">
        <v>292</v>
      </c>
      <c r="B11">
        <v>1</v>
      </c>
      <c r="C11" s="66" t="s">
        <v>60</v>
      </c>
    </row>
    <row r="12" spans="1:7" x14ac:dyDescent="0.25">
      <c r="A12" t="s">
        <v>85</v>
      </c>
      <c r="C12" s="66" t="s">
        <v>60</v>
      </c>
    </row>
    <row r="13" spans="1:7" x14ac:dyDescent="0.25">
      <c r="A13" t="s">
        <v>294</v>
      </c>
      <c r="B13">
        <v>1</v>
      </c>
      <c r="C13" s="66" t="s">
        <v>60</v>
      </c>
    </row>
    <row r="14" spans="1:7" x14ac:dyDescent="0.25">
      <c r="A14" t="s">
        <v>164</v>
      </c>
      <c r="C14" s="66" t="s">
        <v>60</v>
      </c>
    </row>
    <row r="15" spans="1:7" x14ac:dyDescent="0.25">
      <c r="A15" t="s">
        <v>167</v>
      </c>
      <c r="B15" s="13" t="s">
        <v>465</v>
      </c>
      <c r="C15" s="66" t="s">
        <v>60</v>
      </c>
    </row>
    <row r="16" spans="1:7" x14ac:dyDescent="0.25">
      <c r="A16" s="23" t="s">
        <v>290</v>
      </c>
      <c r="B16">
        <f>COUNTIF(BAHANBAKU!$AX$2:$AX$1048576, FALSE)</f>
        <v>76</v>
      </c>
      <c r="C16" s="66" t="s">
        <v>60</v>
      </c>
    </row>
    <row r="17" spans="1:5" x14ac:dyDescent="0.25">
      <c r="A17" s="23" t="s">
        <v>291</v>
      </c>
      <c r="B17">
        <v>1</v>
      </c>
      <c r="C17" s="66" t="s">
        <v>60</v>
      </c>
      <c r="E17" s="13"/>
    </row>
    <row r="18" spans="1:5" x14ac:dyDescent="0.25">
      <c r="A18" t="s">
        <v>293</v>
      </c>
      <c r="B18">
        <v>1</v>
      </c>
      <c r="C18" s="66" t="s">
        <v>60</v>
      </c>
    </row>
    <row r="19" spans="1:5" x14ac:dyDescent="0.25">
      <c r="A19" t="s">
        <v>295</v>
      </c>
      <c r="B19" t="s">
        <v>296</v>
      </c>
      <c r="C19" s="66" t="s">
        <v>60</v>
      </c>
    </row>
    <row r="20" spans="1:5" x14ac:dyDescent="0.25"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B1" workbookViewId="0">
      <selection activeCell="N6" sqref="N6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232</v>
      </c>
    </row>
    <row r="20" spans="1:3" x14ac:dyDescent="0.25">
      <c r="A20" t="s">
        <v>56</v>
      </c>
      <c r="B20" s="4" t="str">
        <f ca="1">"/PSB/GG/" &amp; C20</f>
        <v>/PSB/GG/XII/2023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XII/2023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78"/>
  <sheetViews>
    <sheetView workbookViewId="0">
      <selection activeCell="J2" sqref="J2:J78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55" t="s">
        <v>225</v>
      </c>
      <c r="H1" s="55" t="s">
        <v>224</v>
      </c>
      <c r="I1" s="55" t="s">
        <v>226</v>
      </c>
      <c r="J1" s="58" t="s">
        <v>227</v>
      </c>
    </row>
    <row r="2" spans="1:10" x14ac:dyDescent="0.25">
      <c r="B2" s="63">
        <v>380</v>
      </c>
      <c r="C2" s="5" t="s">
        <v>303</v>
      </c>
      <c r="D2" s="59" t="s">
        <v>304</v>
      </c>
      <c r="H2" s="5">
        <v>40</v>
      </c>
      <c r="I2" s="5">
        <v>97726</v>
      </c>
      <c r="J2" s="59" t="s">
        <v>308</v>
      </c>
    </row>
    <row r="3" spans="1:10" x14ac:dyDescent="0.25">
      <c r="B3" s="63">
        <v>217</v>
      </c>
      <c r="C3" s="5" t="s">
        <v>303</v>
      </c>
      <c r="D3" s="59" t="s">
        <v>304</v>
      </c>
      <c r="H3" s="5">
        <v>40</v>
      </c>
      <c r="I3" s="5">
        <v>98982</v>
      </c>
      <c r="J3" s="59" t="s">
        <v>309</v>
      </c>
    </row>
    <row r="4" spans="1:10" x14ac:dyDescent="0.25">
      <c r="H4" s="5">
        <v>40</v>
      </c>
      <c r="I4" s="5">
        <v>106678</v>
      </c>
      <c r="J4" s="59" t="s">
        <v>310</v>
      </c>
    </row>
    <row r="5" spans="1:10" x14ac:dyDescent="0.25">
      <c r="H5" s="5">
        <v>40</v>
      </c>
      <c r="I5" s="5">
        <v>97861</v>
      </c>
      <c r="J5" s="59" t="s">
        <v>308</v>
      </c>
    </row>
    <row r="6" spans="1:10" x14ac:dyDescent="0.25">
      <c r="H6" s="5">
        <v>40</v>
      </c>
      <c r="I6" s="5">
        <v>96470</v>
      </c>
      <c r="J6" s="59" t="s">
        <v>311</v>
      </c>
    </row>
    <row r="7" spans="1:10" x14ac:dyDescent="0.25">
      <c r="H7" s="5">
        <v>40</v>
      </c>
      <c r="I7" s="5">
        <v>98001</v>
      </c>
      <c r="J7" s="59" t="s">
        <v>308</v>
      </c>
    </row>
    <row r="8" spans="1:10" x14ac:dyDescent="0.25">
      <c r="H8" s="5">
        <v>40</v>
      </c>
      <c r="I8" s="5">
        <v>96474</v>
      </c>
      <c r="J8" s="59" t="s">
        <v>311</v>
      </c>
    </row>
    <row r="9" spans="1:10" x14ac:dyDescent="0.25">
      <c r="H9" s="5">
        <v>40</v>
      </c>
      <c r="I9" s="5">
        <v>98001</v>
      </c>
      <c r="J9" s="59" t="s">
        <v>308</v>
      </c>
    </row>
    <row r="10" spans="1:10" x14ac:dyDescent="0.25">
      <c r="H10" s="5">
        <v>40</v>
      </c>
      <c r="I10" s="5">
        <v>98006</v>
      </c>
      <c r="J10" s="59" t="s">
        <v>308</v>
      </c>
    </row>
    <row r="11" spans="1:10" x14ac:dyDescent="0.25">
      <c r="H11" s="5">
        <v>40</v>
      </c>
      <c r="I11" s="5">
        <v>95222</v>
      </c>
      <c r="J11" s="59" t="s">
        <v>312</v>
      </c>
    </row>
    <row r="12" spans="1:10" x14ac:dyDescent="0.25">
      <c r="H12" s="5">
        <v>40</v>
      </c>
      <c r="I12" s="5">
        <v>74820</v>
      </c>
      <c r="J12" s="59" t="s">
        <v>313</v>
      </c>
    </row>
    <row r="13" spans="1:10" x14ac:dyDescent="0.25">
      <c r="H13" s="5">
        <v>40</v>
      </c>
      <c r="I13" s="5">
        <v>85434</v>
      </c>
      <c r="J13" s="59" t="s">
        <v>314</v>
      </c>
    </row>
    <row r="14" spans="1:10" x14ac:dyDescent="0.25">
      <c r="H14" s="5">
        <v>40</v>
      </c>
      <c r="I14" s="5">
        <v>88282</v>
      </c>
      <c r="J14" s="59" t="s">
        <v>315</v>
      </c>
    </row>
    <row r="15" spans="1:10" x14ac:dyDescent="0.25">
      <c r="H15" s="5">
        <v>40</v>
      </c>
      <c r="I15" s="5">
        <v>93320</v>
      </c>
      <c r="J15" s="59" t="s">
        <v>316</v>
      </c>
    </row>
    <row r="16" spans="1:10" x14ac:dyDescent="0.25">
      <c r="H16" s="5">
        <v>40</v>
      </c>
      <c r="I16" s="5">
        <v>98244</v>
      </c>
      <c r="J16" s="59" t="s">
        <v>317</v>
      </c>
    </row>
    <row r="17" spans="8:10" x14ac:dyDescent="0.25">
      <c r="H17" s="5">
        <v>40</v>
      </c>
      <c r="I17" s="5">
        <v>102335</v>
      </c>
      <c r="J17" s="59" t="s">
        <v>318</v>
      </c>
    </row>
    <row r="18" spans="8:10" x14ac:dyDescent="0.25">
      <c r="H18" s="5">
        <v>40</v>
      </c>
      <c r="I18" s="5">
        <v>102362</v>
      </c>
      <c r="J18" s="59" t="s">
        <v>318</v>
      </c>
    </row>
    <row r="19" spans="8:10" x14ac:dyDescent="0.25">
      <c r="H19" s="5">
        <v>40</v>
      </c>
      <c r="I19" s="5">
        <v>102421</v>
      </c>
      <c r="J19" s="59" t="s">
        <v>318</v>
      </c>
    </row>
    <row r="20" spans="8:10" x14ac:dyDescent="0.25">
      <c r="H20" s="5">
        <v>40</v>
      </c>
      <c r="I20" s="5">
        <v>108476</v>
      </c>
      <c r="J20" s="59" t="s">
        <v>319</v>
      </c>
    </row>
    <row r="21" spans="8:10" x14ac:dyDescent="0.25">
      <c r="H21" s="5">
        <v>40</v>
      </c>
      <c r="I21" s="5">
        <v>108482</v>
      </c>
      <c r="J21" s="59" t="s">
        <v>319</v>
      </c>
    </row>
    <row r="22" spans="8:10" x14ac:dyDescent="0.25">
      <c r="H22" s="5">
        <v>40</v>
      </c>
      <c r="I22" s="5">
        <v>38193</v>
      </c>
      <c r="J22" s="59" t="s">
        <v>320</v>
      </c>
    </row>
    <row r="23" spans="8:10" x14ac:dyDescent="0.25">
      <c r="H23" s="5">
        <v>40</v>
      </c>
      <c r="I23" s="5">
        <v>20825</v>
      </c>
      <c r="J23" s="59" t="s">
        <v>321</v>
      </c>
    </row>
    <row r="24" spans="8:10" x14ac:dyDescent="0.25">
      <c r="H24" s="5">
        <v>40</v>
      </c>
      <c r="I24" s="5">
        <v>20825</v>
      </c>
      <c r="J24" s="59" t="s">
        <v>321</v>
      </c>
    </row>
    <row r="25" spans="8:10" x14ac:dyDescent="0.25">
      <c r="H25" s="5">
        <v>40</v>
      </c>
      <c r="I25" s="5">
        <v>20825</v>
      </c>
      <c r="J25" s="59" t="s">
        <v>321</v>
      </c>
    </row>
    <row r="26" spans="8:10" x14ac:dyDescent="0.25">
      <c r="H26" s="5">
        <v>40</v>
      </c>
      <c r="I26" s="5">
        <v>20825</v>
      </c>
      <c r="J26" s="59" t="s">
        <v>321</v>
      </c>
    </row>
    <row r="27" spans="8:10" x14ac:dyDescent="0.25">
      <c r="H27" s="5">
        <v>40</v>
      </c>
      <c r="I27" s="5">
        <v>20840</v>
      </c>
      <c r="J27" s="59" t="s">
        <v>321</v>
      </c>
    </row>
    <row r="28" spans="8:10" x14ac:dyDescent="0.25">
      <c r="H28" s="5">
        <v>40</v>
      </c>
      <c r="I28" s="5">
        <v>24298</v>
      </c>
      <c r="J28" s="59" t="s">
        <v>322</v>
      </c>
    </row>
    <row r="29" spans="8:10" x14ac:dyDescent="0.25">
      <c r="H29" s="5">
        <v>40</v>
      </c>
      <c r="I29" s="5">
        <v>24298</v>
      </c>
      <c r="J29" s="59" t="s">
        <v>322</v>
      </c>
    </row>
    <row r="30" spans="8:10" x14ac:dyDescent="0.25">
      <c r="H30" s="5">
        <v>40</v>
      </c>
      <c r="I30" s="5">
        <v>24298</v>
      </c>
      <c r="J30" s="59" t="s">
        <v>322</v>
      </c>
    </row>
    <row r="31" spans="8:10" x14ac:dyDescent="0.25">
      <c r="H31" s="5">
        <v>40</v>
      </c>
      <c r="I31" s="5">
        <v>24298</v>
      </c>
      <c r="J31" s="59" t="s">
        <v>322</v>
      </c>
    </row>
    <row r="32" spans="8:10" x14ac:dyDescent="0.25">
      <c r="H32" s="5">
        <v>40</v>
      </c>
      <c r="I32" s="5">
        <v>52032</v>
      </c>
      <c r="J32" s="59" t="s">
        <v>323</v>
      </c>
    </row>
    <row r="33" spans="8:10" x14ac:dyDescent="0.25">
      <c r="H33" s="5">
        <v>40</v>
      </c>
      <c r="I33" s="5">
        <v>92960</v>
      </c>
      <c r="J33" s="59" t="s">
        <v>324</v>
      </c>
    </row>
    <row r="34" spans="8:10" x14ac:dyDescent="0.25">
      <c r="H34" s="5">
        <v>40</v>
      </c>
      <c r="I34" s="5">
        <v>96070</v>
      </c>
      <c r="J34" s="59" t="s">
        <v>325</v>
      </c>
    </row>
    <row r="35" spans="8:10" x14ac:dyDescent="0.25">
      <c r="H35" s="5">
        <v>40</v>
      </c>
      <c r="I35" s="5">
        <v>96070</v>
      </c>
      <c r="J35" s="59" t="s">
        <v>325</v>
      </c>
    </row>
    <row r="36" spans="8:10" x14ac:dyDescent="0.25">
      <c r="H36" s="5">
        <v>40</v>
      </c>
      <c r="I36" s="5">
        <v>52032</v>
      </c>
      <c r="J36" s="59" t="s">
        <v>323</v>
      </c>
    </row>
    <row r="37" spans="8:10" x14ac:dyDescent="0.25">
      <c r="H37" s="5">
        <v>40</v>
      </c>
      <c r="I37" s="5">
        <v>96070</v>
      </c>
      <c r="J37" s="59" t="s">
        <v>325</v>
      </c>
    </row>
    <row r="38" spans="8:10" x14ac:dyDescent="0.25">
      <c r="H38" s="5">
        <v>40</v>
      </c>
      <c r="I38" s="5">
        <v>109069</v>
      </c>
      <c r="J38" s="59" t="s">
        <v>326</v>
      </c>
    </row>
    <row r="39" spans="8:10" x14ac:dyDescent="0.25">
      <c r="H39" s="5">
        <v>40</v>
      </c>
      <c r="I39" s="5">
        <v>50886</v>
      </c>
      <c r="J39" s="59" t="s">
        <v>327</v>
      </c>
    </row>
    <row r="40" spans="8:10" x14ac:dyDescent="0.25">
      <c r="H40" s="5">
        <v>40</v>
      </c>
      <c r="I40" s="5">
        <v>101922</v>
      </c>
      <c r="J40" s="59" t="s">
        <v>328</v>
      </c>
    </row>
    <row r="41" spans="8:10" x14ac:dyDescent="0.25">
      <c r="H41" s="5">
        <v>40</v>
      </c>
      <c r="I41" s="5">
        <v>104256</v>
      </c>
      <c r="J41" s="59" t="s">
        <v>329</v>
      </c>
    </row>
    <row r="42" spans="8:10" x14ac:dyDescent="0.25">
      <c r="H42" s="5">
        <v>40</v>
      </c>
      <c r="I42" s="5">
        <v>107249</v>
      </c>
      <c r="J42" s="59" t="s">
        <v>330</v>
      </c>
    </row>
    <row r="43" spans="8:10" x14ac:dyDescent="0.25">
      <c r="H43" s="5">
        <v>40</v>
      </c>
      <c r="I43" s="5">
        <v>112362</v>
      </c>
      <c r="J43" s="59" t="s">
        <v>331</v>
      </c>
    </row>
    <row r="44" spans="8:10" x14ac:dyDescent="0.25">
      <c r="H44" s="5">
        <v>40</v>
      </c>
      <c r="I44" s="5">
        <v>84562</v>
      </c>
      <c r="J44" s="59" t="s">
        <v>332</v>
      </c>
    </row>
    <row r="45" spans="8:10" x14ac:dyDescent="0.25">
      <c r="H45" s="5">
        <v>40</v>
      </c>
      <c r="I45" s="5">
        <v>99007</v>
      </c>
      <c r="J45" s="59" t="s">
        <v>309</v>
      </c>
    </row>
    <row r="46" spans="8:10" x14ac:dyDescent="0.25">
      <c r="H46" s="5">
        <v>40</v>
      </c>
      <c r="I46" s="5">
        <v>102870</v>
      </c>
      <c r="J46" s="59" t="s">
        <v>333</v>
      </c>
    </row>
    <row r="47" spans="8:10" x14ac:dyDescent="0.25">
      <c r="H47" s="5">
        <v>40</v>
      </c>
      <c r="I47" s="5">
        <v>108476</v>
      </c>
      <c r="J47" s="59" t="s">
        <v>319</v>
      </c>
    </row>
    <row r="48" spans="8:10" x14ac:dyDescent="0.25">
      <c r="H48" s="5">
        <v>40</v>
      </c>
      <c r="I48" s="5">
        <v>108482</v>
      </c>
      <c r="J48" s="59" t="s">
        <v>319</v>
      </c>
    </row>
    <row r="49" spans="8:10" x14ac:dyDescent="0.25">
      <c r="H49" s="5">
        <v>40</v>
      </c>
      <c r="I49" s="5">
        <v>108482</v>
      </c>
      <c r="J49" s="59" t="s">
        <v>319</v>
      </c>
    </row>
    <row r="50" spans="8:10" x14ac:dyDescent="0.25">
      <c r="H50" s="5">
        <v>40</v>
      </c>
      <c r="I50" s="5">
        <v>101304</v>
      </c>
      <c r="J50" s="59" t="s">
        <v>334</v>
      </c>
    </row>
    <row r="51" spans="8:10" x14ac:dyDescent="0.25">
      <c r="H51" s="5">
        <v>40</v>
      </c>
      <c r="I51" s="5">
        <v>101313</v>
      </c>
      <c r="J51" s="59" t="s">
        <v>334</v>
      </c>
    </row>
    <row r="52" spans="8:10" x14ac:dyDescent="0.25">
      <c r="H52" s="5">
        <v>40</v>
      </c>
      <c r="I52" s="5">
        <v>101320</v>
      </c>
      <c r="J52" s="59" t="s">
        <v>334</v>
      </c>
    </row>
    <row r="53" spans="8:10" x14ac:dyDescent="0.25">
      <c r="H53" s="5">
        <v>40</v>
      </c>
      <c r="I53" s="5">
        <v>67108</v>
      </c>
      <c r="J53" s="59" t="s">
        <v>335</v>
      </c>
    </row>
    <row r="54" spans="8:10" x14ac:dyDescent="0.25">
      <c r="H54" s="5">
        <v>40</v>
      </c>
      <c r="I54" s="5">
        <v>67108</v>
      </c>
      <c r="J54" s="59" t="s">
        <v>335</v>
      </c>
    </row>
    <row r="55" spans="8:10" x14ac:dyDescent="0.25">
      <c r="H55" s="5">
        <v>40</v>
      </c>
      <c r="I55" s="5">
        <v>67676</v>
      </c>
      <c r="J55" s="59" t="s">
        <v>336</v>
      </c>
    </row>
    <row r="56" spans="8:10" x14ac:dyDescent="0.25">
      <c r="H56" s="5">
        <v>40</v>
      </c>
      <c r="I56" s="5">
        <v>122479</v>
      </c>
      <c r="J56" s="59" t="s">
        <v>337</v>
      </c>
    </row>
    <row r="57" spans="8:10" x14ac:dyDescent="0.25">
      <c r="H57" s="5">
        <v>40</v>
      </c>
      <c r="I57" s="5">
        <v>34407</v>
      </c>
      <c r="J57" s="59" t="s">
        <v>338</v>
      </c>
    </row>
    <row r="58" spans="8:10" x14ac:dyDescent="0.25">
      <c r="H58" s="5">
        <v>40</v>
      </c>
      <c r="I58" s="5">
        <v>85802</v>
      </c>
      <c r="J58" s="59" t="s">
        <v>339</v>
      </c>
    </row>
    <row r="59" spans="8:10" x14ac:dyDescent="0.25">
      <c r="H59" s="5">
        <v>40</v>
      </c>
      <c r="I59" s="5">
        <v>96297</v>
      </c>
      <c r="J59" s="59" t="s">
        <v>340</v>
      </c>
    </row>
    <row r="60" spans="8:10" x14ac:dyDescent="0.25">
      <c r="H60" s="5">
        <v>40</v>
      </c>
      <c r="I60" s="5">
        <v>105403</v>
      </c>
      <c r="J60" s="59" t="s">
        <v>341</v>
      </c>
    </row>
    <row r="61" spans="8:10" x14ac:dyDescent="0.25">
      <c r="H61" s="5">
        <v>40</v>
      </c>
      <c r="I61" s="5">
        <v>106494</v>
      </c>
      <c r="J61" s="59" t="s">
        <v>342</v>
      </c>
    </row>
    <row r="62" spans="8:10" x14ac:dyDescent="0.25">
      <c r="H62" s="5">
        <v>40</v>
      </c>
      <c r="I62" s="5">
        <v>108542</v>
      </c>
      <c r="J62" s="59" t="s">
        <v>343</v>
      </c>
    </row>
    <row r="63" spans="8:10" x14ac:dyDescent="0.25">
      <c r="H63" s="5">
        <v>40</v>
      </c>
      <c r="I63" s="5">
        <v>111280</v>
      </c>
      <c r="J63" s="59" t="s">
        <v>344</v>
      </c>
    </row>
    <row r="64" spans="8:10" x14ac:dyDescent="0.25">
      <c r="H64" s="5">
        <v>40</v>
      </c>
      <c r="I64" s="5">
        <v>111288</v>
      </c>
      <c r="J64" s="59" t="s">
        <v>344</v>
      </c>
    </row>
    <row r="65" spans="8:10" x14ac:dyDescent="0.25">
      <c r="H65" s="5">
        <v>40</v>
      </c>
      <c r="I65" s="5">
        <v>49934</v>
      </c>
      <c r="J65" s="59" t="s">
        <v>345</v>
      </c>
    </row>
    <row r="66" spans="8:10" x14ac:dyDescent="0.25">
      <c r="H66" s="5">
        <v>40</v>
      </c>
      <c r="I66" s="5">
        <v>108988</v>
      </c>
      <c r="J66" s="59" t="s">
        <v>346</v>
      </c>
    </row>
    <row r="67" spans="8:10" x14ac:dyDescent="0.25">
      <c r="H67" s="5">
        <v>40</v>
      </c>
      <c r="I67" s="5">
        <v>106678</v>
      </c>
      <c r="J67" s="59" t="s">
        <v>310</v>
      </c>
    </row>
    <row r="68" spans="8:10" x14ac:dyDescent="0.25">
      <c r="H68" s="5">
        <v>40</v>
      </c>
      <c r="I68" s="5">
        <v>110182</v>
      </c>
      <c r="J68" s="59" t="s">
        <v>347</v>
      </c>
    </row>
    <row r="69" spans="8:10" x14ac:dyDescent="0.25">
      <c r="H69" s="5">
        <v>40</v>
      </c>
      <c r="I69" s="5">
        <v>113707</v>
      </c>
      <c r="J69" s="59" t="s">
        <v>348</v>
      </c>
    </row>
    <row r="70" spans="8:10" x14ac:dyDescent="0.25">
      <c r="H70" s="5">
        <v>40</v>
      </c>
      <c r="I70" s="5">
        <v>99943</v>
      </c>
      <c r="J70" s="59" t="s">
        <v>349</v>
      </c>
    </row>
    <row r="71" spans="8:10" x14ac:dyDescent="0.25">
      <c r="H71" s="5">
        <v>40</v>
      </c>
      <c r="I71" s="5">
        <v>102335</v>
      </c>
      <c r="J71" s="59" t="s">
        <v>318</v>
      </c>
    </row>
    <row r="72" spans="8:10" x14ac:dyDescent="0.25">
      <c r="H72" s="5">
        <v>40</v>
      </c>
      <c r="I72" s="5">
        <v>108476</v>
      </c>
      <c r="J72" s="59" t="s">
        <v>319</v>
      </c>
    </row>
    <row r="73" spans="8:10" x14ac:dyDescent="0.25">
      <c r="H73" s="5">
        <v>40</v>
      </c>
      <c r="I73" s="5">
        <v>39124</v>
      </c>
      <c r="J73" s="59" t="s">
        <v>350</v>
      </c>
    </row>
    <row r="74" spans="8:10" x14ac:dyDescent="0.25">
      <c r="H74" s="5">
        <v>40</v>
      </c>
      <c r="I74" s="5">
        <v>39124</v>
      </c>
      <c r="J74" s="59" t="s">
        <v>350</v>
      </c>
    </row>
    <row r="75" spans="8:10" x14ac:dyDescent="0.25">
      <c r="H75" s="5">
        <v>40</v>
      </c>
      <c r="I75" s="5">
        <v>39124</v>
      </c>
      <c r="J75" s="59" t="s">
        <v>350</v>
      </c>
    </row>
    <row r="76" spans="8:10" x14ac:dyDescent="0.25">
      <c r="H76" s="5">
        <v>40</v>
      </c>
      <c r="I76" s="5">
        <v>39124</v>
      </c>
      <c r="J76" s="59" t="s">
        <v>350</v>
      </c>
    </row>
    <row r="77" spans="8:10" x14ac:dyDescent="0.25">
      <c r="H77" s="5">
        <v>40</v>
      </c>
      <c r="I77" s="5">
        <v>39069</v>
      </c>
      <c r="J77" s="59" t="s">
        <v>350</v>
      </c>
    </row>
    <row r="78" spans="8:10" x14ac:dyDescent="0.25">
      <c r="H78" s="5">
        <v>40</v>
      </c>
      <c r="I78" s="5">
        <v>15015</v>
      </c>
      <c r="J78" s="59" t="s">
        <v>351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Q3"/>
  <sheetViews>
    <sheetView topLeftCell="Y1" workbookViewId="0">
      <selection activeCell="B2" sqref="B2:BQ3"/>
    </sheetView>
  </sheetViews>
  <sheetFormatPr defaultRowHeight="15" x14ac:dyDescent="0.25"/>
  <cols>
    <col min="1" max="1" width="21.42578125" customWidth="1"/>
    <col min="2" max="2" width="14.28515625" bestFit="1" customWidth="1"/>
    <col min="3" max="3" width="10" customWidth="1"/>
    <col min="4" max="4" width="18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85546875" bestFit="1" customWidth="1"/>
    <col min="68" max="68" width="24.85546875" customWidth="1"/>
    <col min="69" max="69" width="24.140625" bestFit="1" customWidth="1"/>
  </cols>
  <sheetData>
    <row r="1" spans="1:69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</row>
    <row r="2" spans="1:69" x14ac:dyDescent="0.25">
      <c r="B2">
        <v>1</v>
      </c>
      <c r="C2">
        <v>63079090</v>
      </c>
      <c r="D2" t="s">
        <v>307</v>
      </c>
      <c r="E2" t="s">
        <v>305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100</v>
      </c>
      <c r="L2" t="s">
        <v>231</v>
      </c>
      <c r="M2">
        <v>2</v>
      </c>
      <c r="T2">
        <v>12.92</v>
      </c>
      <c r="V2">
        <v>0</v>
      </c>
      <c r="Z2">
        <v>0</v>
      </c>
      <c r="AA2">
        <v>0</v>
      </c>
      <c r="AB2">
        <v>0</v>
      </c>
      <c r="AC2">
        <v>0</v>
      </c>
      <c r="AH2">
        <v>800000</v>
      </c>
      <c r="AI2">
        <v>0</v>
      </c>
      <c r="AK2">
        <v>0</v>
      </c>
      <c r="AM2">
        <v>0</v>
      </c>
      <c r="AN2">
        <v>0</v>
      </c>
      <c r="BJ2">
        <v>0</v>
      </c>
      <c r="BQ2">
        <v>170976</v>
      </c>
    </row>
    <row r="3" spans="1:69" x14ac:dyDescent="0.25">
      <c r="B3">
        <v>2</v>
      </c>
      <c r="C3">
        <v>62101090</v>
      </c>
      <c r="D3" t="s">
        <v>307</v>
      </c>
      <c r="E3" t="s">
        <v>306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100</v>
      </c>
      <c r="L3" t="s">
        <v>231</v>
      </c>
      <c r="M3">
        <v>2</v>
      </c>
      <c r="T3">
        <v>12.92</v>
      </c>
      <c r="V3">
        <v>0</v>
      </c>
      <c r="Z3">
        <v>0</v>
      </c>
      <c r="AA3">
        <v>0</v>
      </c>
      <c r="AB3">
        <v>0</v>
      </c>
      <c r="AC3">
        <v>0</v>
      </c>
      <c r="AH3">
        <v>5200000</v>
      </c>
      <c r="AI3">
        <v>0</v>
      </c>
      <c r="AK3">
        <v>0</v>
      </c>
      <c r="AM3">
        <v>0</v>
      </c>
      <c r="AN3">
        <v>0</v>
      </c>
      <c r="BJ3">
        <v>0</v>
      </c>
      <c r="BQ3">
        <v>170393</v>
      </c>
    </row>
  </sheetData>
  <autoFilter ref="B1:BQ3" xr:uid="{991110D9-2517-4A62-8562-64629BB4B57E}">
    <sortState xmlns:xlrd2="http://schemas.microsoft.com/office/spreadsheetml/2017/richdata2" ref="B2:BQ3">
      <sortCondition ref="B1:B4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AX78"/>
  <sheetViews>
    <sheetView workbookViewId="0">
      <pane xSplit="3" ySplit="1" topLeftCell="E2" activePane="bottomRight" state="frozen"/>
      <selection pane="topRight" activeCell="D1" sqref="D1"/>
      <selection pane="bottomLeft" activeCell="A2" sqref="A2"/>
      <selection pane="bottomRight" activeCell="G9" sqref="G9"/>
    </sheetView>
  </sheetViews>
  <sheetFormatPr defaultRowHeight="15" x14ac:dyDescent="0.25"/>
  <cols>
    <col min="1" max="1" width="28.140625" style="5" customWidth="1"/>
    <col min="2" max="2" width="15.5703125" style="5" customWidth="1"/>
    <col min="3" max="3" width="20" style="5" customWidth="1"/>
    <col min="4" max="4" width="27.42578125" style="5" customWidth="1"/>
    <col min="5" max="5" width="11.140625" style="5" customWidth="1"/>
    <col min="6" max="6" width="16.7109375" style="5" customWidth="1"/>
    <col min="7" max="7" width="67.5703125" style="5" customWidth="1"/>
    <col min="8" max="8" width="7.42578125" style="5" bestFit="1" customWidth="1"/>
    <col min="9" max="9" width="5" style="5" bestFit="1" customWidth="1"/>
    <col min="10" max="10" width="8.85546875" style="5" bestFit="1" customWidth="1"/>
    <col min="11" max="11" width="16.7109375" style="5" bestFit="1" customWidth="1"/>
    <col min="12" max="12" width="15.28515625" style="5" bestFit="1" customWidth="1"/>
    <col min="13" max="13" width="18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1.42578125" style="5" bestFit="1" customWidth="1"/>
    <col min="19" max="19" width="23.140625" style="5" bestFit="1" customWidth="1"/>
    <col min="20" max="20" width="29.85546875" style="5" bestFit="1" customWidth="1"/>
    <col min="21" max="21" width="20" style="5" bestFit="1" customWidth="1"/>
    <col min="22" max="22" width="7.28515625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0.7109375" style="5" bestFit="1" customWidth="1"/>
    <col min="30" max="30" width="10.5703125" style="5" bestFit="1" customWidth="1"/>
    <col min="31" max="31" width="9.5703125" style="5" bestFit="1" customWidth="1"/>
    <col min="32" max="32" width="8.285156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1.285156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1.28515625" style="5" bestFit="1" customWidth="1"/>
    <col min="48" max="48" width="31" style="5" bestFit="1" customWidth="1"/>
    <col min="49" max="49" width="43.85546875" style="5" bestFit="1" customWidth="1"/>
    <col min="50" max="50" width="11.28515625" style="5" customWidth="1"/>
    <col min="51" max="16384" width="9.140625" style="5"/>
  </cols>
  <sheetData>
    <row r="1" spans="1:50" s="72" customFormat="1" ht="15.75" x14ac:dyDescent="0.25">
      <c r="A1" s="74" t="s">
        <v>171</v>
      </c>
      <c r="B1" s="74" t="s">
        <v>99</v>
      </c>
      <c r="C1" s="74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74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75" t="s">
        <v>240</v>
      </c>
      <c r="AR1" s="75" t="s">
        <v>283</v>
      </c>
      <c r="AS1" s="75" t="s">
        <v>284</v>
      </c>
      <c r="AT1" s="75" t="s">
        <v>285</v>
      </c>
      <c r="AU1" s="76" t="s">
        <v>286</v>
      </c>
      <c r="AV1" s="75" t="s">
        <v>287</v>
      </c>
      <c r="AW1" s="75" t="s">
        <v>288</v>
      </c>
      <c r="AX1" s="76" t="s">
        <v>282</v>
      </c>
    </row>
    <row r="2" spans="1:50" x14ac:dyDescent="0.25">
      <c r="A2" s="13" t="s">
        <v>301</v>
      </c>
      <c r="B2" s="5">
        <v>2</v>
      </c>
      <c r="C2" s="5">
        <v>1</v>
      </c>
      <c r="D2" s="5">
        <v>1</v>
      </c>
      <c r="F2" s="5">
        <v>265051</v>
      </c>
      <c r="G2" s="5" t="s">
        <v>352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13</v>
      </c>
      <c r="M2" s="5">
        <v>181.23</v>
      </c>
      <c r="P2" s="5">
        <v>40</v>
      </c>
      <c r="Q2" s="5" t="s">
        <v>80</v>
      </c>
      <c r="R2" s="5">
        <v>97726</v>
      </c>
      <c r="S2" s="59" t="s">
        <v>308</v>
      </c>
      <c r="T2" s="67" t="s">
        <v>408</v>
      </c>
      <c r="V2" s="5">
        <v>0</v>
      </c>
      <c r="Y2" s="5">
        <v>0</v>
      </c>
      <c r="Z2" s="5">
        <v>0</v>
      </c>
      <c r="AA2" s="5">
        <v>0</v>
      </c>
      <c r="AB2" s="5">
        <v>2120391</v>
      </c>
      <c r="AC2" s="5">
        <v>0</v>
      </c>
      <c r="AD2" s="5">
        <v>0</v>
      </c>
      <c r="AE2" s="5">
        <v>0</v>
      </c>
      <c r="AQ2" s="5">
        <v>170393</v>
      </c>
      <c r="AR2" s="5" t="b">
        <f t="shared" ref="AR2:AR33" si="0">IF(OR(A2="",B2="",C2="",C2=0,D2="",E2="",F2="",G2="",L2="",M2="",P2="",Q2="",R2="",S2="",T2="",AB2="",AQ2=""),FALSE,TRUE)</f>
        <v>0</v>
      </c>
      <c r="AS2" s="5" t="b">
        <v>1</v>
      </c>
      <c r="AT2" s="5" t="b">
        <f t="shared" ref="AT2:AT33" si="1">IFERROR(IF(M2&lt;=0,FALSE,TRUE),FALSE)</f>
        <v>1</v>
      </c>
      <c r="AU2" s="5" t="b">
        <f t="shared" ref="AU2:AU33" si="2">IF(OR(P2=40,P2="40"),TRUE,FALSE)</f>
        <v>1</v>
      </c>
      <c r="AV2" s="5" t="b">
        <f>Q2=Set_Def!$B$6</f>
        <v>1</v>
      </c>
      <c r="AW2" s="5" t="b">
        <f t="shared" ref="AW2:AW33" si="3">IFERROR(IF(AB2&lt;=0,FALSE,TRUE),FALSE)</f>
        <v>1</v>
      </c>
      <c r="AX2" s="5" t="b">
        <f t="shared" ref="AX2:AX33" si="4">IF(OR(AR2=FALSE,AS2=FALSE,AT2=FALSE,AU2=FALSE,AV2=FALSE,AW2=FALSE),FALSE,TRUE)</f>
        <v>0</v>
      </c>
    </row>
    <row r="3" spans="1:50" x14ac:dyDescent="0.25">
      <c r="A3" s="13" t="s">
        <v>301</v>
      </c>
      <c r="B3" s="5">
        <v>2</v>
      </c>
      <c r="C3" s="5">
        <v>1</v>
      </c>
      <c r="D3" s="5">
        <v>1</v>
      </c>
      <c r="F3" s="5">
        <v>265051</v>
      </c>
      <c r="G3" s="5" t="s">
        <v>353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13</v>
      </c>
      <c r="M3" s="5">
        <v>0</v>
      </c>
      <c r="P3" s="5">
        <v>40</v>
      </c>
      <c r="Q3" s="5" t="s">
        <v>80</v>
      </c>
      <c r="R3" s="5">
        <v>98982</v>
      </c>
      <c r="S3" s="59" t="s">
        <v>309</v>
      </c>
      <c r="T3" s="59" t="s">
        <v>409</v>
      </c>
      <c r="V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Q3" s="5">
        <v>170393</v>
      </c>
      <c r="AR3" s="5" t="b">
        <f t="shared" si="0"/>
        <v>0</v>
      </c>
      <c r="AS3" s="5" t="b">
        <v>1</v>
      </c>
      <c r="AT3" s="5" t="b">
        <f t="shared" si="1"/>
        <v>0</v>
      </c>
      <c r="AU3" s="5" t="b">
        <f t="shared" si="2"/>
        <v>1</v>
      </c>
      <c r="AV3" s="5" t="b">
        <f>Q3=Set_Def!$B$6</f>
        <v>1</v>
      </c>
      <c r="AW3" s="5" t="b">
        <f t="shared" si="3"/>
        <v>0</v>
      </c>
      <c r="AX3" s="5" t="b">
        <f t="shared" si="4"/>
        <v>0</v>
      </c>
    </row>
    <row r="4" spans="1:50" x14ac:dyDescent="0.25">
      <c r="A4" s="13" t="s">
        <v>301</v>
      </c>
      <c r="B4" s="5">
        <v>2</v>
      </c>
      <c r="C4" s="5">
        <v>2</v>
      </c>
      <c r="D4" s="5">
        <v>1</v>
      </c>
      <c r="F4" s="5">
        <v>216347</v>
      </c>
      <c r="G4" s="5" t="s">
        <v>354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14</v>
      </c>
      <c r="M4" s="5">
        <v>0.01</v>
      </c>
      <c r="P4" s="5">
        <v>40</v>
      </c>
      <c r="Q4" s="5" t="s">
        <v>80</v>
      </c>
      <c r="R4" s="5">
        <v>106678</v>
      </c>
      <c r="S4" s="59" t="s">
        <v>310</v>
      </c>
      <c r="T4" s="59" t="s">
        <v>410</v>
      </c>
      <c r="V4" s="5">
        <v>0</v>
      </c>
      <c r="Y4" s="5">
        <v>0</v>
      </c>
      <c r="Z4" s="5">
        <v>0</v>
      </c>
      <c r="AA4" s="5">
        <v>0</v>
      </c>
      <c r="AB4" s="5">
        <v>105</v>
      </c>
      <c r="AC4" s="5">
        <v>0</v>
      </c>
      <c r="AD4" s="5">
        <v>0</v>
      </c>
      <c r="AE4" s="5">
        <v>0</v>
      </c>
      <c r="AQ4" s="5">
        <v>170393</v>
      </c>
      <c r="AR4" s="5" t="b">
        <f t="shared" si="0"/>
        <v>0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0</v>
      </c>
    </row>
    <row r="5" spans="1:50" x14ac:dyDescent="0.25">
      <c r="A5" s="13" t="s">
        <v>301</v>
      </c>
      <c r="B5" s="5">
        <v>2</v>
      </c>
      <c r="C5" s="5">
        <v>3</v>
      </c>
      <c r="D5" s="5">
        <v>1</v>
      </c>
      <c r="F5" s="5">
        <v>216347</v>
      </c>
      <c r="G5" s="5" t="s">
        <v>354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14</v>
      </c>
      <c r="M5" s="5">
        <v>0.17</v>
      </c>
      <c r="P5" s="5">
        <v>40</v>
      </c>
      <c r="Q5" s="5" t="s">
        <v>80</v>
      </c>
      <c r="R5" s="5">
        <v>97861</v>
      </c>
      <c r="S5" s="59" t="s">
        <v>308</v>
      </c>
      <c r="T5" s="59" t="s">
        <v>411</v>
      </c>
      <c r="V5" s="5">
        <v>0</v>
      </c>
      <c r="Y5" s="5">
        <v>0</v>
      </c>
      <c r="Z5" s="5">
        <v>0</v>
      </c>
      <c r="AA5" s="5">
        <v>0</v>
      </c>
      <c r="AB5" s="5">
        <v>1785</v>
      </c>
      <c r="AC5" s="5">
        <v>0</v>
      </c>
      <c r="AD5" s="5">
        <v>0</v>
      </c>
      <c r="AE5" s="5">
        <v>0</v>
      </c>
      <c r="AQ5" s="5">
        <v>170393</v>
      </c>
      <c r="AR5" s="5" t="b">
        <f t="shared" si="0"/>
        <v>0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0</v>
      </c>
    </row>
    <row r="6" spans="1:50" x14ac:dyDescent="0.25">
      <c r="A6" s="13" t="s">
        <v>301</v>
      </c>
      <c r="B6" s="5">
        <v>2</v>
      </c>
      <c r="C6" s="5">
        <v>4</v>
      </c>
      <c r="D6" s="5">
        <v>1</v>
      </c>
      <c r="F6" s="5">
        <v>265055</v>
      </c>
      <c r="G6" s="5" t="s">
        <v>355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100</v>
      </c>
      <c r="P6" s="5">
        <v>40</v>
      </c>
      <c r="Q6" s="5" t="s">
        <v>80</v>
      </c>
      <c r="R6" s="5">
        <v>96470</v>
      </c>
      <c r="S6" s="59" t="s">
        <v>382</v>
      </c>
      <c r="T6" s="59" t="s">
        <v>412</v>
      </c>
      <c r="V6" s="5">
        <v>0</v>
      </c>
      <c r="Y6" s="5">
        <v>0</v>
      </c>
      <c r="Z6" s="5">
        <v>0</v>
      </c>
      <c r="AA6" s="5">
        <v>0</v>
      </c>
      <c r="AB6" s="5">
        <v>150000</v>
      </c>
      <c r="AC6" s="5">
        <v>0</v>
      </c>
      <c r="AD6" s="5">
        <v>0</v>
      </c>
      <c r="AE6" s="5">
        <v>0</v>
      </c>
      <c r="AQ6" s="5">
        <v>170393</v>
      </c>
      <c r="AR6" s="5" t="b">
        <f t="shared" si="0"/>
        <v>0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0</v>
      </c>
    </row>
    <row r="7" spans="1:50" x14ac:dyDescent="0.25">
      <c r="A7" s="13" t="s">
        <v>301</v>
      </c>
      <c r="B7" s="5">
        <v>2</v>
      </c>
      <c r="C7" s="5">
        <v>5</v>
      </c>
      <c r="D7" s="5">
        <v>1</v>
      </c>
      <c r="F7" s="5">
        <v>265055</v>
      </c>
      <c r="G7" s="5" t="s">
        <v>355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0</v>
      </c>
      <c r="P7" s="5">
        <v>40</v>
      </c>
      <c r="Q7" s="5" t="s">
        <v>80</v>
      </c>
      <c r="R7" s="5">
        <v>98001</v>
      </c>
      <c r="S7" s="59" t="s">
        <v>308</v>
      </c>
      <c r="T7" s="59" t="s">
        <v>413</v>
      </c>
      <c r="V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Q7" s="5">
        <v>170393</v>
      </c>
      <c r="AR7" s="5" t="b">
        <f t="shared" si="0"/>
        <v>0</v>
      </c>
      <c r="AS7" s="5" t="b">
        <v>1</v>
      </c>
      <c r="AT7" s="5" t="b">
        <f t="shared" si="1"/>
        <v>0</v>
      </c>
      <c r="AU7" s="5" t="b">
        <f t="shared" si="2"/>
        <v>1</v>
      </c>
      <c r="AV7" s="5" t="b">
        <f>Q7=Set_Def!$B$6</f>
        <v>1</v>
      </c>
      <c r="AW7" s="5" t="b">
        <f t="shared" si="3"/>
        <v>0</v>
      </c>
      <c r="AX7" s="5" t="b">
        <f t="shared" si="4"/>
        <v>0</v>
      </c>
    </row>
    <row r="8" spans="1:50" x14ac:dyDescent="0.25">
      <c r="A8" s="13" t="s">
        <v>301</v>
      </c>
      <c r="B8" s="5">
        <v>2</v>
      </c>
      <c r="C8" s="5">
        <v>6</v>
      </c>
      <c r="D8" s="5">
        <v>1</v>
      </c>
      <c r="F8" s="5">
        <v>265056</v>
      </c>
      <c r="G8" s="5" t="s">
        <v>356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0</v>
      </c>
      <c r="P8" s="5">
        <v>40</v>
      </c>
      <c r="Q8" s="5" t="s">
        <v>80</v>
      </c>
      <c r="R8" s="5">
        <v>96474</v>
      </c>
      <c r="S8" s="59" t="s">
        <v>382</v>
      </c>
      <c r="T8" s="59" t="s">
        <v>414</v>
      </c>
      <c r="V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Q8" s="5">
        <v>170393</v>
      </c>
      <c r="AR8" s="5" t="b">
        <f t="shared" si="0"/>
        <v>0</v>
      </c>
      <c r="AS8" s="5" t="b">
        <v>1</v>
      </c>
      <c r="AT8" s="5" t="b">
        <f t="shared" si="1"/>
        <v>0</v>
      </c>
      <c r="AU8" s="5" t="b">
        <f t="shared" si="2"/>
        <v>1</v>
      </c>
      <c r="AV8" s="5" t="b">
        <f>Q8=Set_Def!$B$6</f>
        <v>1</v>
      </c>
      <c r="AW8" s="5" t="b">
        <f t="shared" si="3"/>
        <v>0</v>
      </c>
      <c r="AX8" s="5" t="b">
        <f t="shared" si="4"/>
        <v>0</v>
      </c>
    </row>
    <row r="9" spans="1:50" x14ac:dyDescent="0.25">
      <c r="A9" s="13" t="s">
        <v>301</v>
      </c>
      <c r="B9" s="5">
        <v>2</v>
      </c>
      <c r="C9" s="5">
        <v>7</v>
      </c>
      <c r="D9" s="5">
        <v>1</v>
      </c>
      <c r="F9" s="5">
        <v>265056</v>
      </c>
      <c r="G9" s="5" t="s">
        <v>356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0</v>
      </c>
      <c r="P9" s="5">
        <v>40</v>
      </c>
      <c r="Q9" s="5" t="s">
        <v>80</v>
      </c>
      <c r="R9" s="5">
        <v>98001</v>
      </c>
      <c r="S9" s="59" t="s">
        <v>308</v>
      </c>
      <c r="T9" s="59" t="s">
        <v>413</v>
      </c>
      <c r="V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Q9" s="5">
        <v>170393</v>
      </c>
      <c r="AR9" s="5" t="b">
        <f t="shared" si="0"/>
        <v>0</v>
      </c>
      <c r="AS9" s="5" t="b">
        <v>1</v>
      </c>
      <c r="AT9" s="5" t="b">
        <f t="shared" si="1"/>
        <v>0</v>
      </c>
      <c r="AU9" s="5" t="b">
        <f t="shared" si="2"/>
        <v>1</v>
      </c>
      <c r="AV9" s="5" t="b">
        <f>Q9=Set_Def!$B$6</f>
        <v>1</v>
      </c>
      <c r="AW9" s="5" t="b">
        <f t="shared" si="3"/>
        <v>0</v>
      </c>
      <c r="AX9" s="5" t="b">
        <f t="shared" si="4"/>
        <v>0</v>
      </c>
    </row>
    <row r="10" spans="1:50" x14ac:dyDescent="0.25">
      <c r="A10" s="13" t="s">
        <v>301</v>
      </c>
      <c r="B10" s="5">
        <v>2</v>
      </c>
      <c r="C10" s="5">
        <v>8</v>
      </c>
      <c r="D10" s="5">
        <v>1</v>
      </c>
      <c r="F10" s="5">
        <v>265056</v>
      </c>
      <c r="G10" s="5" t="s">
        <v>356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0</v>
      </c>
      <c r="P10" s="5">
        <v>40</v>
      </c>
      <c r="Q10" s="5" t="s">
        <v>80</v>
      </c>
      <c r="R10" s="5">
        <v>98006</v>
      </c>
      <c r="S10" s="59" t="s">
        <v>308</v>
      </c>
      <c r="T10" s="59" t="s">
        <v>415</v>
      </c>
      <c r="V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Q10" s="5">
        <v>170393</v>
      </c>
      <c r="AR10" s="5" t="b">
        <f t="shared" si="0"/>
        <v>0</v>
      </c>
      <c r="AS10" s="5" t="b">
        <v>1</v>
      </c>
      <c r="AT10" s="5" t="b">
        <f t="shared" si="1"/>
        <v>0</v>
      </c>
      <c r="AU10" s="5" t="b">
        <f t="shared" si="2"/>
        <v>1</v>
      </c>
      <c r="AV10" s="5" t="b">
        <f>Q10=Set_Def!$B$6</f>
        <v>1</v>
      </c>
      <c r="AW10" s="5" t="b">
        <f t="shared" si="3"/>
        <v>0</v>
      </c>
      <c r="AX10" s="5" t="b">
        <f t="shared" si="4"/>
        <v>0</v>
      </c>
    </row>
    <row r="11" spans="1:50" x14ac:dyDescent="0.25">
      <c r="A11" s="13" t="s">
        <v>301</v>
      </c>
      <c r="B11" s="5">
        <v>2</v>
      </c>
      <c r="C11" s="5">
        <v>9</v>
      </c>
      <c r="D11" s="5">
        <v>1</v>
      </c>
      <c r="F11" s="5">
        <v>267412</v>
      </c>
      <c r="G11" s="5" t="s">
        <v>357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11</v>
      </c>
      <c r="M11" s="5">
        <v>27</v>
      </c>
      <c r="P11" s="5">
        <v>40</v>
      </c>
      <c r="Q11" s="5" t="s">
        <v>80</v>
      </c>
      <c r="R11" s="5">
        <v>95222</v>
      </c>
      <c r="S11" s="59" t="s">
        <v>383</v>
      </c>
      <c r="T11" s="59" t="s">
        <v>416</v>
      </c>
      <c r="V11" s="5">
        <v>0</v>
      </c>
      <c r="Y11" s="5">
        <v>0</v>
      </c>
      <c r="Z11" s="5">
        <v>0</v>
      </c>
      <c r="AA11" s="5">
        <v>0</v>
      </c>
      <c r="AB11" s="5">
        <v>12187.26</v>
      </c>
      <c r="AC11" s="5">
        <v>0</v>
      </c>
      <c r="AD11" s="5">
        <v>0</v>
      </c>
      <c r="AE11" s="5">
        <v>0</v>
      </c>
      <c r="AQ11" s="5">
        <v>170393</v>
      </c>
      <c r="AR11" s="5" t="b">
        <f t="shared" si="0"/>
        <v>0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0</v>
      </c>
    </row>
    <row r="12" spans="1:50" x14ac:dyDescent="0.25">
      <c r="A12" s="13" t="s">
        <v>301</v>
      </c>
      <c r="B12" s="5">
        <v>2</v>
      </c>
      <c r="C12" s="5">
        <v>10</v>
      </c>
      <c r="D12" s="5">
        <v>1</v>
      </c>
      <c r="F12" s="5">
        <v>267457</v>
      </c>
      <c r="G12" s="5" t="s">
        <v>358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11</v>
      </c>
      <c r="M12" s="5">
        <v>200</v>
      </c>
      <c r="P12" s="5">
        <v>40</v>
      </c>
      <c r="Q12" s="5" t="s">
        <v>80</v>
      </c>
      <c r="R12" s="5">
        <v>74820</v>
      </c>
      <c r="S12" s="59" t="s">
        <v>384</v>
      </c>
      <c r="T12" s="59" t="s">
        <v>417</v>
      </c>
      <c r="V12" s="5">
        <v>0</v>
      </c>
      <c r="Y12" s="5">
        <v>0</v>
      </c>
      <c r="Z12" s="5">
        <v>0</v>
      </c>
      <c r="AA12" s="5">
        <v>0</v>
      </c>
      <c r="AB12" s="5">
        <v>40000</v>
      </c>
      <c r="AC12" s="5">
        <v>0</v>
      </c>
      <c r="AD12" s="5">
        <v>0</v>
      </c>
      <c r="AE12" s="5">
        <v>0</v>
      </c>
      <c r="AQ12" s="5">
        <v>170393</v>
      </c>
      <c r="AR12" s="5" t="b">
        <f t="shared" si="0"/>
        <v>0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0</v>
      </c>
    </row>
    <row r="13" spans="1:50" x14ac:dyDescent="0.25">
      <c r="A13" s="13" t="s">
        <v>301</v>
      </c>
      <c r="B13" s="5">
        <v>2</v>
      </c>
      <c r="C13" s="5">
        <v>11</v>
      </c>
      <c r="D13" s="5">
        <v>1</v>
      </c>
      <c r="F13" s="5">
        <v>267457</v>
      </c>
      <c r="G13" s="5" t="s">
        <v>358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11</v>
      </c>
      <c r="M13" s="5">
        <v>0</v>
      </c>
      <c r="P13" s="5">
        <v>40</v>
      </c>
      <c r="Q13" s="5" t="s">
        <v>80</v>
      </c>
      <c r="R13" s="5">
        <v>85434</v>
      </c>
      <c r="S13" s="59" t="s">
        <v>385</v>
      </c>
      <c r="T13" s="59" t="s">
        <v>418</v>
      </c>
      <c r="V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Q13" s="5">
        <v>170393</v>
      </c>
      <c r="AR13" s="5" t="b">
        <f t="shared" si="0"/>
        <v>0</v>
      </c>
      <c r="AS13" s="5" t="b">
        <v>1</v>
      </c>
      <c r="AT13" s="5" t="b">
        <f t="shared" si="1"/>
        <v>0</v>
      </c>
      <c r="AU13" s="5" t="b">
        <f t="shared" si="2"/>
        <v>1</v>
      </c>
      <c r="AV13" s="5" t="b">
        <f>Q13=Set_Def!$B$6</f>
        <v>1</v>
      </c>
      <c r="AW13" s="5" t="b">
        <f t="shared" si="3"/>
        <v>0</v>
      </c>
      <c r="AX13" s="5" t="b">
        <f t="shared" si="4"/>
        <v>0</v>
      </c>
    </row>
    <row r="14" spans="1:50" x14ac:dyDescent="0.25">
      <c r="A14" s="13" t="s">
        <v>301</v>
      </c>
      <c r="B14" s="5">
        <v>2</v>
      </c>
      <c r="C14" s="5">
        <v>12</v>
      </c>
      <c r="D14" s="5">
        <v>1</v>
      </c>
      <c r="F14" s="5">
        <v>267457</v>
      </c>
      <c r="G14" s="5" t="s">
        <v>359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11</v>
      </c>
      <c r="M14" s="5">
        <v>0</v>
      </c>
      <c r="P14" s="5">
        <v>40</v>
      </c>
      <c r="Q14" s="5" t="s">
        <v>80</v>
      </c>
      <c r="R14" s="5">
        <v>88282</v>
      </c>
      <c r="S14" s="59" t="s">
        <v>315</v>
      </c>
      <c r="T14" s="59" t="s">
        <v>419</v>
      </c>
      <c r="V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Q14" s="5">
        <v>170393</v>
      </c>
      <c r="AR14" s="5" t="b">
        <f t="shared" si="0"/>
        <v>0</v>
      </c>
      <c r="AS14" s="5" t="b">
        <v>1</v>
      </c>
      <c r="AT14" s="5" t="b">
        <f t="shared" si="1"/>
        <v>0</v>
      </c>
      <c r="AU14" s="5" t="b">
        <f t="shared" si="2"/>
        <v>1</v>
      </c>
      <c r="AV14" s="5" t="b">
        <f>Q14=Set_Def!$B$6</f>
        <v>1</v>
      </c>
      <c r="AW14" s="5" t="b">
        <f t="shared" si="3"/>
        <v>0</v>
      </c>
      <c r="AX14" s="5" t="b">
        <f t="shared" si="4"/>
        <v>0</v>
      </c>
    </row>
    <row r="15" spans="1:50" x14ac:dyDescent="0.25">
      <c r="A15" s="13" t="s">
        <v>301</v>
      </c>
      <c r="B15" s="5">
        <v>2</v>
      </c>
      <c r="C15" s="5">
        <v>13</v>
      </c>
      <c r="D15" s="5">
        <v>1</v>
      </c>
      <c r="F15" s="5">
        <v>267457</v>
      </c>
      <c r="G15" s="5" t="s">
        <v>360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11</v>
      </c>
      <c r="M15" s="5">
        <v>0</v>
      </c>
      <c r="P15" s="5">
        <v>40</v>
      </c>
      <c r="Q15" s="5" t="s">
        <v>80</v>
      </c>
      <c r="R15" s="5">
        <v>93320</v>
      </c>
      <c r="S15" s="59" t="s">
        <v>386</v>
      </c>
      <c r="T15" s="59" t="s">
        <v>420</v>
      </c>
      <c r="V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Q15" s="5">
        <v>170393</v>
      </c>
      <c r="AR15" s="5" t="b">
        <f t="shared" si="0"/>
        <v>0</v>
      </c>
      <c r="AS15" s="5" t="b">
        <v>1</v>
      </c>
      <c r="AT15" s="5" t="b">
        <f t="shared" si="1"/>
        <v>0</v>
      </c>
      <c r="AU15" s="5" t="b">
        <f t="shared" si="2"/>
        <v>1</v>
      </c>
      <c r="AV15" s="5" t="b">
        <f>Q15=Set_Def!$B$6</f>
        <v>1</v>
      </c>
      <c r="AW15" s="5" t="b">
        <f t="shared" si="3"/>
        <v>0</v>
      </c>
      <c r="AX15" s="5" t="b">
        <f t="shared" si="4"/>
        <v>0</v>
      </c>
    </row>
    <row r="16" spans="1:50" x14ac:dyDescent="0.25">
      <c r="A16" s="13" t="s">
        <v>301</v>
      </c>
      <c r="B16" s="5">
        <v>2</v>
      </c>
      <c r="C16" s="5">
        <v>14</v>
      </c>
      <c r="D16" s="5">
        <v>1</v>
      </c>
      <c r="F16" s="5">
        <v>267457</v>
      </c>
      <c r="G16" s="5" t="s">
        <v>360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11</v>
      </c>
      <c r="M16" s="5">
        <v>0</v>
      </c>
      <c r="P16" s="5">
        <v>40</v>
      </c>
      <c r="Q16" s="5" t="s">
        <v>80</v>
      </c>
      <c r="R16" s="5">
        <v>98244</v>
      </c>
      <c r="S16" s="59" t="s">
        <v>317</v>
      </c>
      <c r="T16" s="59" t="s">
        <v>421</v>
      </c>
      <c r="V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Q16" s="5">
        <v>170393</v>
      </c>
      <c r="AR16" s="5" t="b">
        <f t="shared" si="0"/>
        <v>0</v>
      </c>
      <c r="AS16" s="5" t="b">
        <v>1</v>
      </c>
      <c r="AT16" s="5" t="b">
        <f t="shared" si="1"/>
        <v>0</v>
      </c>
      <c r="AU16" s="5" t="b">
        <f t="shared" si="2"/>
        <v>1</v>
      </c>
      <c r="AV16" s="5" t="b">
        <f>Q16=Set_Def!$B$6</f>
        <v>1</v>
      </c>
      <c r="AW16" s="5" t="b">
        <f t="shared" si="3"/>
        <v>0</v>
      </c>
      <c r="AX16" s="5" t="b">
        <f t="shared" si="4"/>
        <v>0</v>
      </c>
    </row>
    <row r="17" spans="1:50" x14ac:dyDescent="0.25">
      <c r="A17" s="13" t="s">
        <v>301</v>
      </c>
      <c r="B17" s="5">
        <v>2</v>
      </c>
      <c r="C17" s="5">
        <v>15</v>
      </c>
      <c r="D17" s="5">
        <v>1</v>
      </c>
      <c r="F17" s="5">
        <v>162975</v>
      </c>
      <c r="G17" s="5" t="s">
        <v>361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12</v>
      </c>
      <c r="M17" s="5">
        <v>4</v>
      </c>
      <c r="P17" s="5">
        <v>40</v>
      </c>
      <c r="Q17" s="5" t="s">
        <v>80</v>
      </c>
      <c r="R17" s="5">
        <v>102335</v>
      </c>
      <c r="S17" s="59" t="s">
        <v>387</v>
      </c>
      <c r="T17" s="59" t="s">
        <v>422</v>
      </c>
      <c r="V17" s="5">
        <v>0</v>
      </c>
      <c r="Y17" s="5">
        <v>0</v>
      </c>
      <c r="Z17" s="5">
        <v>0</v>
      </c>
      <c r="AA17" s="5">
        <v>0</v>
      </c>
      <c r="AB17" s="5">
        <v>1272</v>
      </c>
      <c r="AC17" s="5">
        <v>0</v>
      </c>
      <c r="AD17" s="5">
        <v>0</v>
      </c>
      <c r="AE17" s="5">
        <v>0</v>
      </c>
      <c r="AQ17" s="5">
        <v>170393</v>
      </c>
      <c r="AR17" s="5" t="b">
        <f t="shared" si="0"/>
        <v>0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0</v>
      </c>
    </row>
    <row r="18" spans="1:50" x14ac:dyDescent="0.25">
      <c r="A18" s="13" t="s">
        <v>301</v>
      </c>
      <c r="B18" s="5">
        <v>2</v>
      </c>
      <c r="C18" s="5">
        <v>16</v>
      </c>
      <c r="D18" s="5">
        <v>1</v>
      </c>
      <c r="F18" s="5">
        <v>162975</v>
      </c>
      <c r="G18" s="5" t="s">
        <v>361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0</v>
      </c>
      <c r="P18" s="5">
        <v>40</v>
      </c>
      <c r="Q18" s="5" t="s">
        <v>80</v>
      </c>
      <c r="R18" s="5">
        <v>102362</v>
      </c>
      <c r="S18" s="59" t="s">
        <v>387</v>
      </c>
      <c r="T18" s="59" t="s">
        <v>423</v>
      </c>
      <c r="V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Q18" s="5">
        <v>170393</v>
      </c>
      <c r="AR18" s="5" t="b">
        <f t="shared" si="0"/>
        <v>0</v>
      </c>
      <c r="AS18" s="5" t="b">
        <v>1</v>
      </c>
      <c r="AT18" s="5" t="b">
        <f t="shared" si="1"/>
        <v>0</v>
      </c>
      <c r="AU18" s="5" t="b">
        <f t="shared" si="2"/>
        <v>1</v>
      </c>
      <c r="AV18" s="5" t="b">
        <f>Q18=Set_Def!$B$6</f>
        <v>1</v>
      </c>
      <c r="AW18" s="5" t="b">
        <f t="shared" si="3"/>
        <v>0</v>
      </c>
      <c r="AX18" s="5" t="b">
        <f t="shared" si="4"/>
        <v>0</v>
      </c>
    </row>
    <row r="19" spans="1:50" x14ac:dyDescent="0.25">
      <c r="A19" s="13" t="s">
        <v>301</v>
      </c>
      <c r="B19" s="5">
        <v>2</v>
      </c>
      <c r="C19" s="5">
        <v>17</v>
      </c>
      <c r="D19" s="5">
        <v>1</v>
      </c>
      <c r="F19" s="5">
        <v>162975</v>
      </c>
      <c r="G19" s="5" t="s">
        <v>361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0</v>
      </c>
      <c r="P19" s="5">
        <v>40</v>
      </c>
      <c r="Q19" s="5" t="s">
        <v>80</v>
      </c>
      <c r="R19" s="5">
        <v>102421</v>
      </c>
      <c r="S19" s="59" t="s">
        <v>387</v>
      </c>
      <c r="T19" s="59" t="s">
        <v>424</v>
      </c>
      <c r="V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Q19" s="5">
        <v>170393</v>
      </c>
      <c r="AR19" s="5" t="b">
        <f t="shared" si="0"/>
        <v>0</v>
      </c>
      <c r="AS19" s="5" t="b">
        <v>1</v>
      </c>
      <c r="AT19" s="5" t="b">
        <f t="shared" si="1"/>
        <v>0</v>
      </c>
      <c r="AU19" s="5" t="b">
        <f t="shared" si="2"/>
        <v>1</v>
      </c>
      <c r="AV19" s="5" t="b">
        <f>Q19=Set_Def!$B$6</f>
        <v>1</v>
      </c>
      <c r="AW19" s="5" t="b">
        <f t="shared" si="3"/>
        <v>0</v>
      </c>
      <c r="AX19" s="5" t="b">
        <f t="shared" si="4"/>
        <v>0</v>
      </c>
    </row>
    <row r="20" spans="1:50" x14ac:dyDescent="0.25">
      <c r="A20" s="13" t="s">
        <v>301</v>
      </c>
      <c r="B20" s="5">
        <v>2</v>
      </c>
      <c r="C20" s="5">
        <v>18</v>
      </c>
      <c r="D20" s="5">
        <v>1</v>
      </c>
      <c r="F20" s="5">
        <v>162975</v>
      </c>
      <c r="G20" s="5" t="s">
        <v>362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12</v>
      </c>
      <c r="M20" s="5">
        <v>0</v>
      </c>
      <c r="P20" s="5">
        <v>40</v>
      </c>
      <c r="Q20" s="5" t="s">
        <v>80</v>
      </c>
      <c r="R20" s="5">
        <v>108476</v>
      </c>
      <c r="S20" s="59" t="s">
        <v>319</v>
      </c>
      <c r="T20" s="59" t="s">
        <v>425</v>
      </c>
      <c r="V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Q20" s="5">
        <v>170393</v>
      </c>
      <c r="AR20" s="5" t="b">
        <f t="shared" si="0"/>
        <v>0</v>
      </c>
      <c r="AS20" s="5" t="b">
        <v>1</v>
      </c>
      <c r="AT20" s="5" t="b">
        <f t="shared" si="1"/>
        <v>0</v>
      </c>
      <c r="AU20" s="5" t="b">
        <f t="shared" si="2"/>
        <v>1</v>
      </c>
      <c r="AV20" s="5" t="b">
        <f>Q20=Set_Def!$B$6</f>
        <v>1</v>
      </c>
      <c r="AW20" s="5" t="b">
        <f t="shared" si="3"/>
        <v>0</v>
      </c>
      <c r="AX20" s="5" t="b">
        <f t="shared" si="4"/>
        <v>0</v>
      </c>
    </row>
    <row r="21" spans="1:50" x14ac:dyDescent="0.25">
      <c r="A21" s="13" t="s">
        <v>301</v>
      </c>
      <c r="B21" s="5">
        <v>2</v>
      </c>
      <c r="C21" s="5">
        <v>19</v>
      </c>
      <c r="D21" s="5">
        <v>1</v>
      </c>
      <c r="F21" s="5">
        <v>162975</v>
      </c>
      <c r="G21" s="5" t="s">
        <v>362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12</v>
      </c>
      <c r="M21" s="5">
        <v>0</v>
      </c>
      <c r="P21" s="5">
        <v>40</v>
      </c>
      <c r="Q21" s="5" t="s">
        <v>80</v>
      </c>
      <c r="R21" s="5">
        <v>108482</v>
      </c>
      <c r="S21" s="59" t="s">
        <v>319</v>
      </c>
      <c r="T21" s="59" t="s">
        <v>426</v>
      </c>
      <c r="V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Q21" s="5">
        <v>170393</v>
      </c>
      <c r="AR21" s="5" t="b">
        <f t="shared" si="0"/>
        <v>0</v>
      </c>
      <c r="AS21" s="5" t="b">
        <v>1</v>
      </c>
      <c r="AT21" s="5" t="b">
        <f t="shared" si="1"/>
        <v>0</v>
      </c>
      <c r="AU21" s="5" t="b">
        <f t="shared" si="2"/>
        <v>1</v>
      </c>
      <c r="AV21" s="5" t="b">
        <f>Q21=Set_Def!$B$6</f>
        <v>1</v>
      </c>
      <c r="AW21" s="5" t="b">
        <f t="shared" si="3"/>
        <v>0</v>
      </c>
      <c r="AX21" s="5" t="b">
        <f t="shared" si="4"/>
        <v>0</v>
      </c>
    </row>
    <row r="22" spans="1:50" x14ac:dyDescent="0.25">
      <c r="A22" s="13" t="s">
        <v>301</v>
      </c>
      <c r="B22" s="5">
        <v>2</v>
      </c>
      <c r="C22" s="5">
        <v>20</v>
      </c>
      <c r="D22" s="5">
        <v>1</v>
      </c>
      <c r="F22" s="5">
        <v>162975</v>
      </c>
      <c r="G22" s="5" t="s">
        <v>363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12</v>
      </c>
      <c r="M22" s="5">
        <v>0</v>
      </c>
      <c r="P22" s="5">
        <v>40</v>
      </c>
      <c r="Q22" s="5" t="s">
        <v>80</v>
      </c>
      <c r="R22" s="5">
        <v>38193</v>
      </c>
      <c r="S22" s="59" t="s">
        <v>320</v>
      </c>
      <c r="T22" s="59" t="s">
        <v>427</v>
      </c>
      <c r="V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Q22" s="5">
        <v>170393</v>
      </c>
      <c r="AR22" s="5" t="b">
        <f t="shared" si="0"/>
        <v>0</v>
      </c>
      <c r="AS22" s="5" t="b">
        <v>1</v>
      </c>
      <c r="AT22" s="5" t="b">
        <f t="shared" si="1"/>
        <v>0</v>
      </c>
      <c r="AU22" s="5" t="b">
        <f t="shared" si="2"/>
        <v>1</v>
      </c>
      <c r="AV22" s="5" t="b">
        <f>Q22=Set_Def!$B$6</f>
        <v>1</v>
      </c>
      <c r="AW22" s="5" t="b">
        <f t="shared" si="3"/>
        <v>0</v>
      </c>
      <c r="AX22" s="5" t="b">
        <f t="shared" si="4"/>
        <v>0</v>
      </c>
    </row>
    <row r="23" spans="1:50" x14ac:dyDescent="0.25">
      <c r="A23" s="13" t="s">
        <v>301</v>
      </c>
      <c r="B23" s="5">
        <v>2</v>
      </c>
      <c r="C23" s="5">
        <v>21</v>
      </c>
      <c r="D23" s="5">
        <v>1</v>
      </c>
      <c r="F23" s="5">
        <v>162976</v>
      </c>
      <c r="G23" s="5" t="s">
        <v>364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12</v>
      </c>
      <c r="M23" s="5">
        <v>53</v>
      </c>
      <c r="P23" s="5">
        <v>40</v>
      </c>
      <c r="Q23" s="5" t="s">
        <v>80</v>
      </c>
      <c r="R23" s="5">
        <v>20825</v>
      </c>
      <c r="S23" s="59" t="s">
        <v>388</v>
      </c>
      <c r="T23" s="59" t="s">
        <v>428</v>
      </c>
      <c r="V23" s="5">
        <v>0</v>
      </c>
      <c r="Y23" s="5">
        <v>0</v>
      </c>
      <c r="Z23" s="5">
        <v>0</v>
      </c>
      <c r="AA23" s="5">
        <v>0</v>
      </c>
      <c r="AB23" s="5">
        <v>214650</v>
      </c>
      <c r="AC23" s="5">
        <v>0</v>
      </c>
      <c r="AD23" s="5">
        <v>0</v>
      </c>
      <c r="AE23" s="5">
        <v>0</v>
      </c>
      <c r="AQ23" s="5">
        <v>170393</v>
      </c>
      <c r="AR23" s="5" t="b">
        <f t="shared" si="0"/>
        <v>0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0</v>
      </c>
    </row>
    <row r="24" spans="1:50" x14ac:dyDescent="0.25">
      <c r="A24" s="13" t="s">
        <v>301</v>
      </c>
      <c r="B24" s="5">
        <v>2</v>
      </c>
      <c r="C24" s="5">
        <v>22</v>
      </c>
      <c r="D24" s="5">
        <v>1</v>
      </c>
      <c r="F24" s="5">
        <v>162976</v>
      </c>
      <c r="G24" s="5" t="s">
        <v>364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12</v>
      </c>
      <c r="M24" s="5">
        <v>19</v>
      </c>
      <c r="P24" s="5">
        <v>40</v>
      </c>
      <c r="Q24" s="5" t="s">
        <v>80</v>
      </c>
      <c r="R24" s="5">
        <v>20825</v>
      </c>
      <c r="S24" s="59" t="s">
        <v>388</v>
      </c>
      <c r="T24" s="59" t="s">
        <v>428</v>
      </c>
      <c r="V24" s="5">
        <v>0</v>
      </c>
      <c r="Y24" s="5">
        <v>0</v>
      </c>
      <c r="Z24" s="5">
        <v>0</v>
      </c>
      <c r="AA24" s="5">
        <v>0</v>
      </c>
      <c r="AB24" s="5">
        <v>76950</v>
      </c>
      <c r="AC24" s="5">
        <v>0</v>
      </c>
      <c r="AD24" s="5">
        <v>0</v>
      </c>
      <c r="AE24" s="5">
        <v>0</v>
      </c>
      <c r="AQ24" s="5">
        <v>170393</v>
      </c>
      <c r="AR24" s="5" t="b">
        <f t="shared" si="0"/>
        <v>0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0</v>
      </c>
    </row>
    <row r="25" spans="1:50" x14ac:dyDescent="0.25">
      <c r="A25" s="13" t="s">
        <v>301</v>
      </c>
      <c r="B25" s="5">
        <v>2</v>
      </c>
      <c r="C25" s="5">
        <v>23</v>
      </c>
      <c r="D25" s="5">
        <v>1</v>
      </c>
      <c r="F25" s="5">
        <v>162976</v>
      </c>
      <c r="G25" s="5" t="s">
        <v>364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12</v>
      </c>
      <c r="M25" s="5">
        <v>28</v>
      </c>
      <c r="P25" s="5">
        <v>40</v>
      </c>
      <c r="Q25" s="5" t="s">
        <v>80</v>
      </c>
      <c r="R25" s="5">
        <v>20825</v>
      </c>
      <c r="S25" s="59" t="s">
        <v>388</v>
      </c>
      <c r="T25" s="59" t="s">
        <v>428</v>
      </c>
      <c r="V25" s="5">
        <v>0</v>
      </c>
      <c r="Y25" s="5">
        <v>0</v>
      </c>
      <c r="Z25" s="5">
        <v>0</v>
      </c>
      <c r="AA25" s="5">
        <v>0</v>
      </c>
      <c r="AB25" s="5">
        <v>113400</v>
      </c>
      <c r="AC25" s="5">
        <v>0</v>
      </c>
      <c r="AD25" s="5">
        <v>0</v>
      </c>
      <c r="AE25" s="5">
        <v>0</v>
      </c>
      <c r="AQ25" s="5">
        <v>170393</v>
      </c>
      <c r="AR25" s="5" t="b">
        <f t="shared" si="0"/>
        <v>0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0</v>
      </c>
    </row>
    <row r="26" spans="1:50" x14ac:dyDescent="0.25">
      <c r="A26" s="13" t="s">
        <v>301</v>
      </c>
      <c r="B26" s="5">
        <v>2</v>
      </c>
      <c r="C26" s="5">
        <v>24</v>
      </c>
      <c r="D26" s="5">
        <v>1</v>
      </c>
      <c r="F26" s="5">
        <v>162976</v>
      </c>
      <c r="G26" s="5" t="s">
        <v>364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0</v>
      </c>
      <c r="P26" s="5">
        <v>40</v>
      </c>
      <c r="Q26" s="5" t="s">
        <v>80</v>
      </c>
      <c r="R26" s="5">
        <v>20825</v>
      </c>
      <c r="S26" s="59" t="s">
        <v>388</v>
      </c>
      <c r="T26" s="59" t="s">
        <v>428</v>
      </c>
      <c r="V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Q26" s="5">
        <v>170393</v>
      </c>
      <c r="AR26" s="5" t="b">
        <f t="shared" si="0"/>
        <v>0</v>
      </c>
      <c r="AS26" s="5" t="b">
        <v>1</v>
      </c>
      <c r="AT26" s="5" t="b">
        <f t="shared" si="1"/>
        <v>0</v>
      </c>
      <c r="AU26" s="5" t="b">
        <f t="shared" si="2"/>
        <v>1</v>
      </c>
      <c r="AV26" s="5" t="b">
        <f>Q26=Set_Def!$B$6</f>
        <v>1</v>
      </c>
      <c r="AW26" s="5" t="b">
        <f t="shared" si="3"/>
        <v>0</v>
      </c>
      <c r="AX26" s="5" t="b">
        <f t="shared" si="4"/>
        <v>0</v>
      </c>
    </row>
    <row r="27" spans="1:50" x14ac:dyDescent="0.25">
      <c r="A27" s="13" t="s">
        <v>301</v>
      </c>
      <c r="B27" s="5">
        <v>2</v>
      </c>
      <c r="C27" s="5">
        <v>25</v>
      </c>
      <c r="D27" s="5">
        <v>1</v>
      </c>
      <c r="F27" s="5">
        <v>162976</v>
      </c>
      <c r="G27" s="5" t="s">
        <v>364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12</v>
      </c>
      <c r="M27" s="5">
        <v>0</v>
      </c>
      <c r="P27" s="5">
        <v>40</v>
      </c>
      <c r="Q27" s="5" t="s">
        <v>80</v>
      </c>
      <c r="R27" s="5">
        <v>20840</v>
      </c>
      <c r="S27" s="59" t="s">
        <v>388</v>
      </c>
      <c r="T27" s="59" t="s">
        <v>429</v>
      </c>
      <c r="V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Q27" s="5">
        <v>170393</v>
      </c>
      <c r="AR27" s="5" t="b">
        <f t="shared" si="0"/>
        <v>0</v>
      </c>
      <c r="AS27" s="5" t="b">
        <v>1</v>
      </c>
      <c r="AT27" s="5" t="b">
        <f t="shared" si="1"/>
        <v>0</v>
      </c>
      <c r="AU27" s="5" t="b">
        <f t="shared" si="2"/>
        <v>1</v>
      </c>
      <c r="AV27" s="5" t="b">
        <f>Q27=Set_Def!$B$6</f>
        <v>1</v>
      </c>
      <c r="AW27" s="5" t="b">
        <f t="shared" si="3"/>
        <v>0</v>
      </c>
      <c r="AX27" s="5" t="b">
        <f t="shared" si="4"/>
        <v>0</v>
      </c>
    </row>
    <row r="28" spans="1:50" x14ac:dyDescent="0.25">
      <c r="A28" s="13" t="s">
        <v>301</v>
      </c>
      <c r="B28" s="5">
        <v>2</v>
      </c>
      <c r="C28" s="5">
        <v>26</v>
      </c>
      <c r="D28" s="5">
        <v>1</v>
      </c>
      <c r="F28" s="5">
        <v>162976</v>
      </c>
      <c r="G28" s="5" t="s">
        <v>364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12</v>
      </c>
      <c r="M28" s="5">
        <v>0</v>
      </c>
      <c r="P28" s="5">
        <v>40</v>
      </c>
      <c r="Q28" s="5" t="s">
        <v>80</v>
      </c>
      <c r="R28" s="5">
        <v>24298</v>
      </c>
      <c r="S28" s="59" t="s">
        <v>322</v>
      </c>
      <c r="T28" s="59" t="s">
        <v>430</v>
      </c>
      <c r="V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Q28" s="5">
        <v>170393</v>
      </c>
      <c r="AR28" s="5" t="b">
        <f t="shared" si="0"/>
        <v>0</v>
      </c>
      <c r="AS28" s="5" t="b">
        <v>1</v>
      </c>
      <c r="AT28" s="5" t="b">
        <f t="shared" si="1"/>
        <v>0</v>
      </c>
      <c r="AU28" s="5" t="b">
        <f t="shared" si="2"/>
        <v>1</v>
      </c>
      <c r="AV28" s="5" t="b">
        <f>Q28=Set_Def!$B$6</f>
        <v>1</v>
      </c>
      <c r="AW28" s="5" t="b">
        <f t="shared" si="3"/>
        <v>0</v>
      </c>
      <c r="AX28" s="5" t="b">
        <f t="shared" si="4"/>
        <v>0</v>
      </c>
    </row>
    <row r="29" spans="1:50" x14ac:dyDescent="0.25">
      <c r="A29" s="13" t="s">
        <v>301</v>
      </c>
      <c r="B29" s="5">
        <v>2</v>
      </c>
      <c r="C29" s="5">
        <v>27</v>
      </c>
      <c r="D29" s="5">
        <v>1</v>
      </c>
      <c r="F29" s="5">
        <v>162976</v>
      </c>
      <c r="G29" s="5" t="s">
        <v>364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12</v>
      </c>
      <c r="M29" s="5">
        <v>0</v>
      </c>
      <c r="P29" s="5">
        <v>40</v>
      </c>
      <c r="Q29" s="5" t="s">
        <v>80</v>
      </c>
      <c r="R29" s="5">
        <v>24298</v>
      </c>
      <c r="S29" s="59" t="s">
        <v>322</v>
      </c>
      <c r="T29" s="59" t="s">
        <v>430</v>
      </c>
      <c r="V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Q29" s="5">
        <v>170393</v>
      </c>
      <c r="AR29" s="5" t="b">
        <f t="shared" si="0"/>
        <v>0</v>
      </c>
      <c r="AS29" s="5" t="b">
        <v>1</v>
      </c>
      <c r="AT29" s="5" t="b">
        <f t="shared" si="1"/>
        <v>0</v>
      </c>
      <c r="AU29" s="5" t="b">
        <f t="shared" si="2"/>
        <v>1</v>
      </c>
      <c r="AV29" s="5" t="b">
        <f>Q29=Set_Def!$B$6</f>
        <v>1</v>
      </c>
      <c r="AW29" s="5" t="b">
        <f t="shared" si="3"/>
        <v>0</v>
      </c>
      <c r="AX29" s="5" t="b">
        <f t="shared" si="4"/>
        <v>0</v>
      </c>
    </row>
    <row r="30" spans="1:50" x14ac:dyDescent="0.25">
      <c r="A30" s="13" t="s">
        <v>301</v>
      </c>
      <c r="B30" s="5">
        <v>2</v>
      </c>
      <c r="C30" s="5">
        <v>28</v>
      </c>
      <c r="D30" s="5">
        <v>1</v>
      </c>
      <c r="F30" s="5">
        <v>162976</v>
      </c>
      <c r="G30" s="5" t="s">
        <v>364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12</v>
      </c>
      <c r="M30" s="5">
        <v>0</v>
      </c>
      <c r="P30" s="5">
        <v>40</v>
      </c>
      <c r="Q30" s="5" t="s">
        <v>80</v>
      </c>
      <c r="R30" s="5">
        <v>24298</v>
      </c>
      <c r="S30" s="59" t="s">
        <v>322</v>
      </c>
      <c r="T30" s="59" t="s">
        <v>430</v>
      </c>
      <c r="V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Q30" s="5">
        <v>170393</v>
      </c>
      <c r="AR30" s="5" t="b">
        <f t="shared" si="0"/>
        <v>0</v>
      </c>
      <c r="AS30" s="5" t="b">
        <v>1</v>
      </c>
      <c r="AT30" s="5" t="b">
        <f t="shared" si="1"/>
        <v>0</v>
      </c>
      <c r="AU30" s="5" t="b">
        <f t="shared" si="2"/>
        <v>1</v>
      </c>
      <c r="AV30" s="5" t="b">
        <f>Q30=Set_Def!$B$6</f>
        <v>1</v>
      </c>
      <c r="AW30" s="5" t="b">
        <f t="shared" si="3"/>
        <v>0</v>
      </c>
      <c r="AX30" s="5" t="b">
        <f t="shared" si="4"/>
        <v>0</v>
      </c>
    </row>
    <row r="31" spans="1:50" x14ac:dyDescent="0.25">
      <c r="A31" s="13" t="s">
        <v>301</v>
      </c>
      <c r="B31" s="5">
        <v>2</v>
      </c>
      <c r="C31" s="5">
        <v>29</v>
      </c>
      <c r="D31" s="5">
        <v>1</v>
      </c>
      <c r="F31" s="5">
        <v>162976</v>
      </c>
      <c r="G31" s="5" t="s">
        <v>364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12</v>
      </c>
      <c r="M31" s="5">
        <v>0</v>
      </c>
      <c r="P31" s="5">
        <v>40</v>
      </c>
      <c r="Q31" s="5" t="s">
        <v>80</v>
      </c>
      <c r="R31" s="5">
        <v>24298</v>
      </c>
      <c r="S31" s="59" t="s">
        <v>322</v>
      </c>
      <c r="T31" s="59" t="s">
        <v>430</v>
      </c>
      <c r="V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Q31" s="5">
        <v>170393</v>
      </c>
      <c r="AR31" s="5" t="b">
        <f t="shared" si="0"/>
        <v>0</v>
      </c>
      <c r="AS31" s="5" t="b">
        <v>1</v>
      </c>
      <c r="AT31" s="5" t="b">
        <f t="shared" si="1"/>
        <v>0</v>
      </c>
      <c r="AU31" s="5" t="b">
        <f t="shared" si="2"/>
        <v>1</v>
      </c>
      <c r="AV31" s="5" t="b">
        <f>Q31=Set_Def!$B$6</f>
        <v>1</v>
      </c>
      <c r="AW31" s="5" t="b">
        <f t="shared" si="3"/>
        <v>0</v>
      </c>
      <c r="AX31" s="5" t="b">
        <f t="shared" si="4"/>
        <v>0</v>
      </c>
    </row>
    <row r="32" spans="1:50" x14ac:dyDescent="0.25">
      <c r="A32" s="13" t="s">
        <v>301</v>
      </c>
      <c r="B32" s="5">
        <v>2</v>
      </c>
      <c r="C32" s="5">
        <v>30</v>
      </c>
      <c r="D32" s="5">
        <v>1</v>
      </c>
      <c r="F32" s="5">
        <v>265059</v>
      </c>
      <c r="G32" s="5" t="s">
        <v>466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12</v>
      </c>
      <c r="M32" s="5">
        <v>200</v>
      </c>
      <c r="P32" s="5">
        <v>40</v>
      </c>
      <c r="Q32" s="5" t="s">
        <v>80</v>
      </c>
      <c r="R32" s="5">
        <v>52032</v>
      </c>
      <c r="S32" s="59" t="s">
        <v>323</v>
      </c>
      <c r="T32" s="59" t="s">
        <v>431</v>
      </c>
      <c r="V32" s="5">
        <v>0</v>
      </c>
      <c r="Y32" s="5">
        <v>0</v>
      </c>
      <c r="Z32" s="5">
        <v>0</v>
      </c>
      <c r="AA32" s="5">
        <v>0</v>
      </c>
      <c r="AB32" s="5">
        <v>14400</v>
      </c>
      <c r="AC32" s="5">
        <v>0</v>
      </c>
      <c r="AD32" s="5">
        <v>0</v>
      </c>
      <c r="AE32" s="5">
        <v>0</v>
      </c>
      <c r="AQ32" s="5">
        <v>170393</v>
      </c>
      <c r="AR32" s="5" t="b">
        <f t="shared" si="0"/>
        <v>0</v>
      </c>
      <c r="AS32" s="5" t="b">
        <v>1</v>
      </c>
      <c r="AT32" s="5" t="b">
        <f t="shared" si="1"/>
        <v>1</v>
      </c>
      <c r="AU32" s="5" t="b">
        <f t="shared" si="2"/>
        <v>1</v>
      </c>
      <c r="AV32" s="5" t="b">
        <f>Q32=Set_Def!$B$6</f>
        <v>1</v>
      </c>
      <c r="AW32" s="5" t="b">
        <f t="shared" si="3"/>
        <v>1</v>
      </c>
      <c r="AX32" s="5" t="b">
        <f t="shared" si="4"/>
        <v>0</v>
      </c>
    </row>
    <row r="33" spans="1:50" x14ac:dyDescent="0.25">
      <c r="A33" s="13" t="s">
        <v>301</v>
      </c>
      <c r="B33" s="5">
        <v>2</v>
      </c>
      <c r="C33" s="5">
        <v>31</v>
      </c>
      <c r="D33" s="5">
        <v>1</v>
      </c>
      <c r="F33" s="5">
        <v>265059</v>
      </c>
      <c r="G33" s="5" t="s">
        <v>466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12</v>
      </c>
      <c r="M33" s="5">
        <v>0</v>
      </c>
      <c r="P33" s="5">
        <v>40</v>
      </c>
      <c r="Q33" s="5" t="s">
        <v>80</v>
      </c>
      <c r="R33" s="5">
        <v>92960</v>
      </c>
      <c r="S33" s="59" t="s">
        <v>389</v>
      </c>
      <c r="T33" s="59" t="s">
        <v>432</v>
      </c>
      <c r="V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Q33" s="5">
        <v>170393</v>
      </c>
      <c r="AR33" s="5" t="b">
        <f t="shared" si="0"/>
        <v>0</v>
      </c>
      <c r="AS33" s="5" t="b">
        <v>1</v>
      </c>
      <c r="AT33" s="5" t="b">
        <f t="shared" si="1"/>
        <v>0</v>
      </c>
      <c r="AU33" s="5" t="b">
        <f t="shared" si="2"/>
        <v>1</v>
      </c>
      <c r="AV33" s="5" t="b">
        <f>Q33=Set_Def!$B$6</f>
        <v>1</v>
      </c>
      <c r="AW33" s="5" t="b">
        <f t="shared" si="3"/>
        <v>0</v>
      </c>
      <c r="AX33" s="5" t="b">
        <f t="shared" si="4"/>
        <v>0</v>
      </c>
    </row>
    <row r="34" spans="1:50" x14ac:dyDescent="0.25">
      <c r="A34" s="13" t="s">
        <v>301</v>
      </c>
      <c r="B34" s="5">
        <v>2</v>
      </c>
      <c r="C34" s="5">
        <v>32</v>
      </c>
      <c r="D34" s="5">
        <v>1</v>
      </c>
      <c r="F34" s="5">
        <v>265059</v>
      </c>
      <c r="G34" s="5" t="s">
        <v>466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12</v>
      </c>
      <c r="M34" s="5">
        <v>0</v>
      </c>
      <c r="P34" s="5">
        <v>40</v>
      </c>
      <c r="Q34" s="5" t="s">
        <v>80</v>
      </c>
      <c r="R34" s="5">
        <v>96070</v>
      </c>
      <c r="S34" s="59" t="s">
        <v>390</v>
      </c>
      <c r="T34" s="59" t="s">
        <v>433</v>
      </c>
      <c r="V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Q34" s="5">
        <v>170393</v>
      </c>
      <c r="AR34" s="5" t="b">
        <f t="shared" ref="AR34:AR65" si="5">IF(OR(A34="",B34="",C34="",C34=0,D34="",E34="",F34="",G34="",L34="",M34="",P34="",Q34="",R34="",S34="",T34="",AB34="",AQ34=""),FALSE,TRUE)</f>
        <v>0</v>
      </c>
      <c r="AS34" s="5" t="b">
        <v>1</v>
      </c>
      <c r="AT34" s="5" t="b">
        <f t="shared" ref="AT34:AT65" si="6">IFERROR(IF(M34&lt;=0,FALSE,TRUE),FALSE)</f>
        <v>0</v>
      </c>
      <c r="AU34" s="5" t="b">
        <f t="shared" ref="AU34:AU65" si="7">IF(OR(P34=40,P34="40"),TRUE,FALSE)</f>
        <v>1</v>
      </c>
      <c r="AV34" s="5" t="b">
        <f>Q34=Set_Def!$B$6</f>
        <v>1</v>
      </c>
      <c r="AW34" s="5" t="b">
        <f t="shared" ref="AW34:AW65" si="8">IFERROR(IF(AB34&lt;=0,FALSE,TRUE),FALSE)</f>
        <v>0</v>
      </c>
      <c r="AX34" s="5" t="b">
        <f t="shared" ref="AX34:AX65" si="9">IF(OR(AR34=FALSE,AS34=FALSE,AT34=FALSE,AU34=FALSE,AV34=FALSE,AW34=FALSE),FALSE,TRUE)</f>
        <v>0</v>
      </c>
    </row>
    <row r="35" spans="1:50" x14ac:dyDescent="0.25">
      <c r="A35" s="13" t="s">
        <v>301</v>
      </c>
      <c r="B35" s="5">
        <v>2</v>
      </c>
      <c r="C35" s="5">
        <v>33</v>
      </c>
      <c r="D35" s="5">
        <v>1</v>
      </c>
      <c r="F35" s="5">
        <v>265059</v>
      </c>
      <c r="G35" s="5" t="s">
        <v>466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12</v>
      </c>
      <c r="M35" s="5">
        <v>0</v>
      </c>
      <c r="P35" s="5">
        <v>40</v>
      </c>
      <c r="Q35" s="5" t="s">
        <v>80</v>
      </c>
      <c r="R35" s="5">
        <v>96070</v>
      </c>
      <c r="S35" s="59" t="s">
        <v>390</v>
      </c>
      <c r="T35" s="59" t="s">
        <v>433</v>
      </c>
      <c r="V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Q35" s="5">
        <v>170393</v>
      </c>
      <c r="AR35" s="5" t="b">
        <f t="shared" si="5"/>
        <v>0</v>
      </c>
      <c r="AS35" s="5" t="b">
        <v>1</v>
      </c>
      <c r="AT35" s="5" t="b">
        <f t="shared" si="6"/>
        <v>0</v>
      </c>
      <c r="AU35" s="5" t="b">
        <f t="shared" si="7"/>
        <v>1</v>
      </c>
      <c r="AV35" s="5" t="b">
        <f>Q35=Set_Def!$B$6</f>
        <v>1</v>
      </c>
      <c r="AW35" s="5" t="b">
        <f t="shared" si="8"/>
        <v>0</v>
      </c>
      <c r="AX35" s="5" t="b">
        <f t="shared" si="9"/>
        <v>0</v>
      </c>
    </row>
    <row r="36" spans="1:50" x14ac:dyDescent="0.25">
      <c r="A36" s="13" t="s">
        <v>301</v>
      </c>
      <c r="B36" s="5">
        <v>2</v>
      </c>
      <c r="C36" s="5">
        <v>34</v>
      </c>
      <c r="D36" s="5">
        <v>1</v>
      </c>
      <c r="F36" s="5">
        <v>265566</v>
      </c>
      <c r="G36" s="5" t="s">
        <v>466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12</v>
      </c>
      <c r="M36" s="5">
        <v>0</v>
      </c>
      <c r="P36" s="5">
        <v>40</v>
      </c>
      <c r="Q36" s="5" t="s">
        <v>80</v>
      </c>
      <c r="R36" s="5">
        <v>52032</v>
      </c>
      <c r="S36" s="59" t="s">
        <v>323</v>
      </c>
      <c r="T36" s="59" t="s">
        <v>431</v>
      </c>
      <c r="V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Q36" s="5">
        <v>170393</v>
      </c>
      <c r="AR36" s="5" t="b">
        <f t="shared" si="5"/>
        <v>0</v>
      </c>
      <c r="AS36" s="5" t="b">
        <v>1</v>
      </c>
      <c r="AT36" s="5" t="b">
        <f t="shared" si="6"/>
        <v>0</v>
      </c>
      <c r="AU36" s="5" t="b">
        <f t="shared" si="7"/>
        <v>1</v>
      </c>
      <c r="AV36" s="5" t="b">
        <f>Q36=Set_Def!$B$6</f>
        <v>1</v>
      </c>
      <c r="AW36" s="5" t="b">
        <f t="shared" si="8"/>
        <v>0</v>
      </c>
      <c r="AX36" s="5" t="b">
        <f t="shared" si="9"/>
        <v>0</v>
      </c>
    </row>
    <row r="37" spans="1:50" x14ac:dyDescent="0.25">
      <c r="A37" s="13" t="s">
        <v>301</v>
      </c>
      <c r="B37" s="5">
        <v>2</v>
      </c>
      <c r="C37" s="5">
        <v>35</v>
      </c>
      <c r="D37" s="5">
        <v>1</v>
      </c>
      <c r="F37" s="5">
        <v>265814</v>
      </c>
      <c r="G37" s="5" t="s">
        <v>365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100</v>
      </c>
      <c r="P37" s="5">
        <v>40</v>
      </c>
      <c r="Q37" s="5" t="s">
        <v>80</v>
      </c>
      <c r="R37" s="5">
        <v>96070</v>
      </c>
      <c r="S37" s="59" t="s">
        <v>390</v>
      </c>
      <c r="T37" s="59" t="s">
        <v>433</v>
      </c>
      <c r="V37" s="5">
        <v>0</v>
      </c>
      <c r="Y37" s="5">
        <v>0</v>
      </c>
      <c r="Z37" s="5">
        <v>0</v>
      </c>
      <c r="AA37" s="5">
        <v>0</v>
      </c>
      <c r="AB37" s="5">
        <v>7000</v>
      </c>
      <c r="AC37" s="5">
        <v>0</v>
      </c>
      <c r="AD37" s="5">
        <v>0</v>
      </c>
      <c r="AE37" s="5">
        <v>0</v>
      </c>
      <c r="AQ37" s="5">
        <v>170393</v>
      </c>
      <c r="AR37" s="5" t="b">
        <f t="shared" si="5"/>
        <v>0</v>
      </c>
      <c r="AS37" s="5" t="b">
        <v>1</v>
      </c>
      <c r="AT37" s="5" t="b">
        <f t="shared" si="6"/>
        <v>1</v>
      </c>
      <c r="AU37" s="5" t="b">
        <f t="shared" si="7"/>
        <v>1</v>
      </c>
      <c r="AV37" s="5" t="b">
        <f>Q37=Set_Def!$B$6</f>
        <v>1</v>
      </c>
      <c r="AW37" s="5" t="b">
        <f t="shared" si="8"/>
        <v>1</v>
      </c>
      <c r="AX37" s="5" t="b">
        <f t="shared" si="9"/>
        <v>0</v>
      </c>
    </row>
    <row r="38" spans="1:50" x14ac:dyDescent="0.25">
      <c r="A38" s="13" t="s">
        <v>301</v>
      </c>
      <c r="B38" s="5">
        <v>2</v>
      </c>
      <c r="C38" s="5">
        <v>36</v>
      </c>
      <c r="D38" s="5">
        <v>1</v>
      </c>
      <c r="E38" s="5">
        <v>48211090</v>
      </c>
      <c r="F38" s="5">
        <v>265814</v>
      </c>
      <c r="G38" s="5" t="s">
        <v>366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12</v>
      </c>
      <c r="M38" s="5">
        <v>0</v>
      </c>
      <c r="P38" s="5">
        <v>40</v>
      </c>
      <c r="Q38" s="5" t="s">
        <v>80</v>
      </c>
      <c r="R38" s="5">
        <v>109069</v>
      </c>
      <c r="S38" s="59" t="s">
        <v>391</v>
      </c>
      <c r="T38" s="59" t="s">
        <v>434</v>
      </c>
      <c r="V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Q38" s="5">
        <v>170393</v>
      </c>
      <c r="AR38" s="5" t="b">
        <f t="shared" si="5"/>
        <v>1</v>
      </c>
      <c r="AS38" s="5" t="b">
        <v>1</v>
      </c>
      <c r="AT38" s="5" t="b">
        <f t="shared" si="6"/>
        <v>0</v>
      </c>
      <c r="AU38" s="5" t="b">
        <f t="shared" si="7"/>
        <v>1</v>
      </c>
      <c r="AV38" s="5" t="b">
        <f>Q38=Set_Def!$B$6</f>
        <v>1</v>
      </c>
      <c r="AW38" s="5" t="b">
        <f t="shared" si="8"/>
        <v>0</v>
      </c>
      <c r="AX38" s="5" t="b">
        <f t="shared" si="9"/>
        <v>0</v>
      </c>
    </row>
    <row r="39" spans="1:50" x14ac:dyDescent="0.25">
      <c r="A39" s="13" t="s">
        <v>301</v>
      </c>
      <c r="B39" s="5">
        <v>2</v>
      </c>
      <c r="C39" s="5">
        <v>37</v>
      </c>
      <c r="D39" s="5">
        <v>1</v>
      </c>
      <c r="F39" s="5">
        <v>265957</v>
      </c>
      <c r="G39" s="5" t="s">
        <v>367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12</v>
      </c>
      <c r="M39" s="5">
        <v>100</v>
      </c>
      <c r="P39" s="5">
        <v>40</v>
      </c>
      <c r="Q39" s="5" t="s">
        <v>80</v>
      </c>
      <c r="R39" s="5">
        <v>50886</v>
      </c>
      <c r="S39" s="59" t="s">
        <v>392</v>
      </c>
      <c r="T39" s="59" t="s">
        <v>435</v>
      </c>
      <c r="V39" s="5">
        <v>0</v>
      </c>
      <c r="Y39" s="5">
        <v>0</v>
      </c>
      <c r="Z39" s="5">
        <v>0</v>
      </c>
      <c r="AA39" s="5">
        <v>0</v>
      </c>
      <c r="AB39" s="5">
        <v>42000</v>
      </c>
      <c r="AC39" s="5">
        <v>0</v>
      </c>
      <c r="AD39" s="5">
        <v>0</v>
      </c>
      <c r="AE39" s="5">
        <v>0</v>
      </c>
      <c r="AQ39" s="5">
        <v>170393</v>
      </c>
      <c r="AR39" s="5" t="b">
        <f t="shared" si="5"/>
        <v>0</v>
      </c>
      <c r="AS39" s="5" t="b">
        <v>1</v>
      </c>
      <c r="AT39" s="5" t="b">
        <f t="shared" si="6"/>
        <v>1</v>
      </c>
      <c r="AU39" s="5" t="b">
        <f t="shared" si="7"/>
        <v>1</v>
      </c>
      <c r="AV39" s="5" t="b">
        <f>Q39=Set_Def!$B$6</f>
        <v>1</v>
      </c>
      <c r="AW39" s="5" t="b">
        <f t="shared" si="8"/>
        <v>1</v>
      </c>
      <c r="AX39" s="5" t="b">
        <f t="shared" si="9"/>
        <v>0</v>
      </c>
    </row>
    <row r="40" spans="1:50" x14ac:dyDescent="0.25">
      <c r="A40" s="13" t="s">
        <v>301</v>
      </c>
      <c r="B40" s="5">
        <v>2</v>
      </c>
      <c r="C40" s="5">
        <v>38</v>
      </c>
      <c r="D40" s="5">
        <v>1</v>
      </c>
      <c r="F40" s="5">
        <v>268576</v>
      </c>
      <c r="G40" s="5" t="s">
        <v>368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100</v>
      </c>
      <c r="P40" s="5">
        <v>40</v>
      </c>
      <c r="Q40" s="5" t="s">
        <v>80</v>
      </c>
      <c r="R40" s="5">
        <v>101922</v>
      </c>
      <c r="S40" s="59" t="s">
        <v>393</v>
      </c>
      <c r="T40" s="59" t="s">
        <v>436</v>
      </c>
      <c r="V40" s="5">
        <v>0</v>
      </c>
      <c r="Y40" s="5">
        <v>0</v>
      </c>
      <c r="Z40" s="5">
        <v>0</v>
      </c>
      <c r="AA40" s="5">
        <v>0</v>
      </c>
      <c r="AB40" s="5">
        <v>67000</v>
      </c>
      <c r="AC40" s="5">
        <v>0</v>
      </c>
      <c r="AD40" s="5">
        <v>0</v>
      </c>
      <c r="AE40" s="5">
        <v>0</v>
      </c>
      <c r="AQ40" s="5">
        <v>170393</v>
      </c>
      <c r="AR40" s="5" t="b">
        <f t="shared" si="5"/>
        <v>0</v>
      </c>
      <c r="AS40" s="5" t="b">
        <v>1</v>
      </c>
      <c r="AT40" s="5" t="b">
        <f t="shared" si="6"/>
        <v>1</v>
      </c>
      <c r="AU40" s="5" t="b">
        <f t="shared" si="7"/>
        <v>1</v>
      </c>
      <c r="AV40" s="5" t="b">
        <f>Q40=Set_Def!$B$6</f>
        <v>1</v>
      </c>
      <c r="AW40" s="5" t="b">
        <f t="shared" si="8"/>
        <v>1</v>
      </c>
      <c r="AX40" s="5" t="b">
        <f t="shared" si="9"/>
        <v>0</v>
      </c>
    </row>
    <row r="41" spans="1:50" x14ac:dyDescent="0.25">
      <c r="A41" s="13" t="s">
        <v>301</v>
      </c>
      <c r="B41" s="5">
        <v>2</v>
      </c>
      <c r="C41" s="5">
        <v>39</v>
      </c>
      <c r="D41" s="5">
        <v>1</v>
      </c>
      <c r="F41" s="5">
        <v>268576</v>
      </c>
      <c r="G41" s="5" t="s">
        <v>368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12</v>
      </c>
      <c r="M41" s="5">
        <v>0</v>
      </c>
      <c r="P41" s="5">
        <v>40</v>
      </c>
      <c r="Q41" s="5" t="s">
        <v>80</v>
      </c>
      <c r="R41" s="5">
        <v>104256</v>
      </c>
      <c r="S41" s="59" t="s">
        <v>394</v>
      </c>
      <c r="T41" s="59" t="s">
        <v>437</v>
      </c>
      <c r="V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Q41" s="5">
        <v>170393</v>
      </c>
      <c r="AR41" s="5" t="b">
        <f t="shared" si="5"/>
        <v>0</v>
      </c>
      <c r="AS41" s="5" t="b">
        <v>1</v>
      </c>
      <c r="AT41" s="5" t="b">
        <f t="shared" si="6"/>
        <v>0</v>
      </c>
      <c r="AU41" s="5" t="b">
        <f t="shared" si="7"/>
        <v>1</v>
      </c>
      <c r="AV41" s="5" t="b">
        <f>Q41=Set_Def!$B$6</f>
        <v>1</v>
      </c>
      <c r="AW41" s="5" t="b">
        <f t="shared" si="8"/>
        <v>0</v>
      </c>
      <c r="AX41" s="5" t="b">
        <f t="shared" si="9"/>
        <v>0</v>
      </c>
    </row>
    <row r="42" spans="1:50" x14ac:dyDescent="0.25">
      <c r="A42" s="13" t="s">
        <v>301</v>
      </c>
      <c r="B42" s="5">
        <v>2</v>
      </c>
      <c r="C42" s="5">
        <v>40</v>
      </c>
      <c r="D42" s="5">
        <v>1</v>
      </c>
      <c r="F42" s="5">
        <v>268576</v>
      </c>
      <c r="G42" s="5" t="s">
        <v>368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12</v>
      </c>
      <c r="M42" s="5">
        <v>0</v>
      </c>
      <c r="P42" s="5">
        <v>40</v>
      </c>
      <c r="Q42" s="5" t="s">
        <v>80</v>
      </c>
      <c r="R42" s="5">
        <v>107249</v>
      </c>
      <c r="S42" s="59" t="s">
        <v>330</v>
      </c>
      <c r="T42" s="59" t="s">
        <v>438</v>
      </c>
      <c r="V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Q42" s="5">
        <v>170393</v>
      </c>
      <c r="AR42" s="5" t="b">
        <f t="shared" si="5"/>
        <v>0</v>
      </c>
      <c r="AS42" s="5" t="b">
        <v>1</v>
      </c>
      <c r="AT42" s="5" t="b">
        <f t="shared" si="6"/>
        <v>0</v>
      </c>
      <c r="AU42" s="5" t="b">
        <f t="shared" si="7"/>
        <v>1</v>
      </c>
      <c r="AV42" s="5" t="b">
        <f>Q42=Set_Def!$B$6</f>
        <v>1</v>
      </c>
      <c r="AW42" s="5" t="b">
        <f t="shared" si="8"/>
        <v>0</v>
      </c>
      <c r="AX42" s="5" t="b">
        <f t="shared" si="9"/>
        <v>0</v>
      </c>
    </row>
    <row r="43" spans="1:50" x14ac:dyDescent="0.25">
      <c r="A43" s="13" t="s">
        <v>301</v>
      </c>
      <c r="B43" s="5">
        <v>2</v>
      </c>
      <c r="C43" s="5">
        <v>41</v>
      </c>
      <c r="D43" s="5">
        <v>1</v>
      </c>
      <c r="F43" s="5">
        <v>268576</v>
      </c>
      <c r="G43" s="5" t="s">
        <v>368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12</v>
      </c>
      <c r="M43" s="5">
        <v>0</v>
      </c>
      <c r="P43" s="5">
        <v>40</v>
      </c>
      <c r="Q43" s="5" t="s">
        <v>80</v>
      </c>
      <c r="R43" s="5">
        <v>112362</v>
      </c>
      <c r="S43" s="59" t="s">
        <v>395</v>
      </c>
      <c r="T43" s="59" t="s">
        <v>439</v>
      </c>
      <c r="V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Q43" s="5">
        <v>170393</v>
      </c>
      <c r="AR43" s="5" t="b">
        <f t="shared" si="5"/>
        <v>0</v>
      </c>
      <c r="AS43" s="5" t="b">
        <v>1</v>
      </c>
      <c r="AT43" s="5" t="b">
        <f t="shared" si="6"/>
        <v>0</v>
      </c>
      <c r="AU43" s="5" t="b">
        <f t="shared" si="7"/>
        <v>1</v>
      </c>
      <c r="AV43" s="5" t="b">
        <f>Q43=Set_Def!$B$6</f>
        <v>1</v>
      </c>
      <c r="AW43" s="5" t="b">
        <f t="shared" si="8"/>
        <v>0</v>
      </c>
      <c r="AX43" s="5" t="b">
        <f t="shared" si="9"/>
        <v>0</v>
      </c>
    </row>
    <row r="44" spans="1:50" x14ac:dyDescent="0.25">
      <c r="A44" s="13" t="s">
        <v>301</v>
      </c>
      <c r="B44" s="5">
        <v>2</v>
      </c>
      <c r="C44" s="5">
        <v>42</v>
      </c>
      <c r="D44" s="5">
        <v>1</v>
      </c>
      <c r="F44" s="5">
        <v>268576</v>
      </c>
      <c r="G44" s="5" t="s">
        <v>369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12</v>
      </c>
      <c r="M44" s="5">
        <v>0</v>
      </c>
      <c r="P44" s="5">
        <v>40</v>
      </c>
      <c r="Q44" s="5" t="s">
        <v>80</v>
      </c>
      <c r="R44" s="5">
        <v>84562</v>
      </c>
      <c r="S44" s="59" t="s">
        <v>396</v>
      </c>
      <c r="T44" s="59" t="s">
        <v>440</v>
      </c>
      <c r="V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Q44" s="5">
        <v>170393</v>
      </c>
      <c r="AR44" s="5" t="b">
        <f t="shared" si="5"/>
        <v>0</v>
      </c>
      <c r="AS44" s="5" t="b">
        <v>1</v>
      </c>
      <c r="AT44" s="5" t="b">
        <f t="shared" si="6"/>
        <v>0</v>
      </c>
      <c r="AU44" s="5" t="b">
        <f t="shared" si="7"/>
        <v>1</v>
      </c>
      <c r="AV44" s="5" t="b">
        <f>Q44=Set_Def!$B$6</f>
        <v>1</v>
      </c>
      <c r="AW44" s="5" t="b">
        <f t="shared" si="8"/>
        <v>0</v>
      </c>
      <c r="AX44" s="5" t="b">
        <f t="shared" si="9"/>
        <v>0</v>
      </c>
    </row>
    <row r="45" spans="1:50" x14ac:dyDescent="0.25">
      <c r="A45" s="13" t="s">
        <v>301</v>
      </c>
      <c r="B45" s="5">
        <v>2</v>
      </c>
      <c r="C45" s="5">
        <v>43</v>
      </c>
      <c r="D45" s="5">
        <v>1</v>
      </c>
      <c r="F45" s="5">
        <v>268576</v>
      </c>
      <c r="G45" s="5" t="s">
        <v>368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0</v>
      </c>
      <c r="P45" s="5">
        <v>40</v>
      </c>
      <c r="Q45" s="5" t="s">
        <v>80</v>
      </c>
      <c r="R45" s="5">
        <v>99007</v>
      </c>
      <c r="S45" s="59" t="s">
        <v>309</v>
      </c>
      <c r="T45" s="59" t="s">
        <v>441</v>
      </c>
      <c r="V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Q45" s="5">
        <v>170393</v>
      </c>
      <c r="AR45" s="5" t="b">
        <f t="shared" si="5"/>
        <v>0</v>
      </c>
      <c r="AS45" s="5" t="b">
        <v>1</v>
      </c>
      <c r="AT45" s="5" t="b">
        <f t="shared" si="6"/>
        <v>0</v>
      </c>
      <c r="AU45" s="5" t="b">
        <f t="shared" si="7"/>
        <v>1</v>
      </c>
      <c r="AV45" s="5" t="b">
        <f>Q45=Set_Def!$B$6</f>
        <v>1</v>
      </c>
      <c r="AW45" s="5" t="b">
        <f t="shared" si="8"/>
        <v>0</v>
      </c>
      <c r="AX45" s="5" t="b">
        <f t="shared" si="9"/>
        <v>0</v>
      </c>
    </row>
    <row r="46" spans="1:50" x14ac:dyDescent="0.25">
      <c r="A46" s="13" t="s">
        <v>301</v>
      </c>
      <c r="B46" s="5">
        <v>2</v>
      </c>
      <c r="C46" s="5">
        <v>44</v>
      </c>
      <c r="D46" s="5">
        <v>1</v>
      </c>
      <c r="F46" s="5">
        <v>268577</v>
      </c>
      <c r="G46" s="5" t="s">
        <v>370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4.17</v>
      </c>
      <c r="P46" s="5">
        <v>40</v>
      </c>
      <c r="Q46" s="5" t="s">
        <v>80</v>
      </c>
      <c r="R46" s="5">
        <v>102870</v>
      </c>
      <c r="S46" s="59" t="s">
        <v>397</v>
      </c>
      <c r="T46" s="59" t="s">
        <v>442</v>
      </c>
      <c r="V46" s="5">
        <v>0</v>
      </c>
      <c r="Y46" s="5">
        <v>0</v>
      </c>
      <c r="Z46" s="5">
        <v>0</v>
      </c>
      <c r="AA46" s="5">
        <v>0</v>
      </c>
      <c r="AB46" s="5">
        <v>51291</v>
      </c>
      <c r="AC46" s="5">
        <v>0</v>
      </c>
      <c r="AD46" s="5">
        <v>0</v>
      </c>
      <c r="AE46" s="5">
        <v>0</v>
      </c>
      <c r="AQ46" s="5">
        <v>170393</v>
      </c>
      <c r="AR46" s="5" t="b">
        <f t="shared" si="5"/>
        <v>0</v>
      </c>
      <c r="AS46" s="5" t="b">
        <v>1</v>
      </c>
      <c r="AT46" s="5" t="b">
        <f t="shared" si="6"/>
        <v>1</v>
      </c>
      <c r="AU46" s="5" t="b">
        <f t="shared" si="7"/>
        <v>1</v>
      </c>
      <c r="AV46" s="5" t="b">
        <f>Q46=Set_Def!$B$6</f>
        <v>1</v>
      </c>
      <c r="AW46" s="5" t="b">
        <f t="shared" si="8"/>
        <v>1</v>
      </c>
      <c r="AX46" s="5" t="b">
        <f t="shared" si="9"/>
        <v>0</v>
      </c>
    </row>
    <row r="47" spans="1:50" x14ac:dyDescent="0.25">
      <c r="A47" s="13" t="s">
        <v>301</v>
      </c>
      <c r="B47" s="5">
        <v>2</v>
      </c>
      <c r="C47" s="5">
        <v>45</v>
      </c>
      <c r="D47" s="5">
        <v>1</v>
      </c>
      <c r="F47" s="5">
        <v>268577</v>
      </c>
      <c r="G47" s="5" t="s">
        <v>371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12</v>
      </c>
      <c r="M47" s="5">
        <v>0</v>
      </c>
      <c r="P47" s="5">
        <v>40</v>
      </c>
      <c r="Q47" s="5" t="s">
        <v>80</v>
      </c>
      <c r="R47" s="5">
        <v>108476</v>
      </c>
      <c r="S47" s="59" t="s">
        <v>319</v>
      </c>
      <c r="T47" s="59" t="s">
        <v>425</v>
      </c>
      <c r="V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Q47" s="5">
        <v>170393</v>
      </c>
      <c r="AR47" s="5" t="b">
        <f t="shared" si="5"/>
        <v>0</v>
      </c>
      <c r="AS47" s="5" t="b">
        <v>1</v>
      </c>
      <c r="AT47" s="5" t="b">
        <f t="shared" si="6"/>
        <v>0</v>
      </c>
      <c r="AU47" s="5" t="b">
        <f t="shared" si="7"/>
        <v>1</v>
      </c>
      <c r="AV47" s="5" t="b">
        <f>Q47=Set_Def!$B$6</f>
        <v>1</v>
      </c>
      <c r="AW47" s="5" t="b">
        <f t="shared" si="8"/>
        <v>0</v>
      </c>
      <c r="AX47" s="5" t="b">
        <f t="shared" si="9"/>
        <v>0</v>
      </c>
    </row>
    <row r="48" spans="1:50" x14ac:dyDescent="0.25">
      <c r="A48" s="13" t="s">
        <v>301</v>
      </c>
      <c r="B48" s="5">
        <v>2</v>
      </c>
      <c r="C48" s="5">
        <v>46</v>
      </c>
      <c r="D48" s="5">
        <v>1</v>
      </c>
      <c r="F48" s="5">
        <v>268577</v>
      </c>
      <c r="G48" s="5" t="s">
        <v>372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0</v>
      </c>
      <c r="P48" s="5">
        <v>40</v>
      </c>
      <c r="Q48" s="5" t="s">
        <v>80</v>
      </c>
      <c r="R48" s="5">
        <v>108482</v>
      </c>
      <c r="S48" s="59" t="s">
        <v>319</v>
      </c>
      <c r="T48" s="59" t="s">
        <v>426</v>
      </c>
      <c r="V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Q48" s="5">
        <v>170393</v>
      </c>
      <c r="AR48" s="5" t="b">
        <f t="shared" si="5"/>
        <v>0</v>
      </c>
      <c r="AS48" s="5" t="b">
        <v>1</v>
      </c>
      <c r="AT48" s="5" t="b">
        <f t="shared" si="6"/>
        <v>0</v>
      </c>
      <c r="AU48" s="5" t="b">
        <f t="shared" si="7"/>
        <v>1</v>
      </c>
      <c r="AV48" s="5" t="b">
        <f>Q48=Set_Def!$B$6</f>
        <v>1</v>
      </c>
      <c r="AW48" s="5" t="b">
        <f t="shared" si="8"/>
        <v>0</v>
      </c>
      <c r="AX48" s="5" t="b">
        <f t="shared" si="9"/>
        <v>0</v>
      </c>
    </row>
    <row r="49" spans="1:50" x14ac:dyDescent="0.25">
      <c r="A49" s="13" t="s">
        <v>301</v>
      </c>
      <c r="B49" s="5">
        <v>2</v>
      </c>
      <c r="C49" s="5">
        <v>47</v>
      </c>
      <c r="D49" s="5">
        <v>1</v>
      </c>
      <c r="F49" s="5">
        <v>268577</v>
      </c>
      <c r="G49" s="5" t="s">
        <v>372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0</v>
      </c>
      <c r="P49" s="5">
        <v>40</v>
      </c>
      <c r="Q49" s="5" t="s">
        <v>80</v>
      </c>
      <c r="R49" s="5">
        <v>108482</v>
      </c>
      <c r="S49" s="59" t="s">
        <v>319</v>
      </c>
      <c r="T49" s="59" t="s">
        <v>426</v>
      </c>
      <c r="V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Q49" s="5">
        <v>170393</v>
      </c>
      <c r="AR49" s="5" t="b">
        <f t="shared" si="5"/>
        <v>0</v>
      </c>
      <c r="AS49" s="5" t="b">
        <v>1</v>
      </c>
      <c r="AT49" s="5" t="b">
        <f t="shared" si="6"/>
        <v>0</v>
      </c>
      <c r="AU49" s="5" t="b">
        <f t="shared" si="7"/>
        <v>1</v>
      </c>
      <c r="AV49" s="5" t="b">
        <f>Q49=Set_Def!$B$6</f>
        <v>1</v>
      </c>
      <c r="AW49" s="5" t="b">
        <f t="shared" si="8"/>
        <v>0</v>
      </c>
      <c r="AX49" s="5" t="b">
        <f t="shared" si="9"/>
        <v>0</v>
      </c>
    </row>
    <row r="50" spans="1:50" x14ac:dyDescent="0.25">
      <c r="A50" s="13" t="s">
        <v>301</v>
      </c>
      <c r="B50" s="5">
        <v>2</v>
      </c>
      <c r="C50" s="5">
        <v>48</v>
      </c>
      <c r="D50" s="5">
        <v>1</v>
      </c>
      <c r="F50" s="5">
        <v>269872</v>
      </c>
      <c r="G50" s="5" t="s">
        <v>373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4</v>
      </c>
      <c r="P50" s="5">
        <v>40</v>
      </c>
      <c r="Q50" s="5" t="s">
        <v>80</v>
      </c>
      <c r="R50" s="5">
        <v>101304</v>
      </c>
      <c r="S50" s="59" t="s">
        <v>398</v>
      </c>
      <c r="T50" s="59" t="s">
        <v>443</v>
      </c>
      <c r="V50" s="5">
        <v>0</v>
      </c>
      <c r="Y50" s="5">
        <v>0</v>
      </c>
      <c r="Z50" s="5">
        <v>0</v>
      </c>
      <c r="AA50" s="5">
        <v>0</v>
      </c>
      <c r="AB50" s="5">
        <v>6860</v>
      </c>
      <c r="AC50" s="5">
        <v>0</v>
      </c>
      <c r="AD50" s="5">
        <v>0</v>
      </c>
      <c r="AE50" s="5">
        <v>0</v>
      </c>
      <c r="AQ50" s="5">
        <v>170393</v>
      </c>
      <c r="AR50" s="5" t="b">
        <f t="shared" si="5"/>
        <v>0</v>
      </c>
      <c r="AS50" s="5" t="b">
        <v>1</v>
      </c>
      <c r="AT50" s="5" t="b">
        <f t="shared" si="6"/>
        <v>1</v>
      </c>
      <c r="AU50" s="5" t="b">
        <f t="shared" si="7"/>
        <v>1</v>
      </c>
      <c r="AV50" s="5" t="b">
        <f>Q50=Set_Def!$B$6</f>
        <v>1</v>
      </c>
      <c r="AW50" s="5" t="b">
        <f t="shared" si="8"/>
        <v>1</v>
      </c>
      <c r="AX50" s="5" t="b">
        <f t="shared" si="9"/>
        <v>0</v>
      </c>
    </row>
    <row r="51" spans="1:50" x14ac:dyDescent="0.25">
      <c r="A51" s="13" t="s">
        <v>301</v>
      </c>
      <c r="B51" s="5">
        <v>2</v>
      </c>
      <c r="C51" s="5">
        <v>49</v>
      </c>
      <c r="D51" s="5">
        <v>1</v>
      </c>
      <c r="F51" s="5">
        <v>269872</v>
      </c>
      <c r="G51" s="5" t="s">
        <v>373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0</v>
      </c>
      <c r="P51" s="5">
        <v>40</v>
      </c>
      <c r="Q51" s="5" t="s">
        <v>80</v>
      </c>
      <c r="R51" s="5">
        <v>101313</v>
      </c>
      <c r="S51" s="59" t="s">
        <v>398</v>
      </c>
      <c r="T51" s="59" t="s">
        <v>444</v>
      </c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170393</v>
      </c>
      <c r="AR51" s="5" t="b">
        <f t="shared" si="5"/>
        <v>0</v>
      </c>
      <c r="AS51" s="5" t="b">
        <v>1</v>
      </c>
      <c r="AT51" s="5" t="b">
        <f t="shared" si="6"/>
        <v>0</v>
      </c>
      <c r="AU51" s="5" t="b">
        <f t="shared" si="7"/>
        <v>1</v>
      </c>
      <c r="AV51" s="5" t="b">
        <f>Q51=Set_Def!$B$6</f>
        <v>1</v>
      </c>
      <c r="AW51" s="5" t="b">
        <f t="shared" si="8"/>
        <v>0</v>
      </c>
      <c r="AX51" s="5" t="b">
        <f t="shared" si="9"/>
        <v>0</v>
      </c>
    </row>
    <row r="52" spans="1:50" x14ac:dyDescent="0.25">
      <c r="A52" s="13" t="s">
        <v>301</v>
      </c>
      <c r="B52" s="5">
        <v>2</v>
      </c>
      <c r="C52" s="5">
        <v>50</v>
      </c>
      <c r="D52" s="5">
        <v>1</v>
      </c>
      <c r="F52" s="5">
        <v>269872</v>
      </c>
      <c r="G52" s="5" t="s">
        <v>373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0</v>
      </c>
      <c r="P52" s="5">
        <v>40</v>
      </c>
      <c r="Q52" s="5" t="s">
        <v>80</v>
      </c>
      <c r="R52" s="5">
        <v>101320</v>
      </c>
      <c r="S52" s="59" t="s">
        <v>398</v>
      </c>
      <c r="T52" s="59" t="s">
        <v>445</v>
      </c>
      <c r="V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Q52" s="5">
        <v>170393</v>
      </c>
      <c r="AR52" s="5" t="b">
        <f t="shared" si="5"/>
        <v>0</v>
      </c>
      <c r="AS52" s="5" t="b">
        <v>1</v>
      </c>
      <c r="AT52" s="5" t="b">
        <f t="shared" si="6"/>
        <v>0</v>
      </c>
      <c r="AU52" s="5" t="b">
        <f t="shared" si="7"/>
        <v>1</v>
      </c>
      <c r="AV52" s="5" t="b">
        <f>Q52=Set_Def!$B$6</f>
        <v>1</v>
      </c>
      <c r="AW52" s="5" t="b">
        <f t="shared" si="8"/>
        <v>0</v>
      </c>
      <c r="AX52" s="5" t="b">
        <f t="shared" si="9"/>
        <v>0</v>
      </c>
    </row>
    <row r="53" spans="1:50" x14ac:dyDescent="0.25">
      <c r="A53" s="13" t="s">
        <v>301</v>
      </c>
      <c r="B53" s="5">
        <v>2</v>
      </c>
      <c r="C53" s="5">
        <v>51</v>
      </c>
      <c r="D53" s="5">
        <v>1</v>
      </c>
      <c r="F53" s="5">
        <v>274641</v>
      </c>
      <c r="G53" s="5" t="s">
        <v>467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12</v>
      </c>
      <c r="M53" s="5">
        <v>2</v>
      </c>
      <c r="P53" s="5">
        <v>40</v>
      </c>
      <c r="Q53" s="5" t="s">
        <v>80</v>
      </c>
      <c r="R53" s="5">
        <v>67108</v>
      </c>
      <c r="S53" s="59" t="s">
        <v>399</v>
      </c>
      <c r="T53" s="59" t="s">
        <v>446</v>
      </c>
      <c r="V53" s="5">
        <v>0</v>
      </c>
      <c r="Y53" s="5">
        <v>0</v>
      </c>
      <c r="Z53" s="5">
        <v>0</v>
      </c>
      <c r="AA53" s="5">
        <v>0</v>
      </c>
      <c r="AB53" s="5">
        <v>24000</v>
      </c>
      <c r="AC53" s="5">
        <v>0</v>
      </c>
      <c r="AD53" s="5">
        <v>0</v>
      </c>
      <c r="AE53" s="5">
        <v>0</v>
      </c>
      <c r="AQ53" s="5">
        <v>170393</v>
      </c>
      <c r="AR53" s="5" t="b">
        <f t="shared" si="5"/>
        <v>0</v>
      </c>
      <c r="AS53" s="5" t="b">
        <v>1</v>
      </c>
      <c r="AT53" s="5" t="b">
        <f t="shared" si="6"/>
        <v>1</v>
      </c>
      <c r="AU53" s="5" t="b">
        <f t="shared" si="7"/>
        <v>1</v>
      </c>
      <c r="AV53" s="5" t="b">
        <f>Q53=Set_Def!$B$6</f>
        <v>1</v>
      </c>
      <c r="AW53" s="5" t="b">
        <f t="shared" si="8"/>
        <v>1</v>
      </c>
      <c r="AX53" s="5" t="b">
        <f t="shared" si="9"/>
        <v>0</v>
      </c>
    </row>
    <row r="54" spans="1:50" x14ac:dyDescent="0.25">
      <c r="A54" s="13" t="s">
        <v>301</v>
      </c>
      <c r="B54" s="5">
        <v>2</v>
      </c>
      <c r="C54" s="5">
        <v>52</v>
      </c>
      <c r="D54" s="5">
        <v>1</v>
      </c>
      <c r="F54" s="5">
        <v>274642</v>
      </c>
      <c r="G54" s="5" t="s">
        <v>467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12</v>
      </c>
      <c r="M54" s="5">
        <v>3</v>
      </c>
      <c r="P54" s="5">
        <v>40</v>
      </c>
      <c r="Q54" s="5" t="s">
        <v>80</v>
      </c>
      <c r="R54" s="5">
        <v>67108</v>
      </c>
      <c r="S54" s="59" t="s">
        <v>399</v>
      </c>
      <c r="T54" s="59" t="s">
        <v>446</v>
      </c>
      <c r="V54" s="5">
        <v>0</v>
      </c>
      <c r="Y54" s="5">
        <v>0</v>
      </c>
      <c r="Z54" s="5">
        <v>0</v>
      </c>
      <c r="AA54" s="5">
        <v>0</v>
      </c>
      <c r="AB54" s="5">
        <v>36000</v>
      </c>
      <c r="AC54" s="5">
        <v>0</v>
      </c>
      <c r="AD54" s="5">
        <v>0</v>
      </c>
      <c r="AE54" s="5">
        <v>0</v>
      </c>
      <c r="AQ54" s="5">
        <v>170393</v>
      </c>
      <c r="AR54" s="5" t="b">
        <f t="shared" si="5"/>
        <v>0</v>
      </c>
      <c r="AS54" s="5" t="b">
        <v>1</v>
      </c>
      <c r="AT54" s="5" t="b">
        <f t="shared" si="6"/>
        <v>1</v>
      </c>
      <c r="AU54" s="5" t="b">
        <f t="shared" si="7"/>
        <v>1</v>
      </c>
      <c r="AV54" s="5" t="b">
        <f>Q54=Set_Def!$B$6</f>
        <v>1</v>
      </c>
      <c r="AW54" s="5" t="b">
        <f t="shared" si="8"/>
        <v>1</v>
      </c>
      <c r="AX54" s="5" t="b">
        <f t="shared" si="9"/>
        <v>0</v>
      </c>
    </row>
    <row r="55" spans="1:50" x14ac:dyDescent="0.25">
      <c r="A55" s="13" t="s">
        <v>301</v>
      </c>
      <c r="B55" s="5">
        <v>2</v>
      </c>
      <c r="C55" s="5">
        <v>53</v>
      </c>
      <c r="D55" s="5">
        <v>1</v>
      </c>
      <c r="F55" s="5">
        <v>274642</v>
      </c>
      <c r="G55" s="5" t="s">
        <v>374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12</v>
      </c>
      <c r="M55" s="5">
        <v>3</v>
      </c>
      <c r="P55" s="5">
        <v>40</v>
      </c>
      <c r="Q55" s="5" t="s">
        <v>80</v>
      </c>
      <c r="R55" s="5">
        <v>67676</v>
      </c>
      <c r="S55" s="59" t="s">
        <v>400</v>
      </c>
      <c r="T55" s="59" t="s">
        <v>447</v>
      </c>
      <c r="V55" s="5">
        <v>0</v>
      </c>
      <c r="Y55" s="5">
        <v>0</v>
      </c>
      <c r="Z55" s="5">
        <v>0</v>
      </c>
      <c r="AA55" s="5">
        <v>0</v>
      </c>
      <c r="AB55" s="5">
        <v>36000</v>
      </c>
      <c r="AC55" s="5">
        <v>0</v>
      </c>
      <c r="AD55" s="5">
        <v>0</v>
      </c>
      <c r="AE55" s="5">
        <v>0</v>
      </c>
      <c r="AQ55" s="5">
        <v>170393</v>
      </c>
      <c r="AR55" s="5" t="b">
        <f t="shared" si="5"/>
        <v>0</v>
      </c>
      <c r="AS55" s="5" t="b">
        <v>1</v>
      </c>
      <c r="AT55" s="5" t="b">
        <f t="shared" si="6"/>
        <v>1</v>
      </c>
      <c r="AU55" s="5" t="b">
        <f t="shared" si="7"/>
        <v>1</v>
      </c>
      <c r="AV55" s="5" t="b">
        <f>Q55=Set_Def!$B$6</f>
        <v>1</v>
      </c>
      <c r="AW55" s="5" t="b">
        <f t="shared" si="8"/>
        <v>1</v>
      </c>
      <c r="AX55" s="5" t="b">
        <f t="shared" si="9"/>
        <v>0</v>
      </c>
    </row>
    <row r="56" spans="1:50" x14ac:dyDescent="0.25">
      <c r="A56" s="13" t="s">
        <v>301</v>
      </c>
      <c r="B56" s="5">
        <v>2</v>
      </c>
      <c r="C56" s="5">
        <v>54</v>
      </c>
      <c r="D56" s="5">
        <v>1</v>
      </c>
      <c r="F56" s="5">
        <v>278428</v>
      </c>
      <c r="G56" s="5" t="s">
        <v>375</v>
      </c>
      <c r="H56" s="5" t="s">
        <v>60</v>
      </c>
      <c r="I56" s="5" t="s">
        <v>60</v>
      </c>
      <c r="J56" s="5" t="s">
        <v>60</v>
      </c>
      <c r="K56" s="5" t="s">
        <v>60</v>
      </c>
      <c r="L56" s="5" t="s">
        <v>59</v>
      </c>
      <c r="M56" s="5">
        <v>0.74</v>
      </c>
      <c r="P56" s="5">
        <v>40</v>
      </c>
      <c r="Q56" s="5" t="s">
        <v>80</v>
      </c>
      <c r="R56" s="5">
        <v>122479</v>
      </c>
      <c r="S56" s="59" t="s">
        <v>401</v>
      </c>
      <c r="T56" s="59" t="s">
        <v>448</v>
      </c>
      <c r="V56" s="5">
        <v>0</v>
      </c>
      <c r="Y56" s="5">
        <v>0</v>
      </c>
      <c r="Z56" s="5">
        <v>0</v>
      </c>
      <c r="AA56" s="5">
        <v>0</v>
      </c>
      <c r="AB56" s="5">
        <v>5550</v>
      </c>
      <c r="AC56" s="5">
        <v>0</v>
      </c>
      <c r="AD56" s="5">
        <v>0</v>
      </c>
      <c r="AE56" s="5">
        <v>0</v>
      </c>
      <c r="AQ56" s="5">
        <v>170393</v>
      </c>
      <c r="AR56" s="5" t="b">
        <f t="shared" si="5"/>
        <v>0</v>
      </c>
      <c r="AS56" s="5" t="b">
        <v>1</v>
      </c>
      <c r="AT56" s="5" t="b">
        <f t="shared" si="6"/>
        <v>1</v>
      </c>
      <c r="AU56" s="5" t="b">
        <f t="shared" si="7"/>
        <v>1</v>
      </c>
      <c r="AV56" s="5" t="b">
        <f>Q56=Set_Def!$B$6</f>
        <v>1</v>
      </c>
      <c r="AW56" s="5" t="b">
        <f t="shared" si="8"/>
        <v>1</v>
      </c>
      <c r="AX56" s="5" t="b">
        <f t="shared" si="9"/>
        <v>0</v>
      </c>
    </row>
    <row r="57" spans="1:50" x14ac:dyDescent="0.25">
      <c r="A57" s="13" t="s">
        <v>301</v>
      </c>
      <c r="B57" s="5">
        <v>2</v>
      </c>
      <c r="C57" s="5">
        <v>55</v>
      </c>
      <c r="D57" s="5">
        <v>1</v>
      </c>
      <c r="E57" s="5">
        <v>48211090</v>
      </c>
      <c r="F57" s="5">
        <v>278428</v>
      </c>
      <c r="G57" s="5" t="s">
        <v>375</v>
      </c>
      <c r="H57" s="5" t="s">
        <v>60</v>
      </c>
      <c r="I57" s="5" t="s">
        <v>60</v>
      </c>
      <c r="J57" s="5" t="s">
        <v>60</v>
      </c>
      <c r="K57" s="5" t="s">
        <v>60</v>
      </c>
      <c r="L57" s="5" t="s">
        <v>59</v>
      </c>
      <c r="M57" s="5">
        <v>0</v>
      </c>
      <c r="P57" s="5">
        <v>40</v>
      </c>
      <c r="Q57" s="5" t="s">
        <v>80</v>
      </c>
      <c r="R57" s="5">
        <v>34407</v>
      </c>
      <c r="S57" s="59" t="s">
        <v>402</v>
      </c>
      <c r="T57" s="59" t="s">
        <v>449</v>
      </c>
      <c r="V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Q57" s="5">
        <v>170393</v>
      </c>
      <c r="AR57" s="5" t="b">
        <f t="shared" si="5"/>
        <v>1</v>
      </c>
      <c r="AS57" s="5" t="b">
        <v>1</v>
      </c>
      <c r="AT57" s="5" t="b">
        <f t="shared" si="6"/>
        <v>0</v>
      </c>
      <c r="AU57" s="5" t="b">
        <f t="shared" si="7"/>
        <v>1</v>
      </c>
      <c r="AV57" s="5" t="b">
        <f>Q57=Set_Def!$B$6</f>
        <v>1</v>
      </c>
      <c r="AW57" s="5" t="b">
        <f t="shared" si="8"/>
        <v>0</v>
      </c>
      <c r="AX57" s="5" t="b">
        <f t="shared" si="9"/>
        <v>0</v>
      </c>
    </row>
    <row r="58" spans="1:50" x14ac:dyDescent="0.25">
      <c r="A58" s="13" t="s">
        <v>301</v>
      </c>
      <c r="B58" s="5">
        <v>2</v>
      </c>
      <c r="C58" s="5">
        <v>56</v>
      </c>
      <c r="D58" s="5">
        <v>1</v>
      </c>
      <c r="F58" s="5">
        <v>278428</v>
      </c>
      <c r="G58" s="5" t="s">
        <v>375</v>
      </c>
      <c r="H58" s="5" t="s">
        <v>60</v>
      </c>
      <c r="I58" s="5" t="s">
        <v>60</v>
      </c>
      <c r="J58" s="5" t="s">
        <v>60</v>
      </c>
      <c r="K58" s="5" t="s">
        <v>60</v>
      </c>
      <c r="L58" s="5" t="s">
        <v>59</v>
      </c>
      <c r="M58" s="5">
        <v>0</v>
      </c>
      <c r="P58" s="5">
        <v>40</v>
      </c>
      <c r="Q58" s="5" t="s">
        <v>80</v>
      </c>
      <c r="R58" s="5">
        <v>85802</v>
      </c>
      <c r="S58" s="59" t="s">
        <v>403</v>
      </c>
      <c r="T58" s="59" t="s">
        <v>450</v>
      </c>
      <c r="V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Q58" s="5">
        <v>170393</v>
      </c>
      <c r="AR58" s="5" t="b">
        <f t="shared" si="5"/>
        <v>0</v>
      </c>
      <c r="AS58" s="5" t="b">
        <v>1</v>
      </c>
      <c r="AT58" s="5" t="b">
        <f t="shared" si="6"/>
        <v>0</v>
      </c>
      <c r="AU58" s="5" t="b">
        <f t="shared" si="7"/>
        <v>1</v>
      </c>
      <c r="AV58" s="5" t="b">
        <f>Q58=Set_Def!$B$6</f>
        <v>1</v>
      </c>
      <c r="AW58" s="5" t="b">
        <f t="shared" si="8"/>
        <v>0</v>
      </c>
      <c r="AX58" s="5" t="b">
        <f t="shared" si="9"/>
        <v>0</v>
      </c>
    </row>
    <row r="59" spans="1:50" x14ac:dyDescent="0.25">
      <c r="A59" s="13" t="s">
        <v>301</v>
      </c>
      <c r="B59" s="5">
        <v>2</v>
      </c>
      <c r="C59" s="5">
        <v>57</v>
      </c>
      <c r="D59" s="5">
        <v>1</v>
      </c>
      <c r="F59" s="5">
        <v>278428</v>
      </c>
      <c r="G59" s="5" t="s">
        <v>376</v>
      </c>
      <c r="H59" s="5" t="s">
        <v>60</v>
      </c>
      <c r="I59" s="5" t="s">
        <v>60</v>
      </c>
      <c r="J59" s="5" t="s">
        <v>60</v>
      </c>
      <c r="K59" s="5" t="s">
        <v>60</v>
      </c>
      <c r="L59" s="5" t="s">
        <v>59</v>
      </c>
      <c r="M59" s="5">
        <v>0</v>
      </c>
      <c r="P59" s="5">
        <v>40</v>
      </c>
      <c r="Q59" s="5" t="s">
        <v>80</v>
      </c>
      <c r="R59" s="5">
        <v>96297</v>
      </c>
      <c r="S59" s="59" t="s">
        <v>340</v>
      </c>
      <c r="T59" s="59" t="s">
        <v>451</v>
      </c>
      <c r="V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Q59" s="5">
        <v>170393</v>
      </c>
      <c r="AR59" s="5" t="b">
        <f t="shared" si="5"/>
        <v>0</v>
      </c>
      <c r="AS59" s="5" t="b">
        <v>1</v>
      </c>
      <c r="AT59" s="5" t="b">
        <f t="shared" si="6"/>
        <v>0</v>
      </c>
      <c r="AU59" s="5" t="b">
        <f t="shared" si="7"/>
        <v>1</v>
      </c>
      <c r="AV59" s="5" t="b">
        <f>Q59=Set_Def!$B$6</f>
        <v>1</v>
      </c>
      <c r="AW59" s="5" t="b">
        <f t="shared" si="8"/>
        <v>0</v>
      </c>
      <c r="AX59" s="5" t="b">
        <f t="shared" si="9"/>
        <v>0</v>
      </c>
    </row>
    <row r="60" spans="1:50" x14ac:dyDescent="0.25">
      <c r="A60" s="13" t="s">
        <v>301</v>
      </c>
      <c r="B60" s="5">
        <v>2</v>
      </c>
      <c r="C60" s="5">
        <v>58</v>
      </c>
      <c r="D60" s="5">
        <v>1</v>
      </c>
      <c r="F60" s="5">
        <v>285692</v>
      </c>
      <c r="G60" s="5" t="s">
        <v>377</v>
      </c>
      <c r="H60" s="5" t="s">
        <v>60</v>
      </c>
      <c r="I60" s="5" t="s">
        <v>60</v>
      </c>
      <c r="J60" s="5" t="s">
        <v>60</v>
      </c>
      <c r="K60" s="5" t="s">
        <v>60</v>
      </c>
      <c r="L60" s="5" t="s">
        <v>12</v>
      </c>
      <c r="M60" s="5">
        <v>100</v>
      </c>
      <c r="P60" s="5">
        <v>40</v>
      </c>
      <c r="Q60" s="5" t="s">
        <v>80</v>
      </c>
      <c r="R60" s="5">
        <v>105403</v>
      </c>
      <c r="S60" s="59" t="s">
        <v>341</v>
      </c>
      <c r="T60" s="59" t="s">
        <v>452</v>
      </c>
      <c r="V60" s="5">
        <v>0</v>
      </c>
      <c r="Y60" s="5">
        <v>0</v>
      </c>
      <c r="Z60" s="5">
        <v>0</v>
      </c>
      <c r="AA60" s="5">
        <v>0</v>
      </c>
      <c r="AB60" s="5">
        <v>72000</v>
      </c>
      <c r="AC60" s="5">
        <v>0</v>
      </c>
      <c r="AD60" s="5">
        <v>0</v>
      </c>
      <c r="AE60" s="5">
        <v>0</v>
      </c>
      <c r="AQ60" s="5">
        <v>170393</v>
      </c>
      <c r="AR60" s="5" t="b">
        <f t="shared" si="5"/>
        <v>0</v>
      </c>
      <c r="AS60" s="5" t="b">
        <v>1</v>
      </c>
      <c r="AT60" s="5" t="b">
        <f t="shared" si="6"/>
        <v>1</v>
      </c>
      <c r="AU60" s="5" t="b">
        <f t="shared" si="7"/>
        <v>1</v>
      </c>
      <c r="AV60" s="5" t="b">
        <f>Q60=Set_Def!$B$6</f>
        <v>1</v>
      </c>
      <c r="AW60" s="5" t="b">
        <f t="shared" si="8"/>
        <v>1</v>
      </c>
      <c r="AX60" s="5" t="b">
        <f t="shared" si="9"/>
        <v>0</v>
      </c>
    </row>
    <row r="61" spans="1:50" x14ac:dyDescent="0.25">
      <c r="A61" s="13" t="s">
        <v>301</v>
      </c>
      <c r="B61" s="5">
        <v>2</v>
      </c>
      <c r="C61" s="5">
        <v>59</v>
      </c>
      <c r="D61" s="5">
        <v>1</v>
      </c>
      <c r="F61" s="5">
        <v>285692</v>
      </c>
      <c r="G61" s="5" t="s">
        <v>377</v>
      </c>
      <c r="H61" s="5" t="s">
        <v>60</v>
      </c>
      <c r="I61" s="5" t="s">
        <v>60</v>
      </c>
      <c r="J61" s="5" t="s">
        <v>60</v>
      </c>
      <c r="K61" s="5" t="s">
        <v>60</v>
      </c>
      <c r="L61" s="5" t="s">
        <v>12</v>
      </c>
      <c r="M61" s="5">
        <v>0</v>
      </c>
      <c r="P61" s="5">
        <v>40</v>
      </c>
      <c r="Q61" s="5" t="s">
        <v>80</v>
      </c>
      <c r="R61" s="5">
        <v>106494</v>
      </c>
      <c r="S61" s="59" t="s">
        <v>342</v>
      </c>
      <c r="T61" s="59" t="s">
        <v>453</v>
      </c>
      <c r="V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Q61" s="5">
        <v>170393</v>
      </c>
      <c r="AR61" s="5" t="b">
        <f t="shared" si="5"/>
        <v>0</v>
      </c>
      <c r="AS61" s="5" t="b">
        <v>1</v>
      </c>
      <c r="AT61" s="5" t="b">
        <f t="shared" si="6"/>
        <v>0</v>
      </c>
      <c r="AU61" s="5" t="b">
        <f t="shared" si="7"/>
        <v>1</v>
      </c>
      <c r="AV61" s="5" t="b">
        <f>Q61=Set_Def!$B$6</f>
        <v>1</v>
      </c>
      <c r="AW61" s="5" t="b">
        <f t="shared" si="8"/>
        <v>0</v>
      </c>
      <c r="AX61" s="5" t="b">
        <f t="shared" si="9"/>
        <v>0</v>
      </c>
    </row>
    <row r="62" spans="1:50" x14ac:dyDescent="0.25">
      <c r="A62" s="13" t="s">
        <v>301</v>
      </c>
      <c r="B62" s="5">
        <v>2</v>
      </c>
      <c r="C62" s="5">
        <v>60</v>
      </c>
      <c r="D62" s="5">
        <v>1</v>
      </c>
      <c r="F62" s="5">
        <v>285692</v>
      </c>
      <c r="G62" s="5" t="s">
        <v>377</v>
      </c>
      <c r="H62" s="5" t="s">
        <v>60</v>
      </c>
      <c r="I62" s="5" t="s">
        <v>60</v>
      </c>
      <c r="J62" s="5" t="s">
        <v>60</v>
      </c>
      <c r="K62" s="5" t="s">
        <v>60</v>
      </c>
      <c r="L62" s="5" t="s">
        <v>12</v>
      </c>
      <c r="M62" s="5">
        <v>0</v>
      </c>
      <c r="P62" s="5">
        <v>40</v>
      </c>
      <c r="Q62" s="5" t="s">
        <v>80</v>
      </c>
      <c r="R62" s="5">
        <v>108542</v>
      </c>
      <c r="S62" s="59" t="s">
        <v>343</v>
      </c>
      <c r="T62" s="59" t="s">
        <v>454</v>
      </c>
      <c r="V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Q62" s="5">
        <v>170393</v>
      </c>
      <c r="AR62" s="5" t="b">
        <f t="shared" si="5"/>
        <v>0</v>
      </c>
      <c r="AS62" s="5" t="b">
        <v>1</v>
      </c>
      <c r="AT62" s="5" t="b">
        <f t="shared" si="6"/>
        <v>0</v>
      </c>
      <c r="AU62" s="5" t="b">
        <f t="shared" si="7"/>
        <v>1</v>
      </c>
      <c r="AV62" s="5" t="b">
        <f>Q62=Set_Def!$B$6</f>
        <v>1</v>
      </c>
      <c r="AW62" s="5" t="b">
        <f t="shared" si="8"/>
        <v>0</v>
      </c>
      <c r="AX62" s="5" t="b">
        <f t="shared" si="9"/>
        <v>0</v>
      </c>
    </row>
    <row r="63" spans="1:50" x14ac:dyDescent="0.25">
      <c r="A63" s="13" t="s">
        <v>301</v>
      </c>
      <c r="B63" s="5">
        <v>2</v>
      </c>
      <c r="C63" s="5">
        <v>61</v>
      </c>
      <c r="D63" s="5">
        <v>1</v>
      </c>
      <c r="F63" s="5">
        <v>285692</v>
      </c>
      <c r="G63" s="5" t="s">
        <v>377</v>
      </c>
      <c r="H63" s="5" t="s">
        <v>60</v>
      </c>
      <c r="I63" s="5" t="s">
        <v>60</v>
      </c>
      <c r="J63" s="5" t="s">
        <v>60</v>
      </c>
      <c r="K63" s="5" t="s">
        <v>60</v>
      </c>
      <c r="L63" s="5" t="s">
        <v>12</v>
      </c>
      <c r="M63" s="5">
        <v>0</v>
      </c>
      <c r="P63" s="5">
        <v>40</v>
      </c>
      <c r="Q63" s="5" t="s">
        <v>80</v>
      </c>
      <c r="R63" s="5">
        <v>111280</v>
      </c>
      <c r="S63" s="59" t="s">
        <v>404</v>
      </c>
      <c r="T63" s="59" t="s">
        <v>455</v>
      </c>
      <c r="V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Q63" s="5">
        <v>170393</v>
      </c>
      <c r="AR63" s="5" t="b">
        <f t="shared" si="5"/>
        <v>0</v>
      </c>
      <c r="AS63" s="5" t="b">
        <v>1</v>
      </c>
      <c r="AT63" s="5" t="b">
        <f t="shared" si="6"/>
        <v>0</v>
      </c>
      <c r="AU63" s="5" t="b">
        <f t="shared" si="7"/>
        <v>1</v>
      </c>
      <c r="AV63" s="5" t="b">
        <f>Q63=Set_Def!$B$6</f>
        <v>1</v>
      </c>
      <c r="AW63" s="5" t="b">
        <f t="shared" si="8"/>
        <v>0</v>
      </c>
      <c r="AX63" s="5" t="b">
        <f t="shared" si="9"/>
        <v>0</v>
      </c>
    </row>
    <row r="64" spans="1:50" x14ac:dyDescent="0.25">
      <c r="A64" s="13" t="s">
        <v>301</v>
      </c>
      <c r="B64" s="5">
        <v>2</v>
      </c>
      <c r="C64" s="5">
        <v>62</v>
      </c>
      <c r="D64" s="5">
        <v>1</v>
      </c>
      <c r="F64" s="5">
        <v>285692</v>
      </c>
      <c r="G64" s="5" t="s">
        <v>377</v>
      </c>
      <c r="H64" s="5" t="s">
        <v>60</v>
      </c>
      <c r="I64" s="5" t="s">
        <v>60</v>
      </c>
      <c r="J64" s="5" t="s">
        <v>60</v>
      </c>
      <c r="K64" s="5" t="s">
        <v>60</v>
      </c>
      <c r="L64" s="5" t="s">
        <v>12</v>
      </c>
      <c r="M64" s="5">
        <v>0</v>
      </c>
      <c r="P64" s="5">
        <v>40</v>
      </c>
      <c r="Q64" s="5" t="s">
        <v>80</v>
      </c>
      <c r="R64" s="5">
        <v>111288</v>
      </c>
      <c r="S64" s="59" t="s">
        <v>404</v>
      </c>
      <c r="T64" s="59" t="s">
        <v>456</v>
      </c>
      <c r="V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Q64" s="5">
        <v>170393</v>
      </c>
      <c r="AR64" s="5" t="b">
        <f t="shared" si="5"/>
        <v>0</v>
      </c>
      <c r="AS64" s="5" t="b">
        <v>1</v>
      </c>
      <c r="AT64" s="5" t="b">
        <f t="shared" si="6"/>
        <v>0</v>
      </c>
      <c r="AU64" s="5" t="b">
        <f t="shared" si="7"/>
        <v>1</v>
      </c>
      <c r="AV64" s="5" t="b">
        <f>Q64=Set_Def!$B$6</f>
        <v>1</v>
      </c>
      <c r="AW64" s="5" t="b">
        <f t="shared" si="8"/>
        <v>0</v>
      </c>
      <c r="AX64" s="5" t="b">
        <f t="shared" si="9"/>
        <v>0</v>
      </c>
    </row>
    <row r="65" spans="1:50" x14ac:dyDescent="0.25">
      <c r="A65" s="13" t="s">
        <v>301</v>
      </c>
      <c r="B65" s="5">
        <v>2</v>
      </c>
      <c r="C65" s="5">
        <v>63</v>
      </c>
      <c r="D65" s="5">
        <v>1</v>
      </c>
      <c r="E65" s="5">
        <v>58063120</v>
      </c>
      <c r="F65" s="5">
        <v>79280</v>
      </c>
      <c r="G65" s="5" t="s">
        <v>378</v>
      </c>
      <c r="H65" s="5" t="s">
        <v>60</v>
      </c>
      <c r="I65" s="5" t="s">
        <v>60</v>
      </c>
      <c r="J65" s="5" t="s">
        <v>60</v>
      </c>
      <c r="K65" s="5" t="s">
        <v>60</v>
      </c>
      <c r="L65" s="5" t="s">
        <v>59</v>
      </c>
      <c r="M65" s="5">
        <v>0.03</v>
      </c>
      <c r="P65" s="5">
        <v>40</v>
      </c>
      <c r="Q65" s="5" t="s">
        <v>80</v>
      </c>
      <c r="R65" s="5">
        <v>49934</v>
      </c>
      <c r="S65" s="59" t="s">
        <v>405</v>
      </c>
      <c r="T65" s="59" t="s">
        <v>457</v>
      </c>
      <c r="V65" s="5">
        <v>0</v>
      </c>
      <c r="Y65" s="5">
        <v>0</v>
      </c>
      <c r="Z65" s="5">
        <v>0</v>
      </c>
      <c r="AA65" s="5">
        <v>0</v>
      </c>
      <c r="AB65" s="5">
        <v>234</v>
      </c>
      <c r="AC65" s="5">
        <v>0</v>
      </c>
      <c r="AD65" s="5">
        <v>0</v>
      </c>
      <c r="AE65" s="5">
        <v>0</v>
      </c>
      <c r="AQ65" s="5">
        <v>170393</v>
      </c>
      <c r="AR65" s="5" t="b">
        <f t="shared" si="5"/>
        <v>1</v>
      </c>
      <c r="AS65" s="5" t="b">
        <v>1</v>
      </c>
      <c r="AT65" s="5" t="b">
        <f t="shared" si="6"/>
        <v>1</v>
      </c>
      <c r="AU65" s="5" t="b">
        <f t="shared" si="7"/>
        <v>1</v>
      </c>
      <c r="AV65" s="5" t="b">
        <f>Q65=Set_Def!$B$6</f>
        <v>1</v>
      </c>
      <c r="AW65" s="5" t="b">
        <f t="shared" si="8"/>
        <v>1</v>
      </c>
      <c r="AX65" s="5" t="b">
        <f t="shared" si="9"/>
        <v>1</v>
      </c>
    </row>
    <row r="66" spans="1:50" x14ac:dyDescent="0.25">
      <c r="A66" s="13" t="s">
        <v>301</v>
      </c>
      <c r="B66" s="5">
        <v>1</v>
      </c>
      <c r="C66" s="5">
        <v>64</v>
      </c>
      <c r="D66" s="5">
        <v>1</v>
      </c>
      <c r="F66" s="5">
        <v>265051</v>
      </c>
      <c r="G66" s="5" t="s">
        <v>353</v>
      </c>
      <c r="H66" s="5" t="s">
        <v>60</v>
      </c>
      <c r="I66" s="5" t="s">
        <v>60</v>
      </c>
      <c r="J66" s="5" t="s">
        <v>60</v>
      </c>
      <c r="K66" s="5" t="s">
        <v>60</v>
      </c>
      <c r="L66" s="5" t="s">
        <v>13</v>
      </c>
      <c r="M66" s="5">
        <v>33.65</v>
      </c>
      <c r="P66" s="5">
        <v>40</v>
      </c>
      <c r="Q66" s="5" t="s">
        <v>80</v>
      </c>
      <c r="R66" s="5">
        <v>108988</v>
      </c>
      <c r="S66" s="59" t="s">
        <v>346</v>
      </c>
      <c r="T66" s="59" t="s">
        <v>458</v>
      </c>
      <c r="V66" s="5">
        <v>0</v>
      </c>
      <c r="Y66" s="5">
        <v>0</v>
      </c>
      <c r="Z66" s="5">
        <v>0</v>
      </c>
      <c r="AA66" s="5">
        <v>0</v>
      </c>
      <c r="AB66" s="5">
        <v>393705</v>
      </c>
      <c r="AC66" s="5">
        <v>0</v>
      </c>
      <c r="AD66" s="5">
        <v>0</v>
      </c>
      <c r="AE66" s="5">
        <v>0</v>
      </c>
      <c r="AQ66" s="5">
        <v>170976</v>
      </c>
      <c r="AR66" s="5" t="b">
        <f t="shared" ref="AR66:AR97" si="10">IF(OR(A66="",B66="",C66="",C66=0,D66="",E66="",F66="",G66="",L66="",M66="",P66="",Q66="",R66="",S66="",T66="",AB66="",AQ66=""),FALSE,TRUE)</f>
        <v>0</v>
      </c>
      <c r="AS66" s="5" t="b">
        <v>1</v>
      </c>
      <c r="AT66" s="5" t="b">
        <f t="shared" ref="AT66:AT78" si="11">IFERROR(IF(M66&lt;=0,FALSE,TRUE),FALSE)</f>
        <v>1</v>
      </c>
      <c r="AU66" s="5" t="b">
        <f t="shared" ref="AU66:AU78" si="12">IF(OR(P66=40,P66="40"),TRUE,FALSE)</f>
        <v>1</v>
      </c>
      <c r="AV66" s="5" t="b">
        <f>Q66=Set_Def!$B$6</f>
        <v>1</v>
      </c>
      <c r="AW66" s="5" t="b">
        <f t="shared" ref="AW66:AW78" si="13">IFERROR(IF(AB66&lt;=0,FALSE,TRUE),FALSE)</f>
        <v>1</v>
      </c>
      <c r="AX66" s="5" t="b">
        <f t="shared" ref="AX66:AX97" si="14">IF(OR(AR66=FALSE,AS66=FALSE,AT66=FALSE,AU66=FALSE,AV66=FALSE,AW66=FALSE),FALSE,TRUE)</f>
        <v>0</v>
      </c>
    </row>
    <row r="67" spans="1:50" x14ac:dyDescent="0.25">
      <c r="A67" s="13" t="s">
        <v>301</v>
      </c>
      <c r="B67" s="5">
        <v>1</v>
      </c>
      <c r="C67" s="5">
        <v>1</v>
      </c>
      <c r="D67" s="5">
        <v>1</v>
      </c>
      <c r="F67" s="5">
        <v>216347</v>
      </c>
      <c r="G67" s="5" t="s">
        <v>354</v>
      </c>
      <c r="H67" s="5" t="s">
        <v>60</v>
      </c>
      <c r="I67" s="5" t="s">
        <v>60</v>
      </c>
      <c r="J67" s="5" t="s">
        <v>60</v>
      </c>
      <c r="K67" s="5" t="s">
        <v>60</v>
      </c>
      <c r="L67" s="5" t="s">
        <v>14</v>
      </c>
      <c r="M67" s="5">
        <v>0.03</v>
      </c>
      <c r="P67" s="5">
        <v>40</v>
      </c>
      <c r="Q67" s="5" t="s">
        <v>80</v>
      </c>
      <c r="R67" s="5">
        <v>106678</v>
      </c>
      <c r="S67" s="59" t="s">
        <v>310</v>
      </c>
      <c r="T67" s="59" t="s">
        <v>410</v>
      </c>
      <c r="V67" s="5">
        <v>0</v>
      </c>
      <c r="Y67" s="5">
        <v>0</v>
      </c>
      <c r="Z67" s="5">
        <v>0</v>
      </c>
      <c r="AA67" s="5">
        <v>0</v>
      </c>
      <c r="AB67" s="5">
        <v>315</v>
      </c>
      <c r="AC67" s="5">
        <v>0</v>
      </c>
      <c r="AD67" s="5">
        <v>0</v>
      </c>
      <c r="AE67" s="5">
        <v>0</v>
      </c>
      <c r="AQ67" s="5">
        <v>170976</v>
      </c>
      <c r="AR67" s="5" t="b">
        <f t="shared" si="10"/>
        <v>0</v>
      </c>
      <c r="AS67" s="5" t="b">
        <v>1</v>
      </c>
      <c r="AT67" s="5" t="b">
        <f t="shared" si="11"/>
        <v>1</v>
      </c>
      <c r="AU67" s="5" t="b">
        <f t="shared" si="12"/>
        <v>1</v>
      </c>
      <c r="AV67" s="5" t="b">
        <f>Q67=Set_Def!$B$6</f>
        <v>1</v>
      </c>
      <c r="AW67" s="5" t="b">
        <f t="shared" si="13"/>
        <v>1</v>
      </c>
      <c r="AX67" s="5" t="b">
        <f t="shared" si="14"/>
        <v>0</v>
      </c>
    </row>
    <row r="68" spans="1:50" x14ac:dyDescent="0.25">
      <c r="A68" s="13" t="s">
        <v>301</v>
      </c>
      <c r="B68" s="5">
        <v>1</v>
      </c>
      <c r="C68" s="5">
        <v>2</v>
      </c>
      <c r="D68" s="5">
        <v>1</v>
      </c>
      <c r="F68" s="5">
        <v>267457</v>
      </c>
      <c r="G68" s="5" t="s">
        <v>360</v>
      </c>
      <c r="H68" s="5" t="s">
        <v>60</v>
      </c>
      <c r="I68" s="5" t="s">
        <v>60</v>
      </c>
      <c r="J68" s="5" t="s">
        <v>60</v>
      </c>
      <c r="K68" s="5" t="s">
        <v>60</v>
      </c>
      <c r="L68" s="5" t="s">
        <v>11</v>
      </c>
      <c r="M68" s="5">
        <v>60</v>
      </c>
      <c r="P68" s="5">
        <v>40</v>
      </c>
      <c r="Q68" s="5" t="s">
        <v>80</v>
      </c>
      <c r="R68" s="5">
        <v>110182</v>
      </c>
      <c r="S68" s="59" t="s">
        <v>347</v>
      </c>
      <c r="T68" s="59" t="s">
        <v>459</v>
      </c>
      <c r="V68" s="5">
        <v>0</v>
      </c>
      <c r="Y68" s="5">
        <v>0</v>
      </c>
      <c r="Z68" s="5">
        <v>0</v>
      </c>
      <c r="AA68" s="5">
        <v>0</v>
      </c>
      <c r="AB68" s="5">
        <v>12000</v>
      </c>
      <c r="AC68" s="5">
        <v>0</v>
      </c>
      <c r="AD68" s="5">
        <v>0</v>
      </c>
      <c r="AE68" s="5">
        <v>0</v>
      </c>
      <c r="AQ68" s="5">
        <v>170976</v>
      </c>
      <c r="AR68" s="5" t="b">
        <f t="shared" si="10"/>
        <v>0</v>
      </c>
      <c r="AS68" s="5" t="b">
        <v>1</v>
      </c>
      <c r="AT68" s="5" t="b">
        <f t="shared" si="11"/>
        <v>1</v>
      </c>
      <c r="AU68" s="5" t="b">
        <f t="shared" si="12"/>
        <v>1</v>
      </c>
      <c r="AV68" s="5" t="b">
        <f>Q68=Set_Def!$B$6</f>
        <v>1</v>
      </c>
      <c r="AW68" s="5" t="b">
        <f t="shared" si="13"/>
        <v>1</v>
      </c>
      <c r="AX68" s="5" t="b">
        <f t="shared" si="14"/>
        <v>0</v>
      </c>
    </row>
    <row r="69" spans="1:50" x14ac:dyDescent="0.25">
      <c r="A69" s="13" t="s">
        <v>301</v>
      </c>
      <c r="B69" s="5">
        <v>1</v>
      </c>
      <c r="C69" s="5">
        <v>3</v>
      </c>
      <c r="D69" s="5">
        <v>1</v>
      </c>
      <c r="F69" s="5">
        <v>267457</v>
      </c>
      <c r="G69" s="5" t="s">
        <v>379</v>
      </c>
      <c r="H69" s="5" t="s">
        <v>60</v>
      </c>
      <c r="I69" s="5" t="s">
        <v>60</v>
      </c>
      <c r="J69" s="5" t="s">
        <v>60</v>
      </c>
      <c r="K69" s="5" t="s">
        <v>60</v>
      </c>
      <c r="L69" s="5" t="s">
        <v>11</v>
      </c>
      <c r="M69" s="5">
        <v>0</v>
      </c>
      <c r="P69" s="5">
        <v>40</v>
      </c>
      <c r="Q69" s="5" t="s">
        <v>80</v>
      </c>
      <c r="R69" s="5">
        <v>113707</v>
      </c>
      <c r="S69" s="59" t="s">
        <v>406</v>
      </c>
      <c r="T69" s="59" t="s">
        <v>460</v>
      </c>
      <c r="V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Q69" s="5">
        <v>170976</v>
      </c>
      <c r="AR69" s="5" t="b">
        <f t="shared" si="10"/>
        <v>0</v>
      </c>
      <c r="AS69" s="5" t="b">
        <v>1</v>
      </c>
      <c r="AT69" s="5" t="b">
        <f t="shared" si="11"/>
        <v>0</v>
      </c>
      <c r="AU69" s="5" t="b">
        <f t="shared" si="12"/>
        <v>1</v>
      </c>
      <c r="AV69" s="5" t="b">
        <f>Q69=Set_Def!$B$6</f>
        <v>1</v>
      </c>
      <c r="AW69" s="5" t="b">
        <f t="shared" si="13"/>
        <v>0</v>
      </c>
      <c r="AX69" s="5" t="b">
        <f t="shared" si="14"/>
        <v>0</v>
      </c>
    </row>
    <row r="70" spans="1:50" x14ac:dyDescent="0.25">
      <c r="A70" s="13" t="s">
        <v>301</v>
      </c>
      <c r="B70" s="5">
        <v>1</v>
      </c>
      <c r="C70" s="5">
        <v>4</v>
      </c>
      <c r="D70" s="5">
        <v>1</v>
      </c>
      <c r="F70" s="5">
        <v>267457</v>
      </c>
      <c r="G70" s="5" t="s">
        <v>360</v>
      </c>
      <c r="H70" s="5" t="s">
        <v>60</v>
      </c>
      <c r="I70" s="5" t="s">
        <v>60</v>
      </c>
      <c r="J70" s="5" t="s">
        <v>60</v>
      </c>
      <c r="K70" s="5" t="s">
        <v>60</v>
      </c>
      <c r="L70" s="5" t="s">
        <v>11</v>
      </c>
      <c r="M70" s="5">
        <v>0</v>
      </c>
      <c r="P70" s="5">
        <v>40</v>
      </c>
      <c r="Q70" s="5" t="s">
        <v>80</v>
      </c>
      <c r="R70" s="5">
        <v>99943</v>
      </c>
      <c r="S70" s="59" t="s">
        <v>349</v>
      </c>
      <c r="T70" s="59" t="s">
        <v>461</v>
      </c>
      <c r="V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Q70" s="5">
        <v>170976</v>
      </c>
      <c r="AR70" s="5" t="b">
        <f t="shared" si="10"/>
        <v>0</v>
      </c>
      <c r="AS70" s="5" t="b">
        <v>1</v>
      </c>
      <c r="AT70" s="5" t="b">
        <f t="shared" si="11"/>
        <v>0</v>
      </c>
      <c r="AU70" s="5" t="b">
        <f t="shared" si="12"/>
        <v>1</v>
      </c>
      <c r="AV70" s="5" t="b">
        <f>Q70=Set_Def!$B$6</f>
        <v>1</v>
      </c>
      <c r="AW70" s="5" t="b">
        <f t="shared" si="13"/>
        <v>0</v>
      </c>
      <c r="AX70" s="5" t="b">
        <f t="shared" si="14"/>
        <v>0</v>
      </c>
    </row>
    <row r="71" spans="1:50" x14ac:dyDescent="0.25">
      <c r="A71" s="13" t="s">
        <v>301</v>
      </c>
      <c r="B71" s="5">
        <v>1</v>
      </c>
      <c r="C71" s="5">
        <v>5</v>
      </c>
      <c r="D71" s="5">
        <v>1</v>
      </c>
      <c r="F71" s="5">
        <v>162975</v>
      </c>
      <c r="G71" s="5" t="s">
        <v>361</v>
      </c>
      <c r="H71" s="5" t="s">
        <v>60</v>
      </c>
      <c r="I71" s="5" t="s">
        <v>60</v>
      </c>
      <c r="J71" s="5" t="s">
        <v>60</v>
      </c>
      <c r="K71" s="5" t="s">
        <v>60</v>
      </c>
      <c r="L71" s="5" t="s">
        <v>12</v>
      </c>
      <c r="M71" s="5">
        <v>0.8</v>
      </c>
      <c r="P71" s="5">
        <v>40</v>
      </c>
      <c r="Q71" s="5" t="s">
        <v>80</v>
      </c>
      <c r="R71" s="5">
        <v>102335</v>
      </c>
      <c r="S71" s="59" t="s">
        <v>387</v>
      </c>
      <c r="T71" s="59" t="s">
        <v>422</v>
      </c>
      <c r="V71" s="5">
        <v>0</v>
      </c>
      <c r="Y71" s="5">
        <v>0</v>
      </c>
      <c r="Z71" s="5">
        <v>0</v>
      </c>
      <c r="AA71" s="5">
        <v>0</v>
      </c>
      <c r="AB71" s="5">
        <v>254.4</v>
      </c>
      <c r="AC71" s="5">
        <v>0</v>
      </c>
      <c r="AD71" s="5">
        <v>0</v>
      </c>
      <c r="AE71" s="5">
        <v>0</v>
      </c>
      <c r="AQ71" s="5">
        <v>170976</v>
      </c>
      <c r="AR71" s="5" t="b">
        <f t="shared" si="10"/>
        <v>0</v>
      </c>
      <c r="AS71" s="5" t="b">
        <v>1</v>
      </c>
      <c r="AT71" s="5" t="b">
        <f t="shared" si="11"/>
        <v>1</v>
      </c>
      <c r="AU71" s="5" t="b">
        <f t="shared" si="12"/>
        <v>1</v>
      </c>
      <c r="AV71" s="5" t="b">
        <f>Q71=Set_Def!$B$6</f>
        <v>1</v>
      </c>
      <c r="AW71" s="5" t="b">
        <f t="shared" si="13"/>
        <v>1</v>
      </c>
      <c r="AX71" s="5" t="b">
        <f t="shared" si="14"/>
        <v>0</v>
      </c>
    </row>
    <row r="72" spans="1:50" x14ac:dyDescent="0.25">
      <c r="A72" s="13" t="s">
        <v>301</v>
      </c>
      <c r="B72" s="5">
        <v>1</v>
      </c>
      <c r="C72" s="5">
        <v>6</v>
      </c>
      <c r="D72" s="5">
        <v>1</v>
      </c>
      <c r="F72" s="5">
        <v>268577</v>
      </c>
      <c r="G72" s="5" t="s">
        <v>371</v>
      </c>
      <c r="H72" s="5" t="s">
        <v>60</v>
      </c>
      <c r="I72" s="5" t="s">
        <v>60</v>
      </c>
      <c r="J72" s="5" t="s">
        <v>60</v>
      </c>
      <c r="K72" s="5" t="s">
        <v>60</v>
      </c>
      <c r="L72" s="5" t="s">
        <v>12</v>
      </c>
      <c r="M72" s="5">
        <v>4.17</v>
      </c>
      <c r="P72" s="5">
        <v>40</v>
      </c>
      <c r="Q72" s="5" t="s">
        <v>80</v>
      </c>
      <c r="R72" s="5">
        <v>108476</v>
      </c>
      <c r="S72" s="59" t="s">
        <v>319</v>
      </c>
      <c r="T72" s="59" t="s">
        <v>425</v>
      </c>
      <c r="V72" s="5">
        <v>0</v>
      </c>
      <c r="Y72" s="5">
        <v>0</v>
      </c>
      <c r="Z72" s="5">
        <v>0</v>
      </c>
      <c r="AA72" s="5">
        <v>0</v>
      </c>
      <c r="AB72" s="5">
        <v>51291</v>
      </c>
      <c r="AC72" s="5">
        <v>0</v>
      </c>
      <c r="AD72" s="5">
        <v>0</v>
      </c>
      <c r="AE72" s="5">
        <v>0</v>
      </c>
      <c r="AQ72" s="5">
        <v>170976</v>
      </c>
      <c r="AR72" s="5" t="b">
        <f t="shared" si="10"/>
        <v>0</v>
      </c>
      <c r="AS72" s="5" t="b">
        <v>1</v>
      </c>
      <c r="AT72" s="5" t="b">
        <f t="shared" si="11"/>
        <v>1</v>
      </c>
      <c r="AU72" s="5" t="b">
        <f t="shared" si="12"/>
        <v>1</v>
      </c>
      <c r="AV72" s="5" t="b">
        <f>Q72=Set_Def!$B$6</f>
        <v>1</v>
      </c>
      <c r="AW72" s="5" t="b">
        <f t="shared" si="13"/>
        <v>1</v>
      </c>
      <c r="AX72" s="5" t="b">
        <f t="shared" si="14"/>
        <v>0</v>
      </c>
    </row>
    <row r="73" spans="1:50" x14ac:dyDescent="0.25">
      <c r="A73" s="13" t="s">
        <v>301</v>
      </c>
      <c r="B73" s="5">
        <v>1</v>
      </c>
      <c r="C73" s="5">
        <v>7</v>
      </c>
      <c r="D73" s="5">
        <v>1</v>
      </c>
      <c r="F73" s="5">
        <v>273302</v>
      </c>
      <c r="G73" s="5" t="s">
        <v>468</v>
      </c>
      <c r="H73" s="5" t="s">
        <v>60</v>
      </c>
      <c r="I73" s="5" t="s">
        <v>60</v>
      </c>
      <c r="J73" s="5" t="s">
        <v>60</v>
      </c>
      <c r="K73" s="5" t="s">
        <v>60</v>
      </c>
      <c r="L73" s="5" t="s">
        <v>12</v>
      </c>
      <c r="M73" s="5">
        <v>100</v>
      </c>
      <c r="P73" s="5">
        <v>40</v>
      </c>
      <c r="Q73" s="5" t="s">
        <v>80</v>
      </c>
      <c r="R73" s="5">
        <v>39124</v>
      </c>
      <c r="S73" s="59" t="s">
        <v>407</v>
      </c>
      <c r="T73" s="59" t="s">
        <v>462</v>
      </c>
      <c r="V73" s="5">
        <v>0</v>
      </c>
      <c r="Y73" s="5">
        <v>0</v>
      </c>
      <c r="Z73" s="5">
        <v>0</v>
      </c>
      <c r="AA73" s="5">
        <v>0</v>
      </c>
      <c r="AB73" s="5">
        <v>1200000</v>
      </c>
      <c r="AC73" s="5">
        <v>0</v>
      </c>
      <c r="AD73" s="5">
        <v>0</v>
      </c>
      <c r="AE73" s="5">
        <v>0</v>
      </c>
      <c r="AQ73" s="5">
        <v>170976</v>
      </c>
      <c r="AR73" s="5" t="b">
        <f t="shared" si="10"/>
        <v>0</v>
      </c>
      <c r="AS73" s="5" t="b">
        <v>1</v>
      </c>
      <c r="AT73" s="5" t="b">
        <f t="shared" si="11"/>
        <v>1</v>
      </c>
      <c r="AU73" s="5" t="b">
        <f t="shared" si="12"/>
        <v>1</v>
      </c>
      <c r="AV73" s="5" t="b">
        <f>Q73=Set_Def!$B$6</f>
        <v>1</v>
      </c>
      <c r="AW73" s="5" t="b">
        <f t="shared" si="13"/>
        <v>1</v>
      </c>
      <c r="AX73" s="5" t="b">
        <f t="shared" si="14"/>
        <v>0</v>
      </c>
    </row>
    <row r="74" spans="1:50" x14ac:dyDescent="0.25">
      <c r="A74" s="13" t="s">
        <v>301</v>
      </c>
      <c r="B74" s="5">
        <v>1</v>
      </c>
      <c r="C74" s="5">
        <v>8</v>
      </c>
      <c r="D74" s="5">
        <v>1</v>
      </c>
      <c r="F74" s="5">
        <v>273303</v>
      </c>
      <c r="G74" s="5" t="s">
        <v>468</v>
      </c>
      <c r="H74" s="5" t="s">
        <v>60</v>
      </c>
      <c r="I74" s="5" t="s">
        <v>60</v>
      </c>
      <c r="J74" s="5" t="s">
        <v>60</v>
      </c>
      <c r="K74" s="5" t="s">
        <v>60</v>
      </c>
      <c r="L74" s="5" t="s">
        <v>12</v>
      </c>
      <c r="M74" s="5">
        <v>0.8</v>
      </c>
      <c r="P74" s="5">
        <v>40</v>
      </c>
      <c r="Q74" s="5" t="s">
        <v>80</v>
      </c>
      <c r="R74" s="5">
        <v>39124</v>
      </c>
      <c r="S74" s="59" t="s">
        <v>407</v>
      </c>
      <c r="T74" s="59" t="s">
        <v>462</v>
      </c>
      <c r="V74" s="5">
        <v>0</v>
      </c>
      <c r="Y74" s="5">
        <v>0</v>
      </c>
      <c r="Z74" s="5">
        <v>0</v>
      </c>
      <c r="AA74" s="5">
        <v>0</v>
      </c>
      <c r="AB74" s="5">
        <v>9600</v>
      </c>
      <c r="AC74" s="5">
        <v>0</v>
      </c>
      <c r="AD74" s="5">
        <v>0</v>
      </c>
      <c r="AE74" s="5">
        <v>0</v>
      </c>
      <c r="AQ74" s="5">
        <v>170976</v>
      </c>
      <c r="AR74" s="5" t="b">
        <f t="shared" si="10"/>
        <v>0</v>
      </c>
      <c r="AS74" s="5" t="b">
        <v>1</v>
      </c>
      <c r="AT74" s="5" t="b">
        <f t="shared" si="11"/>
        <v>1</v>
      </c>
      <c r="AU74" s="5" t="b">
        <f t="shared" si="12"/>
        <v>1</v>
      </c>
      <c r="AV74" s="5" t="b">
        <f>Q74=Set_Def!$B$6</f>
        <v>1</v>
      </c>
      <c r="AW74" s="5" t="b">
        <f t="shared" si="13"/>
        <v>1</v>
      </c>
      <c r="AX74" s="5" t="b">
        <f t="shared" si="14"/>
        <v>0</v>
      </c>
    </row>
    <row r="75" spans="1:50" x14ac:dyDescent="0.25">
      <c r="A75" s="13" t="s">
        <v>301</v>
      </c>
      <c r="B75" s="5">
        <v>1</v>
      </c>
      <c r="C75" s="5">
        <v>9</v>
      </c>
      <c r="D75" s="5">
        <v>1</v>
      </c>
      <c r="F75" s="5">
        <v>273304</v>
      </c>
      <c r="G75" s="5" t="s">
        <v>468</v>
      </c>
      <c r="H75" s="5" t="s">
        <v>60</v>
      </c>
      <c r="I75" s="5" t="s">
        <v>60</v>
      </c>
      <c r="J75" s="5" t="s">
        <v>60</v>
      </c>
      <c r="K75" s="5" t="s">
        <v>60</v>
      </c>
      <c r="L75" s="5" t="s">
        <v>12</v>
      </c>
      <c r="M75" s="5">
        <v>35</v>
      </c>
      <c r="P75" s="5">
        <v>40</v>
      </c>
      <c r="Q75" s="5" t="s">
        <v>80</v>
      </c>
      <c r="R75" s="5">
        <v>39124</v>
      </c>
      <c r="S75" s="59" t="s">
        <v>407</v>
      </c>
      <c r="T75" s="59" t="s">
        <v>462</v>
      </c>
      <c r="V75" s="5">
        <v>0</v>
      </c>
      <c r="Y75" s="5">
        <v>0</v>
      </c>
      <c r="Z75" s="5">
        <v>0</v>
      </c>
      <c r="AA75" s="5">
        <v>0</v>
      </c>
      <c r="AB75" s="5">
        <v>420000</v>
      </c>
      <c r="AC75" s="5">
        <v>0</v>
      </c>
      <c r="AD75" s="5">
        <v>0</v>
      </c>
      <c r="AE75" s="5">
        <v>0</v>
      </c>
      <c r="AQ75" s="5">
        <v>170976</v>
      </c>
      <c r="AR75" s="5" t="b">
        <f t="shared" si="10"/>
        <v>0</v>
      </c>
      <c r="AS75" s="5" t="b">
        <v>1</v>
      </c>
      <c r="AT75" s="5" t="b">
        <f t="shared" si="11"/>
        <v>1</v>
      </c>
      <c r="AU75" s="5" t="b">
        <f t="shared" si="12"/>
        <v>1</v>
      </c>
      <c r="AV75" s="5" t="b">
        <f>Q75=Set_Def!$B$6</f>
        <v>1</v>
      </c>
      <c r="AW75" s="5" t="b">
        <f t="shared" si="13"/>
        <v>1</v>
      </c>
      <c r="AX75" s="5" t="b">
        <f t="shared" si="14"/>
        <v>0</v>
      </c>
    </row>
    <row r="76" spans="1:50" x14ac:dyDescent="0.25">
      <c r="A76" s="13" t="s">
        <v>301</v>
      </c>
      <c r="B76" s="5">
        <v>1</v>
      </c>
      <c r="C76" s="5">
        <v>10</v>
      </c>
      <c r="D76" s="5">
        <v>1</v>
      </c>
      <c r="F76" s="5">
        <v>273305</v>
      </c>
      <c r="G76" s="5" t="s">
        <v>468</v>
      </c>
      <c r="H76" s="5" t="s">
        <v>60</v>
      </c>
      <c r="I76" s="5" t="s">
        <v>60</v>
      </c>
      <c r="J76" s="5" t="s">
        <v>60</v>
      </c>
      <c r="K76" s="5" t="s">
        <v>60</v>
      </c>
      <c r="L76" s="5" t="s">
        <v>12</v>
      </c>
      <c r="M76" s="5">
        <v>0.8</v>
      </c>
      <c r="P76" s="5">
        <v>40</v>
      </c>
      <c r="Q76" s="5" t="s">
        <v>80</v>
      </c>
      <c r="R76" s="5">
        <v>39124</v>
      </c>
      <c r="S76" s="59" t="s">
        <v>407</v>
      </c>
      <c r="T76" s="59" t="s">
        <v>462</v>
      </c>
      <c r="V76" s="5">
        <v>0</v>
      </c>
      <c r="Y76" s="5">
        <v>0</v>
      </c>
      <c r="Z76" s="5">
        <v>0</v>
      </c>
      <c r="AA76" s="5">
        <v>0</v>
      </c>
      <c r="AB76" s="5">
        <v>9600</v>
      </c>
      <c r="AC76" s="5">
        <v>0</v>
      </c>
      <c r="AD76" s="5">
        <v>0</v>
      </c>
      <c r="AE76" s="5">
        <v>0</v>
      </c>
      <c r="AQ76" s="5">
        <v>170976</v>
      </c>
      <c r="AR76" s="5" t="b">
        <f t="shared" si="10"/>
        <v>0</v>
      </c>
      <c r="AS76" s="5" t="b">
        <v>1</v>
      </c>
      <c r="AT76" s="5" t="b">
        <f t="shared" si="11"/>
        <v>1</v>
      </c>
      <c r="AU76" s="5" t="b">
        <f t="shared" si="12"/>
        <v>1</v>
      </c>
      <c r="AV76" s="5" t="b">
        <f>Q76=Set_Def!$B$6</f>
        <v>1</v>
      </c>
      <c r="AW76" s="5" t="b">
        <f t="shared" si="13"/>
        <v>1</v>
      </c>
      <c r="AX76" s="5" t="b">
        <f t="shared" si="14"/>
        <v>0</v>
      </c>
    </row>
    <row r="77" spans="1:50" x14ac:dyDescent="0.25">
      <c r="A77" s="13" t="s">
        <v>301</v>
      </c>
      <c r="B77" s="5">
        <v>1</v>
      </c>
      <c r="C77" s="5">
        <v>11</v>
      </c>
      <c r="D77" s="5">
        <v>1</v>
      </c>
      <c r="F77" s="5">
        <v>273306</v>
      </c>
      <c r="G77" s="5" t="s">
        <v>380</v>
      </c>
      <c r="H77" s="5" t="s">
        <v>60</v>
      </c>
      <c r="I77" s="5" t="s">
        <v>60</v>
      </c>
      <c r="J77" s="5" t="s">
        <v>60</v>
      </c>
      <c r="K77" s="5" t="s">
        <v>60</v>
      </c>
      <c r="L77" s="5" t="s">
        <v>12</v>
      </c>
      <c r="M77" s="5">
        <v>100</v>
      </c>
      <c r="P77" s="5">
        <v>40</v>
      </c>
      <c r="Q77" s="5" t="s">
        <v>80</v>
      </c>
      <c r="R77" s="5">
        <v>39069</v>
      </c>
      <c r="S77" s="59" t="s">
        <v>407</v>
      </c>
      <c r="T77" s="59" t="s">
        <v>463</v>
      </c>
      <c r="V77" s="5">
        <v>0</v>
      </c>
      <c r="Y77" s="5">
        <v>0</v>
      </c>
      <c r="Z77" s="5">
        <v>0</v>
      </c>
      <c r="AA77" s="5">
        <v>0</v>
      </c>
      <c r="AB77" s="5">
        <v>29500</v>
      </c>
      <c r="AC77" s="5">
        <v>0</v>
      </c>
      <c r="AD77" s="5">
        <v>0</v>
      </c>
      <c r="AE77" s="5">
        <v>0</v>
      </c>
      <c r="AQ77" s="5">
        <v>170976</v>
      </c>
      <c r="AR77" s="5" t="b">
        <f t="shared" si="10"/>
        <v>0</v>
      </c>
      <c r="AS77" s="5" t="b">
        <v>1</v>
      </c>
      <c r="AT77" s="5" t="b">
        <f t="shared" si="11"/>
        <v>1</v>
      </c>
      <c r="AU77" s="5" t="b">
        <f t="shared" si="12"/>
        <v>1</v>
      </c>
      <c r="AV77" s="5" t="b">
        <f>Q77=Set_Def!$B$6</f>
        <v>1</v>
      </c>
      <c r="AW77" s="5" t="b">
        <f t="shared" si="13"/>
        <v>1</v>
      </c>
      <c r="AX77" s="5" t="b">
        <f t="shared" si="14"/>
        <v>0</v>
      </c>
    </row>
    <row r="78" spans="1:50" x14ac:dyDescent="0.25">
      <c r="A78" s="13" t="s">
        <v>301</v>
      </c>
      <c r="B78" s="5">
        <v>1</v>
      </c>
      <c r="C78" s="5">
        <v>12</v>
      </c>
      <c r="D78" s="5">
        <v>1</v>
      </c>
      <c r="F78" s="5">
        <v>79280</v>
      </c>
      <c r="G78" s="5" t="s">
        <v>381</v>
      </c>
      <c r="H78" s="5" t="s">
        <v>60</v>
      </c>
      <c r="I78" s="5" t="s">
        <v>60</v>
      </c>
      <c r="J78" s="5" t="s">
        <v>60</v>
      </c>
      <c r="K78" s="5" t="s">
        <v>60</v>
      </c>
      <c r="L78" s="5" t="s">
        <v>59</v>
      </c>
      <c r="M78" s="5">
        <v>0.14000000000000001</v>
      </c>
      <c r="P78" s="5">
        <v>40</v>
      </c>
      <c r="Q78" s="5" t="s">
        <v>80</v>
      </c>
      <c r="R78" s="5">
        <v>15015</v>
      </c>
      <c r="S78" s="59" t="s">
        <v>351</v>
      </c>
      <c r="T78" s="59" t="s">
        <v>464</v>
      </c>
      <c r="V78" s="5">
        <v>0</v>
      </c>
      <c r="Y78" s="5">
        <v>0</v>
      </c>
      <c r="Z78" s="5">
        <v>0</v>
      </c>
      <c r="AA78" s="5">
        <v>0</v>
      </c>
      <c r="AB78" s="5">
        <v>910</v>
      </c>
      <c r="AC78" s="5">
        <v>0</v>
      </c>
      <c r="AD78" s="5">
        <v>0</v>
      </c>
      <c r="AE78" s="5">
        <v>0</v>
      </c>
      <c r="AQ78" s="5">
        <v>170976</v>
      </c>
      <c r="AR78" s="5" t="b">
        <f t="shared" si="10"/>
        <v>0</v>
      </c>
      <c r="AS78" s="5" t="b">
        <v>1</v>
      </c>
      <c r="AT78" s="5" t="b">
        <f t="shared" si="11"/>
        <v>1</v>
      </c>
      <c r="AU78" s="5" t="b">
        <f t="shared" si="12"/>
        <v>1</v>
      </c>
      <c r="AV78" s="5" t="b">
        <f>Q78=Set_Def!$B$6</f>
        <v>1</v>
      </c>
      <c r="AW78" s="5" t="b">
        <f t="shared" si="13"/>
        <v>1</v>
      </c>
      <c r="AX78" s="5" t="b">
        <f t="shared" si="14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1"/>
  <sheetViews>
    <sheetView workbookViewId="0"/>
  </sheetViews>
  <sheetFormatPr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297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81"/>
      <c r="B4" s="80"/>
      <c r="C4" s="26"/>
      <c r="D4" s="81"/>
      <c r="E4" s="80"/>
      <c r="F4" s="26"/>
      <c r="G4" s="81"/>
      <c r="H4" s="80"/>
      <c r="I4" s="26"/>
      <c r="J4" s="82"/>
      <c r="K4" s="83"/>
      <c r="L4" s="26"/>
      <c r="M4" s="84"/>
      <c r="N4" s="85"/>
      <c r="O4" s="26"/>
      <c r="P4" s="84"/>
      <c r="Q4" s="85"/>
      <c r="R4" s="86"/>
      <c r="S4" s="84"/>
      <c r="T4" s="85"/>
      <c r="U4" s="86"/>
      <c r="V4" s="84"/>
      <c r="W4" s="85"/>
      <c r="X4" s="86"/>
      <c r="Y4" s="84"/>
      <c r="Z4" s="85"/>
      <c r="AA4" s="86"/>
      <c r="AB4" s="84"/>
      <c r="AC4" s="85"/>
      <c r="AD4" s="86"/>
      <c r="AE4" s="88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87"/>
      <c r="S5" s="22"/>
      <c r="T5" s="19"/>
      <c r="U5" s="87"/>
      <c r="V5" s="22"/>
      <c r="W5" s="19"/>
      <c r="X5" s="87"/>
      <c r="Y5" s="22"/>
      <c r="Z5" s="19"/>
      <c r="AA5" s="87"/>
      <c r="AB5" s="22"/>
      <c r="AC5" s="19"/>
      <c r="AD5" s="87"/>
      <c r="AE5" s="89"/>
    </row>
  </sheetData>
  <mergeCells count="16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1" t="s">
        <v>131</v>
      </c>
      <c r="B1" s="91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1"/>
      <c r="B2" s="91"/>
      <c r="C2" s="35"/>
      <c r="D2" s="30"/>
      <c r="E2" s="32"/>
      <c r="F2" s="44"/>
      <c r="G2" s="14" t="s">
        <v>95</v>
      </c>
    </row>
    <row r="3" spans="1:7" ht="28.5" customHeight="1" x14ac:dyDescent="0.25">
      <c r="A3" s="92"/>
      <c r="B3" s="92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98"/>
      <c r="B1" s="98"/>
      <c r="C1" s="98"/>
      <c r="D1" s="6"/>
    </row>
    <row r="2" spans="1:4" hidden="1" x14ac:dyDescent="0.25"/>
    <row r="3" spans="1:4" x14ac:dyDescent="0.25">
      <c r="A3" s="93" t="s">
        <v>279</v>
      </c>
      <c r="B3" s="94"/>
      <c r="C3" s="95"/>
      <c r="D3" s="68"/>
    </row>
    <row r="4" spans="1:4" x14ac:dyDescent="0.25">
      <c r="A4" s="69" t="s">
        <v>280</v>
      </c>
      <c r="B4" s="96" t="s">
        <v>281</v>
      </c>
      <c r="C4" s="97"/>
      <c r="D4" s="68"/>
    </row>
    <row r="5" spans="1:4" x14ac:dyDescent="0.25">
      <c r="A5" s="70" t="s">
        <v>39</v>
      </c>
      <c r="B5" s="70" t="s">
        <v>40</v>
      </c>
      <c r="C5" s="70" t="s">
        <v>257</v>
      </c>
      <c r="D5" s="68"/>
    </row>
    <row r="6" spans="1:4" x14ac:dyDescent="0.25">
      <c r="A6" t="s">
        <v>243</v>
      </c>
      <c r="B6" t="s">
        <v>255</v>
      </c>
      <c r="C6" t="s">
        <v>259</v>
      </c>
    </row>
    <row r="7" spans="1:4" x14ac:dyDescent="0.25">
      <c r="A7" t="s">
        <v>38</v>
      </c>
      <c r="B7" t="s">
        <v>38</v>
      </c>
      <c r="C7" t="s">
        <v>258</v>
      </c>
    </row>
    <row r="8" spans="1:4" x14ac:dyDescent="0.25">
      <c r="A8" t="s">
        <v>244</v>
      </c>
      <c r="B8" t="s">
        <v>37</v>
      </c>
      <c r="C8" t="s">
        <v>260</v>
      </c>
    </row>
    <row r="9" spans="1:4" x14ac:dyDescent="0.25">
      <c r="A9" t="s">
        <v>246</v>
      </c>
      <c r="B9" t="s">
        <v>256</v>
      </c>
      <c r="C9" t="s">
        <v>261</v>
      </c>
    </row>
    <row r="10" spans="1:4" x14ac:dyDescent="0.25">
      <c r="A10" t="s">
        <v>41</v>
      </c>
      <c r="B10" t="s">
        <v>14</v>
      </c>
      <c r="C10" t="s">
        <v>262</v>
      </c>
    </row>
    <row r="11" spans="1:4" x14ac:dyDescent="0.25">
      <c r="A11" t="s">
        <v>245</v>
      </c>
      <c r="B11" t="s">
        <v>231</v>
      </c>
      <c r="C11" t="s">
        <v>263</v>
      </c>
    </row>
    <row r="12" spans="1:4" x14ac:dyDescent="0.25">
      <c r="A12" t="s">
        <v>28</v>
      </c>
      <c r="B12" t="s">
        <v>29</v>
      </c>
      <c r="C12" t="s">
        <v>265</v>
      </c>
    </row>
    <row r="13" spans="1:4" x14ac:dyDescent="0.25">
      <c r="A13" t="s">
        <v>33</v>
      </c>
      <c r="B13" t="s">
        <v>34</v>
      </c>
      <c r="C13" t="s">
        <v>264</v>
      </c>
    </row>
    <row r="14" spans="1:4" x14ac:dyDescent="0.25">
      <c r="A14" t="s">
        <v>25</v>
      </c>
      <c r="B14" t="s">
        <v>10</v>
      </c>
      <c r="C14" t="s">
        <v>266</v>
      </c>
    </row>
    <row r="15" spans="1:4" x14ac:dyDescent="0.25">
      <c r="A15" t="s">
        <v>26</v>
      </c>
      <c r="B15" t="s">
        <v>27</v>
      </c>
      <c r="C15" t="s">
        <v>267</v>
      </c>
    </row>
    <row r="16" spans="1:4" x14ac:dyDescent="0.25">
      <c r="A16" t="s">
        <v>247</v>
      </c>
      <c r="B16" t="s">
        <v>249</v>
      </c>
      <c r="C16" t="s">
        <v>268</v>
      </c>
    </row>
    <row r="17" spans="1:3" x14ac:dyDescent="0.25">
      <c r="A17" t="s">
        <v>31</v>
      </c>
      <c r="B17" t="s">
        <v>15</v>
      </c>
      <c r="C17" t="s">
        <v>269</v>
      </c>
    </row>
    <row r="18" spans="1:3" x14ac:dyDescent="0.25">
      <c r="A18" t="s">
        <v>22</v>
      </c>
      <c r="B18" t="s">
        <v>13</v>
      </c>
      <c r="C18" t="s">
        <v>270</v>
      </c>
    </row>
    <row r="19" spans="1:3" x14ac:dyDescent="0.25">
      <c r="A19" t="s">
        <v>24</v>
      </c>
      <c r="B19" t="s">
        <v>18</v>
      </c>
      <c r="C19" t="s">
        <v>271</v>
      </c>
    </row>
    <row r="20" spans="1:3" x14ac:dyDescent="0.25">
      <c r="A20" t="s">
        <v>4</v>
      </c>
      <c r="B20" t="s">
        <v>12</v>
      </c>
      <c r="C20" t="s">
        <v>272</v>
      </c>
    </row>
    <row r="21" spans="1:3" x14ac:dyDescent="0.25">
      <c r="A21" t="s">
        <v>92</v>
      </c>
      <c r="B21" t="s">
        <v>67</v>
      </c>
      <c r="C21" t="s">
        <v>273</v>
      </c>
    </row>
    <row r="22" spans="1:3" x14ac:dyDescent="0.25">
      <c r="A22" t="s">
        <v>67</v>
      </c>
      <c r="B22" t="s">
        <v>59</v>
      </c>
      <c r="C22" t="s">
        <v>274</v>
      </c>
    </row>
    <row r="23" spans="1:3" x14ac:dyDescent="0.25">
      <c r="A23" t="s">
        <v>30</v>
      </c>
      <c r="B23" t="s">
        <v>30</v>
      </c>
      <c r="C23" t="s">
        <v>275</v>
      </c>
    </row>
    <row r="24" spans="1:3" x14ac:dyDescent="0.25">
      <c r="A24" t="s">
        <v>35</v>
      </c>
      <c r="B24" t="s">
        <v>36</v>
      </c>
      <c r="C24" t="s">
        <v>276</v>
      </c>
    </row>
    <row r="25" spans="1:3" x14ac:dyDescent="0.25">
      <c r="A25" t="s">
        <v>248</v>
      </c>
      <c r="B25" t="s">
        <v>32</v>
      </c>
      <c r="C25" t="s">
        <v>277</v>
      </c>
    </row>
    <row r="26" spans="1:3" x14ac:dyDescent="0.2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2023-12-15T07:56:46Z</dcterms:modified>
</cp:coreProperties>
</file>