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41\Backup Macro Lama\New folder (2)\"/>
    </mc:Choice>
  </mc:AlternateContent>
  <xr:revisionPtr revIDLastSave="0" documentId="13_ncr:1_{856C779E-FEC7-4627-B395-D84010C6D5D9}" xr6:coauthVersionLast="47" xr6:coauthVersionMax="47" xr10:uidLastSave="{00000000-0000-0000-0000-000000000000}"/>
  <bookViews>
    <workbookView xWindow="-120" yWindow="-120" windowWidth="20640" windowHeight="11160" tabRatio="68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state="hidden" r:id="rId7"/>
    <sheet name="Set_CachDok" sheetId="148" state="hidden" r:id="rId8"/>
    <sheet name="BARANG" sheetId="143" state="hidden" r:id="rId9"/>
    <sheet name="BAHANBAKU" sheetId="150" state="hidden" r:id="rId10"/>
    <sheet name="BACKUPBB" sheetId="163" state="hidden" r:id="rId11"/>
    <sheet name="PENGANGKUT" sheetId="149" state="hidden" r:id="rId12"/>
    <sheet name="UPIXT" sheetId="155" state="hidden" r:id="rId13"/>
    <sheet name="UPIXT_Summary" sheetId="154" state="hidden" r:id="rId14"/>
    <sheet name="Set_Ref" sheetId="130" state="hidden" r:id="rId15"/>
  </sheets>
  <functionGroups builtInGroupCount="19"/>
  <externalReferences>
    <externalReference r:id="rId16"/>
  </externalReferences>
  <definedNames>
    <definedName name="_xlnm._FilterDatabase" localSheetId="10" hidden="1">BACKUPBB!$A$1:$AX$657</definedName>
    <definedName name="_xlnm._FilterDatabase" localSheetId="9" hidden="1">BAHANBAKU!$A$1:$AZ$93</definedName>
    <definedName name="_xlnm._FilterDatabase" localSheetId="8" hidden="1">BARANG!$B$1:$BT$13</definedName>
    <definedName name="_xlnm._FilterDatabase" localSheetId="11" hidden="1">PENGANGKUT!$A$1:$H$3</definedName>
    <definedName name="_xlnm._FilterDatabase" localSheetId="7" hidden="1">Set_CachDok!$A$1:$D$3</definedName>
    <definedName name="_xlnm._FilterDatabase" localSheetId="14" hidden="1">Set_Ref!$A$5:$C$74</definedName>
    <definedName name="Excel_BuiltIn__FilterDatabase" localSheetId="12">#REF!</definedName>
    <definedName name="Excel_BuiltIn__FilterDatabase" localSheetId="13">#REF!</definedName>
    <definedName name="Excel_BuiltIn__FilterDatabase">#REF!</definedName>
    <definedName name="Excel_BuiltIn__FilterDatabase_1" localSheetId="12">#REF!</definedName>
    <definedName name="Excel_BuiltIn__FilterDatabase_1" localSheetId="13">#REF!</definedName>
    <definedName name="Excel_BuiltIn__FilterDatabase_1">#REF!</definedName>
    <definedName name="Excel_BuiltIn_Print_Area_1" localSheetId="12">#REF!</definedName>
    <definedName name="Excel_BuiltIn_Print_Area_1" localSheetId="13">#REF!</definedName>
    <definedName name="Excel_BuiltIn_Print_Area_1">#REF!</definedName>
    <definedName name="Excel_BuiltIn_Print_Area_2" localSheetId="12">#REF!</definedName>
    <definedName name="Excel_BuiltIn_Print_Area_2" localSheetId="13">#REF!</definedName>
    <definedName name="Excel_BuiltIn_Print_Area_2">#REF!</definedName>
    <definedName name="Excel_BuiltIn_Print_Area_3" localSheetId="12">#REF!</definedName>
    <definedName name="Excel_BuiltIn_Print_Area_3" localSheetId="13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54" l="1"/>
  <c r="B16" i="129" l="1"/>
  <c r="C6" i="139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<sst xmlns="http://schemas.openxmlformats.org/spreadsheetml/2006/main" count="9481" uniqueCount="463">
  <si>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</si>
  <si>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</si>
  <si>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</si>
  <si>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</si>
  <si>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</si>
  <si>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</si>
  <si>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</si>
  <si>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</si>
  <si>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</si>
  <si>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</si>
  <si>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</si>
  <si>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</si>
  <si>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</si>
  <si>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</si>
  <si>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</si>
  <si>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</si>
  <si>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</si>
  <si>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</si>
  <si>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</si>
  <si>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</si>
  <si>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</si>
  <si>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</si>
  <si>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</si>
  <si>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</si>
  <si>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</si>
  <si>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</si>
  <si>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</si>
  <si>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</si>
  <si>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</si>
  <si>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</si>
  <si>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</si>
  <si>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</si>
  <si>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</si>
  <si>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</si>
  <si>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</si>
  <si>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</si>
  <si>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</si>
  <si>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</si>
  <si>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</si>
  <si>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</si>
  <si>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</si>
  <si>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</si>
  <si>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</si>
  <si>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</si>
  <si>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</si>
  <si>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</si>
  <si>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</si>
  <si>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</si>
  <si>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</si>
  <si>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</si>
  <si>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</si>
  <si>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</si>
  <si>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</si>
  <si>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</si>
  <si>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</si>
  <si>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</si>
  <si>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</si>
  <si>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</si>
  <si>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</si>
  <si>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</si>
  <si>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</si>
  <si>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</si>
  <si>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</si>
  <si>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</si>
  <si>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</si>
  <si>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</si>
  <si>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</si>
  <si>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</si>
  <si>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</si>
  <si>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</si>
  <si>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</si>
  <si>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</si>
  <si>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</si>
  <si>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</si>
  <si>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</si>
  <si>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</si>
  <si>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</si>
  <si>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</si>
  <si>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</si>
  <si>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</si>
  <si>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</si>
  <si>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</si>
  <si>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</si>
  <si>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</si>
  <si>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</si>
  <si>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</si>
  <si>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</si>
  <si>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</si>
  <si>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</si>
  <si>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</si>
  <si>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</si>
  <si>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</si>
  <si>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</si>
  <si>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</si>
  <si>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</si>
  <si>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</si>
  <si>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</si>
  <si>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</si>
  <si>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</si>
  <si>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</si>
  <si>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</si>
  <si>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</si>
  <si>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</si>
  <si>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</si>
  <si>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</si>
  <si>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</si>
  <si>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</si>
  <si>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</si>
  <si>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</si>
  <si>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</si>
  <si>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</si>
  <si>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</si>
  <si>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</si>
  <si>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</si>
  <si>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</si>
  <si>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</si>
  <si>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</si>
  <si>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</si>
  <si>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</si>
  <si>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</si>
  <si>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</si>
  <si>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</si>
  <si>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</si>
  <si>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</si>
  <si>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</si>
  <si>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</si>
  <si>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</si>
  <si>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</si>
  <si>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</si>
  <si>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</si>
  <si>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</si>
  <si>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</si>
  <si>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</si>
  <si>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</si>
  <si>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</si>
  <si>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</si>
  <si>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</si>
  <si>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</si>
  <si>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</si>
  <si>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</si>
  <si>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</si>
  <si>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</si>
  <si>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</si>
  <si>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</si>
  <si>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</si>
  <si>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</si>
  <si>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</si>
  <si>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</si>
  <si>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</si>
  <si>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</si>
  <si>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</si>
  <si>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</si>
  <si>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</si>
  <si>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</si>
  <si>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</si>
  <si>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</si>
  <si>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</si>
  <si>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</si>
  <si>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</si>
  <si>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</si>
  <si>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</si>
  <si>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</si>
  <si>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</si>
  <si>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</si>
  <si>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</si>
  <si>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</si>
  <si>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</si>
  <si>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</si>
  <si>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</si>
  <si>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</si>
  <si>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</si>
  <si>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</si>
  <si>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</si>
  <si>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</si>
  <si>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</si>
  <si>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</si>
  <si>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</si>
  <si>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</si>
  <si>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</si>
  <si>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</si>
  <si>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</si>
  <si>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</si>
  <si>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</si>
  <si>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</si>
  <si>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</si>
  <si>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</si>
  <si>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</si>
  <si>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</si>
  <si>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</si>
  <si>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</si>
  <si>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</si>
  <si>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</si>
  <si>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</si>
  <si>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</si>
  <si>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</si>
  <si>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</si>
  <si>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</si>
  <si>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</si>
  <si>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</si>
  <si>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</si>
  <si>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</si>
  <si>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</si>
  <si>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</si>
  <si>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</si>
  <si>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</si>
  <si>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</si>
  <si>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</si>
  <si>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</si>
  <si>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</si>
  <si>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</si>
  <si>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</si>
  <si>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</si>
  <si>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</si>
  <si>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</si>
  <si>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</si>
  <si>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</si>
  <si>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</si>
  <si>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</si>
  <si>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</si>
  <si>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</si>
  <si>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</si>
  <si>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</si>
  <si>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</si>
  <si>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</si>
  <si>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</si>
  <si>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</si>
  <si>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</si>
  <si>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</si>
  <si>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</si>
  <si>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</si>
  <si>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</si>
  <si>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</si>
  <si>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</si>
  <si>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</si>
  <si>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</si>
  <si>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</si>
  <si>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</si>
  <si>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</si>
  <si>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</si>
  <si>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</si>
  <si>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</si>
  <si>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</si>
  <si>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</si>
  <si>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</si>
  <si>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</si>
  <si>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</si>
  <si>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</si>
  <si>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</si>
  <si>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</si>
  <si>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</si>
  <si>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</si>
  <si>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</si>
  <si>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</si>
  <si>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</si>
  <si>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</si>
  <si>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</si>
  <si>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</si>
  <si>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</si>
  <si>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</si>
  <si>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</si>
  <si>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</si>
  <si>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</si>
  <si>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</si>
  <si>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</si>
  <si>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</si>
  <si>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</si>
  <si>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</si>
  <si>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</si>
  <si>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</si>
  <si>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</si>
  <si>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</si>
  <si>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</si>
  <si>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</si>
  <si>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</si>
  <si>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</si>
  <si>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</si>
  <si>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</si>
  <si>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</si>
  <si>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</si>
  <si>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</si>
  <si>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</si>
  <si>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</si>
  <si>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</si>
  <si>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</si>
  <si>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</si>
  <si>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</si>
  <si>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</si>
  <si>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VALIDASI1 (Detail Barang)</t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</si>
  <si>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</si>
  <si>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</si>
  <si>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</si>
  <si>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</si>
  <si>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</si>
  <si>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</si>
  <si>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</si>
  <si>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</si>
  <si>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</si>
  <si>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t>DAVID KURNIAWAN WINARTO</t>
  </si>
  <si>
    <t>CLASSIC FIT PANTS DARK BLUE (D&amp;J1)</t>
  </si>
  <si>
    <t>CLASSIC FIT PANTS NAVY (D&amp;J1)</t>
  </si>
  <si>
    <t>LONG BAGGY DARK BLUE (D&amp;J2)</t>
  </si>
  <si>
    <t>LONG BAGGY NAVY (D&amp;J2)</t>
  </si>
  <si>
    <t>SHORT DARK BLUE (D&amp;J3)</t>
  </si>
  <si>
    <t>SHORT NAVY (D&amp;J3)</t>
  </si>
  <si>
    <t>MAO COLLAR SHIRT DARK BLUE (D&amp;J6)</t>
  </si>
  <si>
    <t>MAO COLLAR SHIRT NAVY (D&amp;J6)</t>
  </si>
  <si>
    <t>SLEEVELESS TOP DARK BLUE (D&amp;J7)</t>
  </si>
  <si>
    <t>SLEEVELESS TOP NAVY (D&amp;J7)</t>
  </si>
  <si>
    <t>VEST DARK BLUE (D&amp;J8)</t>
  </si>
  <si>
    <t>VEST NAVY (D&amp;J8)</t>
  </si>
  <si>
    <t>PO:01/GGI/III/2024 DD</t>
  </si>
  <si>
    <t>CTN66% POLY30% SPX4%, 210G66-68 CW,SAXE-BLUE (1),NISH</t>
  </si>
  <si>
    <t>CTN66% POLY30% SPX4%, 210G66-68 CW , NAVY (2) #NIS</t>
  </si>
  <si>
    <t>ELASTIC, #6800/15-64COL. WHITE UK. 15MM</t>
  </si>
  <si>
    <t>ELASTIC, #6800/15-64 COL. WHITE UK. 15MM</t>
  </si>
  <si>
    <t>MAIN LABEL DEEN &amp; JEAN BROKEN WHITE, 12.5 X 1.4 CM</t>
  </si>
  <si>
    <t>SIZE &amp; CARE LABEL DEEN &amp; JEAN 9.3 X 3.2 CM, WHITE, 73</t>
  </si>
  <si>
    <t>SIZE &amp; CARE LABEL DEEN &amp; JEAN 9.3 X 3.2 CM, WHITE, 80</t>
  </si>
  <si>
    <t>SIZE &amp; CARE LABEL DEEN &amp; JEAN 9.3 X 3.2 CM, WHITE, 90</t>
  </si>
  <si>
    <t>SIZE &amp; CARE LABEL DEEN &amp; JEAN 9.3 X 3.2 CM, WHITE, 100</t>
  </si>
  <si>
    <t>ELASTIC, #6800/15-64COL. WHITE UK. 20MM</t>
  </si>
  <si>
    <t>ELASTIC, #6800/15-64 COL. WHITE UK. 20MM</t>
  </si>
  <si>
    <t>ELASTIC, #6800/15-64 - COL. WHITE UK. 20MM</t>
  </si>
  <si>
    <t>INTERLINING PCC ENF 17  WHITE</t>
  </si>
  <si>
    <t>BUTTON, SW 33 CHALK FLAT18LINES4HOLE,10-205 OFF WHITE</t>
  </si>
  <si>
    <t>MOBILON TAPE / CLEAR ELASTIC5MM, FVGI-0508, CLEAR</t>
  </si>
  <si>
    <t>KANCING JAMUR SILVER DATAR POLOS, UK. 1.1 CM</t>
  </si>
  <si>
    <t>05054000520520210930004689</t>
  </si>
  <si>
    <t>05054000520520211223006893</t>
  </si>
  <si>
    <t>05054000520520201111006105</t>
  </si>
  <si>
    <t>05054000520520210830004000</t>
  </si>
  <si>
    <t>05054000520520220603002105</t>
  </si>
  <si>
    <t>05054000520520230104000022</t>
  </si>
  <si>
    <t>00004031560820240416001670</t>
  </si>
  <si>
    <t>05054000520520210830004003</t>
  </si>
  <si>
    <t>05054000520520210908004187</t>
  </si>
  <si>
    <t>00004031560820240123000373</t>
  </si>
  <si>
    <t>05054000520520210118000112</t>
  </si>
  <si>
    <t>05054000520520210823003896</t>
  </si>
  <si>
    <t>05054000520520210827003978</t>
  </si>
  <si>
    <t>05054000520520210915004358</t>
  </si>
  <si>
    <t>05054000520520210917004420</t>
  </si>
  <si>
    <t>05054000520520210927004622</t>
  </si>
  <si>
    <t>05054000520520220422001638</t>
  </si>
  <si>
    <t>05054000520520230510000535</t>
  </si>
  <si>
    <t>00004031560820231016005243</t>
  </si>
  <si>
    <t>00004031560820231017005276</t>
  </si>
  <si>
    <t>05054000520520211207006365</t>
  </si>
  <si>
    <t>00004031560820240119000329</t>
  </si>
  <si>
    <t>05054000520520201228006941</t>
  </si>
  <si>
    <t>05054000520520211122005933</t>
  </si>
  <si>
    <t>05054000520520211220006697</t>
  </si>
  <si>
    <t>05054000520520210414001917</t>
  </si>
  <si>
    <t>05054000520520211209006439</t>
  </si>
  <si>
    <t>05054000520520210812003731</t>
  </si>
  <si>
    <t>\\10.8.0.35\Bersama\DATA SHARING PART 2\INVOICE LOKAL\2024\1201\05 MEI\003 DEEN &amp; JEAN\INVOICE 003 DEEN &amp; JEAN.xlsx</t>
  </si>
  <si>
    <t>\\10.8.0.35\Bersama\DATA SHARING PART 2\INVOICE LOKAL\2024\1201\05 MEI\003 DEEN &amp; JEAN\Macro Resume Asal Bahan Baku- 21MEI2024_1-4 - Copy.xlsm</t>
  </si>
  <si>
    <t>2020-11-11</t>
  </si>
  <si>
    <t>2021-09-30</t>
  </si>
  <si>
    <t>2021-12-23</t>
  </si>
  <si>
    <t>2021-08-30</t>
  </si>
  <si>
    <t>2022-06-03</t>
  </si>
  <si>
    <t>2023-01-04</t>
  </si>
  <si>
    <t>2024-04-16</t>
  </si>
  <si>
    <t>2021-09-08</t>
  </si>
  <si>
    <t>2024-01-23</t>
  </si>
  <si>
    <t>2021-01-18</t>
  </si>
  <si>
    <t>2021-08-23</t>
  </si>
  <si>
    <t>2021-08-27</t>
  </si>
  <si>
    <t>2021-09-15</t>
  </si>
  <si>
    <t>2021-09-17</t>
  </si>
  <si>
    <t>2021-09-27</t>
  </si>
  <si>
    <t>2022-04-22</t>
  </si>
  <si>
    <t>2023-05-10</t>
  </si>
  <si>
    <t>2023-10-16</t>
  </si>
  <si>
    <t>2023-10-17</t>
  </si>
  <si>
    <t>2021-12-07</t>
  </si>
  <si>
    <t>2024-01-19</t>
  </si>
  <si>
    <t>2020-12-28</t>
  </si>
  <si>
    <t>2021-11-22</t>
  </si>
  <si>
    <t>2021-12-21</t>
  </si>
  <si>
    <t>2021-04-14</t>
  </si>
  <si>
    <t>2021-12-09</t>
  </si>
  <si>
    <t>2021-08-12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</si>
  <si>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</si>
  <si>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</si>
  <si>
    <t>00004131560820240523000046</t>
  </si>
  <si>
    <t>003/GGI/01/V/2024</t>
  </si>
  <si>
    <t>SERI OR</t>
  </si>
  <si>
    <t>COUNTIF</t>
  </si>
  <si>
    <t>OK OR + SERI</t>
  </si>
  <si>
    <t>182375-1</t>
  </si>
  <si>
    <t>Btn_SingkronBB</t>
  </si>
  <si>
    <t>BUTTON</t>
  </si>
  <si>
    <t>ENABLED</t>
  </si>
  <si>
    <t>Btn_RestoreBB</t>
  </si>
  <si>
    <t>[C] Field yg wajib diisi, apakah sudah diisisemua ?</t>
  </si>
  <si>
    <t>[C] Satuan transaksi sesuai SERVER TPB atau tidak?</t>
  </si>
  <si>
    <t>[C] Jumlah Satuan, tidak boleh ada nilai &lt;= 0</t>
  </si>
  <si>
    <t>[C] Dokumen Asal harus dari BC40</t>
  </si>
  <si>
    <t>[C] Kode kantor asal harus 050500</t>
  </si>
  <si>
    <t>[C] Harga Penyerahan, tidak boleh ada nilai &lt; 0</t>
  </si>
  <si>
    <t>182376-1</t>
  </si>
  <si>
    <t>182377-1</t>
  </si>
  <si>
    <t>182378-1</t>
  </si>
  <si>
    <t>182379-1</t>
  </si>
  <si>
    <t>182380-1</t>
  </si>
  <si>
    <t>182375-</t>
  </si>
  <si>
    <t>C:\Users\hadi\Downloads\00004131560820240523000046 (3).xlsx</t>
  </si>
  <si>
    <t>097003</t>
  </si>
  <si>
    <t>133804</t>
  </si>
  <si>
    <t>099989</t>
  </si>
  <si>
    <t>083336</t>
  </si>
  <si>
    <t>067455</t>
  </si>
  <si>
    <t>000702</t>
  </si>
  <si>
    <t>630212</t>
  </si>
  <si>
    <t>083341</t>
  </si>
  <si>
    <t>087226</t>
  </si>
  <si>
    <t>605607</t>
  </si>
  <si>
    <t>004870</t>
  </si>
  <si>
    <t>080458</t>
  </si>
  <si>
    <t>082789</t>
  </si>
  <si>
    <t>090376</t>
  </si>
  <si>
    <t>091623</t>
  </si>
  <si>
    <t>095386</t>
  </si>
  <si>
    <t>053382</t>
  </si>
  <si>
    <t>039735</t>
  </si>
  <si>
    <t>915376</t>
  </si>
  <si>
    <t>915630</t>
  </si>
  <si>
    <t>125626</t>
  </si>
  <si>
    <t>604646</t>
  </si>
  <si>
    <t>115656</t>
  </si>
  <si>
    <t>118945</t>
  </si>
  <si>
    <t>131949</t>
  </si>
  <si>
    <t>037729</t>
  </si>
  <si>
    <t>126822</t>
  </si>
  <si>
    <t>076625</t>
  </si>
  <si>
    <t>182376-</t>
  </si>
  <si>
    <t>182377-</t>
  </si>
  <si>
    <t>182378-</t>
  </si>
  <si>
    <t>182379-</t>
  </si>
  <si>
    <t>182380-</t>
  </si>
  <si>
    <t>2024-05-24</t>
  </si>
  <si>
    <t/>
  </si>
  <si>
    <t>THREAD,COMETA@5000MTC 1730 (WHITE), 40/2</t>
  </si>
  <si>
    <t>THREAD,COMETA@5000MT</t>
  </si>
  <si>
    <t>THREAD,TAKAYAMA@5000MTT510, 40/2</t>
  </si>
  <si>
    <t>ELASTIC, #6800/15-64,</t>
  </si>
  <si>
    <t>BUTTON, SW 33 CHALK FLAT  - 18LINES4HOLE,10-205 OFF WHITE</t>
  </si>
  <si>
    <t>05054000520520220727002877</t>
  </si>
  <si>
    <t>05054000520520200417002464</t>
  </si>
  <si>
    <t>05054000520520220328001298</t>
  </si>
  <si>
    <t>05054000520520200207000733</t>
  </si>
  <si>
    <t>05054000520520200619003515</t>
  </si>
  <si>
    <t>05054000520520210823003897</t>
  </si>
  <si>
    <t>05054000520520210122000195</t>
  </si>
  <si>
    <t>2022-07-27</t>
  </si>
  <si>
    <t>2020-04-17</t>
  </si>
  <si>
    <t>2022-03-28</t>
  </si>
  <si>
    <t>2020-02-07</t>
  </si>
  <si>
    <t>2020-06-19</t>
  </si>
  <si>
    <t>2021-01-22</t>
  </si>
  <si>
    <t>Harus sesuai dengan CEISA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</si>
</sst>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9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105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49" fontId="3" fillId="0" borderId="0" xfId="1" quotePrefix="1" applyNumberForma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15" fontId="3" fillId="0" borderId="0" xfId="1" applyNumberFormat="1"/>
    <xf numFmtId="49" fontId="5" fillId="0" borderId="0" xfId="1" applyNumberFormat="1" applyFont="1"/>
    <xf numFmtId="166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  <xf numFmtId="0" fontId="20" fillId="0" borderId="0" xfId="1" applyFont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6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3" customFormat="1" x14ac:dyDescent="0.25">
      <c r="A1" s="54"/>
    </row>
    <row r="2" spans="1:14" s="3" customFormat="1" x14ac:dyDescent="0.25">
      <c r="A2" s="64"/>
    </row>
    <row r="3" spans="1:14" s="3" customFormat="1" x14ac:dyDescent="0.25"/>
    <row r="4" spans="1:14" s="3" customFormat="1" x14ac:dyDescent="0.25"/>
    <row r="5" spans="1:14" s="53" customFormat="1" ht="7.5" customHeight="1" x14ac:dyDescent="0.25">
      <c r="A5" s="85"/>
      <c r="B5" s="85"/>
      <c r="C5" s="85"/>
      <c r="D5" s="85"/>
      <c r="E5" s="85"/>
      <c r="F5" s="85"/>
      <c r="G5" s="85"/>
      <c r="H5" s="47" t="s">
        <v>0</v>
      </c>
      <c r="I5" s="84"/>
      <c r="J5" s="84"/>
      <c r="K5" s="84"/>
      <c r="L5" s="84"/>
      <c r="M5" s="48" t="s">
        <v>0</v>
      </c>
    </row>
    <row r="6" spans="1:14" s="52" customFormat="1" x14ac:dyDescent="0.25">
      <c r="A6" s="51"/>
    </row>
    <row r="7" spans="1:14" s="52" customFormat="1" x14ac:dyDescent="0.25"/>
    <row r="8" spans="1:14" s="52" customFormat="1" x14ac:dyDescent="0.25">
      <c r="H8" s="83" t="s">
        <v>1</v>
      </c>
      <c r="I8" s="83"/>
      <c r="J8" s="83"/>
      <c r="K8" s="83"/>
      <c r="L8" s="83"/>
      <c r="M8" s="83"/>
    </row>
    <row r="9" spans="1:14" s="52" customFormat="1" ht="76.5" customHeight="1" x14ac:dyDescent="0.25">
      <c r="H9" s="83"/>
      <c r="I9" s="83"/>
      <c r="J9" s="83"/>
      <c r="K9" s="83"/>
      <c r="L9" s="83"/>
      <c r="M9" s="83"/>
    </row>
    <row r="10" spans="1:14" s="52" customFormat="1" x14ac:dyDescent="0.25">
      <c r="H10" s="83"/>
      <c r="I10" s="83"/>
      <c r="J10" s="83"/>
      <c r="K10" s="83"/>
      <c r="L10" s="83"/>
      <c r="M10" s="83"/>
    </row>
    <row r="11" spans="1:14" s="52" customFormat="1" x14ac:dyDescent="0.25">
      <c r="H11" s="83"/>
      <c r="I11" s="83"/>
      <c r="J11" s="83"/>
      <c r="K11" s="83"/>
      <c r="L11" s="83"/>
      <c r="M11" s="83"/>
    </row>
    <row r="12" spans="1:14" s="52" customFormat="1" x14ac:dyDescent="0.25"/>
    <row r="13" spans="1:14" s="52" customFormat="1" x14ac:dyDescent="0.25">
      <c r="A13" s="51"/>
    </row>
    <row r="14" spans="1:14" s="2" customFormat="1" ht="6" customHeight="1" x14ac:dyDescent="0.25">
      <c r="G14" s="47" t="s">
        <v>0</v>
      </c>
      <c r="H14" s="84"/>
      <c r="I14" s="84"/>
      <c r="J14" s="84"/>
      <c r="K14" s="84"/>
      <c r="L14" s="84"/>
      <c r="M14" s="84"/>
      <c r="N14" s="48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23" t="s">
        <v>118</v>
      </c>
    </row>
    <row r="2" spans="1:52" x14ac:dyDescent="0.25">
      <c r="A2" s="13" t="s">
        <v>110</v>
      </c>
    </row>
    <row r="3" spans="1:52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25">
      <c r="A4" s="86" t="s">
        <v>99</v>
      </c>
      <c r="B4" s="86"/>
      <c r="C4" s="26" t="s">
        <v>93</v>
      </c>
      <c r="D4" s="87" t="s">
        <v>100</v>
      </c>
      <c r="E4" s="86"/>
      <c r="F4" s="26" t="s">
        <v>93</v>
      </c>
      <c r="G4" s="87" t="s">
        <v>94</v>
      </c>
      <c r="H4" s="86"/>
      <c r="I4" s="26" t="s">
        <v>93</v>
      </c>
      <c r="J4" s="87" t="s">
        <v>101</v>
      </c>
      <c r="K4" s="86"/>
      <c r="L4" s="26" t="s">
        <v>93</v>
      </c>
      <c r="M4" s="87" t="s">
        <v>102</v>
      </c>
      <c r="N4" s="86"/>
      <c r="O4" s="26" t="s">
        <v>93</v>
      </c>
      <c r="P4" s="88" t="s">
        <v>103</v>
      </c>
      <c r="Q4" s="89"/>
      <c r="R4" s="26" t="s">
        <v>93</v>
      </c>
      <c r="S4" s="87" t="s">
        <v>104</v>
      </c>
      <c r="T4" s="86"/>
      <c r="U4" s="26" t="s">
        <v>93</v>
      </c>
      <c r="V4" s="87" t="s">
        <v>105</v>
      </c>
      <c r="W4" s="86"/>
      <c r="X4" s="26" t="s">
        <v>93</v>
      </c>
      <c r="Y4" s="88" t="s">
        <v>106</v>
      </c>
      <c r="Z4" s="89"/>
      <c r="AA4" s="26" t="s">
        <v>93</v>
      </c>
      <c r="AB4" s="87" t="s">
        <v>19</v>
      </c>
      <c r="AC4" s="86"/>
      <c r="AD4" s="26" t="s">
        <v>93</v>
      </c>
      <c r="AE4" s="87" t="s">
        <v>126</v>
      </c>
      <c r="AF4" s="86"/>
      <c r="AG4" s="26" t="s">
        <v>93</v>
      </c>
      <c r="AH4" s="90" t="s">
        <v>107</v>
      </c>
      <c r="AI4" s="91"/>
      <c r="AJ4" s="26" t="s">
        <v>93</v>
      </c>
      <c r="AK4" s="90"/>
      <c r="AL4" s="91"/>
      <c r="AM4" s="92"/>
      <c r="AN4" s="90"/>
      <c r="AO4" s="91"/>
      <c r="AP4" s="92"/>
      <c r="AQ4" s="90"/>
      <c r="AR4" s="91"/>
      <c r="AS4" s="92"/>
      <c r="AT4" s="90"/>
      <c r="AU4" s="91"/>
      <c r="AV4" s="92"/>
      <c r="AW4" s="90"/>
      <c r="AX4" s="91"/>
      <c r="AY4" s="92"/>
      <c r="AZ4" s="94"/>
    </row>
    <row r="5" spans="1:52" ht="15.75" x14ac:dyDescent="0.2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93"/>
      <c r="AN5" s="22"/>
      <c r="AO5" s="19"/>
      <c r="AP5" s="93"/>
      <c r="AQ5" s="22"/>
      <c r="AR5" s="19"/>
      <c r="AS5" s="93"/>
      <c r="AT5" s="22"/>
      <c r="AU5" s="19"/>
      <c r="AV5" s="93"/>
      <c r="AW5" s="22"/>
      <c r="AX5" s="19"/>
      <c r="AY5" s="93"/>
      <c r="AZ5" s="95"/>
    </row>
    <row r="6" spans="1:52" x14ac:dyDescent="0.2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23" t="s">
        <v>117</v>
      </c>
    </row>
    <row r="2" spans="1:53" x14ac:dyDescent="0.25">
      <c r="A2" s="13" t="s">
        <v>110</v>
      </c>
    </row>
    <row r="3" spans="1:53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25">
      <c r="A4" s="86" t="s">
        <v>111</v>
      </c>
      <c r="B4" s="86"/>
      <c r="C4" s="92" t="s">
        <v>93</v>
      </c>
      <c r="D4" s="87" t="s">
        <v>123</v>
      </c>
      <c r="E4" s="86"/>
      <c r="F4" s="92" t="s">
        <v>93</v>
      </c>
      <c r="G4" s="87" t="s">
        <v>114</v>
      </c>
      <c r="H4" s="86"/>
      <c r="I4" s="92" t="s">
        <v>93</v>
      </c>
      <c r="J4" s="88" t="s">
        <v>113</v>
      </c>
      <c r="K4" s="89"/>
      <c r="L4" s="92" t="s">
        <v>93</v>
      </c>
      <c r="M4" s="87" t="s">
        <v>112</v>
      </c>
      <c r="N4" s="86"/>
      <c r="O4" s="92" t="s">
        <v>93</v>
      </c>
      <c r="P4" s="87" t="s">
        <v>115</v>
      </c>
      <c r="Q4" s="86"/>
      <c r="R4" s="92" t="s">
        <v>93</v>
      </c>
      <c r="S4" s="87" t="s">
        <v>116</v>
      </c>
      <c r="T4" s="86"/>
      <c r="U4" s="92" t="s">
        <v>93</v>
      </c>
      <c r="V4" s="87" t="s">
        <v>119</v>
      </c>
      <c r="W4" s="86"/>
      <c r="X4" s="92" t="s">
        <v>93</v>
      </c>
      <c r="Y4" s="87" t="s">
        <v>120</v>
      </c>
      <c r="Z4" s="86"/>
      <c r="AA4" s="92" t="s">
        <v>93</v>
      </c>
      <c r="AB4" s="88" t="s">
        <v>121</v>
      </c>
      <c r="AC4" s="89"/>
      <c r="AD4" s="92" t="s">
        <v>93</v>
      </c>
      <c r="AE4" s="87" t="s">
        <v>122</v>
      </c>
      <c r="AF4" s="86"/>
      <c r="AG4" s="92" t="s">
        <v>93</v>
      </c>
      <c r="AH4" s="90"/>
      <c r="AI4" s="91"/>
      <c r="AJ4" s="92"/>
      <c r="AK4" s="90"/>
      <c r="AL4" s="91"/>
      <c r="AM4" s="92"/>
      <c r="AN4" s="90"/>
      <c r="AO4" s="91"/>
      <c r="AP4" s="92"/>
      <c r="AQ4" s="90"/>
      <c r="AR4" s="91"/>
      <c r="AS4" s="92"/>
      <c r="AT4" s="90"/>
      <c r="AU4" s="91"/>
      <c r="AV4" s="92"/>
      <c r="AW4" s="90"/>
      <c r="AX4" s="91"/>
      <c r="AY4" s="92"/>
      <c r="AZ4" s="94"/>
      <c r="BA4" s="25"/>
    </row>
    <row r="5" spans="1:53" ht="15.75" x14ac:dyDescent="0.25">
      <c r="A5" s="20" t="s">
        <v>108</v>
      </c>
      <c r="B5" s="19" t="s">
        <v>109</v>
      </c>
      <c r="C5" s="93"/>
      <c r="D5" s="22" t="s">
        <v>108</v>
      </c>
      <c r="E5" s="19" t="s">
        <v>109</v>
      </c>
      <c r="F5" s="93"/>
      <c r="G5" s="22" t="s">
        <v>108</v>
      </c>
      <c r="H5" s="19" t="s">
        <v>109</v>
      </c>
      <c r="I5" s="93"/>
      <c r="J5" s="22" t="s">
        <v>108</v>
      </c>
      <c r="K5" s="19" t="s">
        <v>109</v>
      </c>
      <c r="L5" s="93"/>
      <c r="M5" s="22" t="s">
        <v>108</v>
      </c>
      <c r="N5" s="19" t="s">
        <v>109</v>
      </c>
      <c r="O5" s="93"/>
      <c r="P5" s="21" t="s">
        <v>108</v>
      </c>
      <c r="Q5" s="19" t="s">
        <v>109</v>
      </c>
      <c r="R5" s="93"/>
      <c r="S5" s="21" t="s">
        <v>108</v>
      </c>
      <c r="T5" s="19" t="s">
        <v>109</v>
      </c>
      <c r="U5" s="93"/>
      <c r="V5" s="22" t="s">
        <v>108</v>
      </c>
      <c r="W5" s="19" t="s">
        <v>109</v>
      </c>
      <c r="X5" s="93"/>
      <c r="Y5" s="22" t="s">
        <v>108</v>
      </c>
      <c r="Z5" s="19" t="s">
        <v>109</v>
      </c>
      <c r="AA5" s="93"/>
      <c r="AB5" s="22" t="s">
        <v>108</v>
      </c>
      <c r="AC5" s="19" t="s">
        <v>109</v>
      </c>
      <c r="AD5" s="93"/>
      <c r="AE5" s="22" t="s">
        <v>108</v>
      </c>
      <c r="AF5" s="19" t="s">
        <v>109</v>
      </c>
      <c r="AG5" s="93"/>
      <c r="AH5" s="22"/>
      <c r="AI5" s="19"/>
      <c r="AJ5" s="93"/>
      <c r="AK5" s="22"/>
      <c r="AL5" s="19"/>
      <c r="AM5" s="93"/>
      <c r="AN5" s="22"/>
      <c r="AO5" s="19"/>
      <c r="AP5" s="93"/>
      <c r="AQ5" s="22"/>
      <c r="AR5" s="19"/>
      <c r="AS5" s="93"/>
      <c r="AT5" s="22"/>
      <c r="AU5" s="19"/>
      <c r="AV5" s="93"/>
      <c r="AW5" s="22"/>
      <c r="AX5" s="19"/>
      <c r="AY5" s="93"/>
      <c r="AZ5" s="95"/>
    </row>
    <row r="6" spans="1:53" x14ac:dyDescent="0.2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7" t="s">
        <v>131</v>
      </c>
      <c r="B1" s="97"/>
      <c r="C1" s="35">
        <f>COUNTIF(C7:C29,TRUE)</f>
        <v>22</v>
      </c>
      <c r="D1" s="30"/>
      <c r="E1" s="31"/>
      <c r="F1" s="44"/>
    </row>
    <row r="2" spans="1:7" ht="15" customHeight="1" x14ac:dyDescent="0.25">
      <c r="A2" s="97" t="s">
        <v>132</v>
      </c>
      <c r="B2" s="97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25">
      <c r="A3" s="98" t="s">
        <v>130</v>
      </c>
      <c r="B3" s="98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25">
      <c r="A6" s="96" t="s">
        <v>128</v>
      </c>
      <c r="B6" s="96"/>
      <c r="C6" s="41"/>
      <c r="D6" s="42"/>
      <c r="E6" s="41"/>
      <c r="F6" s="43"/>
    </row>
    <row r="7" spans="1:7" x14ac:dyDescent="0.2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2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2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2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2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2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2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2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2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2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2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2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25">
      <c r="A19" s="96" t="s">
        <v>129</v>
      </c>
      <c r="B19" s="96"/>
      <c r="C19" s="45"/>
      <c r="D19" s="46"/>
      <c r="E19" s="45"/>
      <c r="F19" s="43"/>
    </row>
    <row r="20" spans="1:6" x14ac:dyDescent="0.2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2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2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2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2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2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2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2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2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2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25">
      <c r="C30" s="18"/>
      <c r="D30" s="28"/>
      <c r="E30" s="16"/>
      <c r="F30" s="17"/>
    </row>
    <row r="31" spans="1:6" x14ac:dyDescent="0.25">
      <c r="C31" s="18"/>
      <c r="D31" s="28"/>
      <c r="E31" s="16"/>
      <c r="F31" s="17"/>
    </row>
    <row r="32" spans="1:6" x14ac:dyDescent="0.25">
      <c r="C32" s="18"/>
      <c r="D32" s="28"/>
      <c r="E32" s="16"/>
      <c r="F32" s="17"/>
    </row>
    <row r="33" spans="3:6" x14ac:dyDescent="0.25">
      <c r="C33" s="18"/>
      <c r="D33" s="28"/>
      <c r="E33" s="16"/>
      <c r="F33" s="17"/>
    </row>
    <row r="34" spans="3:6" x14ac:dyDescent="0.25">
      <c r="C34" s="18"/>
      <c r="D34" s="28"/>
      <c r="E34" s="16"/>
      <c r="F34" s="17"/>
    </row>
    <row r="35" spans="3:6" x14ac:dyDescent="0.25">
      <c r="C35" s="18"/>
      <c r="D35" s="28"/>
      <c r="E35" s="16"/>
      <c r="F35" s="17"/>
    </row>
    <row r="36" spans="3:6" x14ac:dyDescent="0.25">
      <c r="C36" s="18"/>
      <c r="D36" s="28"/>
      <c r="E36" s="16"/>
      <c r="F36" s="17"/>
    </row>
    <row r="37" spans="3:6" x14ac:dyDescent="0.25">
      <c r="C37" s="18"/>
      <c r="D37" s="28"/>
      <c r="E37" s="16"/>
      <c r="F37" s="17"/>
    </row>
    <row r="38" spans="3:6" x14ac:dyDescent="0.25">
      <c r="C38" s="18"/>
      <c r="D38" s="28"/>
      <c r="E38" s="16"/>
      <c r="F38" s="17"/>
    </row>
    <row r="39" spans="3:6" x14ac:dyDescent="0.25">
      <c r="C39" s="18"/>
      <c r="D39" s="28"/>
      <c r="E39" s="16"/>
      <c r="F39" s="17"/>
    </row>
    <row r="40" spans="3:6" x14ac:dyDescent="0.25">
      <c r="C40" s="18"/>
      <c r="D40" s="28"/>
      <c r="E40" s="16"/>
      <c r="F40" s="17"/>
    </row>
    <row r="41" spans="3:6" x14ac:dyDescent="0.25">
      <c r="C41" s="18"/>
      <c r="D41" s="28"/>
      <c r="E41" s="16"/>
      <c r="F41" s="17"/>
    </row>
    <row r="42" spans="3:6" x14ac:dyDescent="0.25">
      <c r="C42" s="18"/>
      <c r="D42" s="28"/>
      <c r="E42" s="16"/>
      <c r="F42" s="17"/>
    </row>
    <row r="43" spans="3:6" x14ac:dyDescent="0.25">
      <c r="C43" s="18"/>
      <c r="D43" s="28"/>
      <c r="E43" s="16"/>
      <c r="F43" s="17"/>
    </row>
    <row r="44" spans="3:6" x14ac:dyDescent="0.25">
      <c r="C44" s="18"/>
      <c r="D44" s="28"/>
      <c r="E44" s="16"/>
      <c r="F44" s="17"/>
    </row>
    <row r="45" spans="3:6" x14ac:dyDescent="0.25">
      <c r="C45" s="18"/>
      <c r="D45" s="28"/>
      <c r="E45" s="16"/>
      <c r="F45" s="17"/>
    </row>
    <row r="46" spans="3:6" x14ac:dyDescent="0.25">
      <c r="C46" s="18"/>
      <c r="D46" s="28"/>
      <c r="E46" s="16"/>
      <c r="F46" s="17"/>
    </row>
    <row r="47" spans="3:6" x14ac:dyDescent="0.25">
      <c r="C47" s="18"/>
      <c r="D47" s="28"/>
      <c r="E47" s="16"/>
      <c r="F47" s="17"/>
    </row>
    <row r="48" spans="3:6" x14ac:dyDescent="0.25">
      <c r="C48" s="18"/>
      <c r="D48" s="28"/>
      <c r="E48" s="16"/>
      <c r="F48" s="17"/>
    </row>
    <row r="49" spans="3:5" x14ac:dyDescent="0.25">
      <c r="C49" s="18"/>
      <c r="D49" s="28"/>
      <c r="E49" s="16"/>
    </row>
    <row r="50" spans="3:5" x14ac:dyDescent="0.25">
      <c r="C50" s="18"/>
      <c r="D50" s="28"/>
      <c r="E50" s="16"/>
    </row>
    <row r="51" spans="3:5" x14ac:dyDescent="0.25">
      <c r="C51" s="18"/>
      <c r="D51" s="28"/>
      <c r="E51" s="16"/>
    </row>
    <row r="52" spans="3:5" x14ac:dyDescent="0.25">
      <c r="C52" s="18"/>
      <c r="D52" s="28"/>
      <c r="E52" s="16"/>
    </row>
    <row r="53" spans="3:5" x14ac:dyDescent="0.25">
      <c r="C53" s="18"/>
      <c r="D53" s="28"/>
      <c r="E53" s="16"/>
    </row>
    <row r="54" spans="3:5" x14ac:dyDescent="0.25">
      <c r="C54" s="18"/>
      <c r="D54" s="28"/>
      <c r="E54" s="16"/>
    </row>
    <row r="55" spans="3:5" x14ac:dyDescent="0.25">
      <c r="C55" s="18"/>
      <c r="D55" s="28"/>
      <c r="E55" s="16"/>
    </row>
    <row r="56" spans="3:5" x14ac:dyDescent="0.25">
      <c r="C56" s="18"/>
      <c r="D56" s="28"/>
      <c r="E56" s="16"/>
    </row>
    <row r="57" spans="3:5" x14ac:dyDescent="0.25">
      <c r="C57" s="18"/>
      <c r="D57" s="28"/>
      <c r="E57" s="16"/>
    </row>
    <row r="58" spans="3:5" x14ac:dyDescent="0.25">
      <c r="C58" s="18"/>
      <c r="D58" s="28"/>
      <c r="E58" s="16"/>
    </row>
    <row r="59" spans="3:5" x14ac:dyDescent="0.25">
      <c r="C59" s="18"/>
      <c r="D59" s="28"/>
      <c r="E59" s="16"/>
    </row>
    <row r="60" spans="3:5" x14ac:dyDescent="0.25">
      <c r="C60" s="18"/>
      <c r="D60" s="28"/>
      <c r="E60" s="16"/>
    </row>
    <row r="61" spans="3:5" x14ac:dyDescent="0.25">
      <c r="C61" s="18"/>
      <c r="D61" s="28"/>
      <c r="E61" s="16"/>
    </row>
    <row r="62" spans="3:5" x14ac:dyDescent="0.25">
      <c r="C62" s="18"/>
      <c r="D62" s="28"/>
      <c r="E62" s="16"/>
    </row>
    <row r="63" spans="3:5" x14ac:dyDescent="0.25">
      <c r="C63" s="18"/>
      <c r="D63" s="28"/>
      <c r="E63" s="16"/>
    </row>
    <row r="64" spans="3:5" x14ac:dyDescent="0.25">
      <c r="C64" s="18"/>
      <c r="D64" s="28"/>
      <c r="E64" s="16"/>
    </row>
    <row r="65" spans="3:5" x14ac:dyDescent="0.25">
      <c r="C65" s="18"/>
      <c r="D65" s="28"/>
      <c r="E65" s="16"/>
    </row>
    <row r="66" spans="3:5" x14ac:dyDescent="0.25">
      <c r="C66" s="18"/>
      <c r="D66" s="28"/>
      <c r="E66" s="16"/>
    </row>
    <row r="67" spans="3:5" x14ac:dyDescent="0.25">
      <c r="C67" s="18"/>
      <c r="D67" s="28"/>
      <c r="E67" s="16"/>
    </row>
    <row r="68" spans="3:5" x14ac:dyDescent="0.25">
      <c r="C68" s="18"/>
      <c r="D68" s="28"/>
      <c r="E68" s="16"/>
    </row>
    <row r="69" spans="3:5" x14ac:dyDescent="0.25">
      <c r="C69" s="18"/>
      <c r="D69" s="28"/>
      <c r="E69" s="16"/>
    </row>
    <row r="70" spans="3:5" x14ac:dyDescent="0.25">
      <c r="C70" s="18"/>
      <c r="D70" s="28"/>
      <c r="E70" s="16"/>
    </row>
    <row r="71" spans="3:5" x14ac:dyDescent="0.25">
      <c r="C71" s="18"/>
      <c r="D71" s="28"/>
      <c r="E71" s="16"/>
    </row>
    <row r="72" spans="3:5" x14ac:dyDescent="0.25">
      <c r="C72" s="18"/>
      <c r="D72" s="28"/>
      <c r="E72" s="16"/>
    </row>
    <row r="73" spans="3:5" x14ac:dyDescent="0.25">
      <c r="C73" s="18"/>
      <c r="D73" s="28"/>
      <c r="E73" s="16"/>
    </row>
    <row r="74" spans="3:5" x14ac:dyDescent="0.25">
      <c r="C74" s="18"/>
      <c r="D74" s="28"/>
      <c r="E74" s="16"/>
    </row>
    <row r="75" spans="3:5" x14ac:dyDescent="0.25">
      <c r="C75" s="18"/>
      <c r="D75" s="28"/>
      <c r="E75" s="16"/>
    </row>
    <row r="76" spans="3:5" x14ac:dyDescent="0.25">
      <c r="C76" s="18"/>
      <c r="D76" s="28"/>
      <c r="E76" s="16"/>
    </row>
    <row r="77" spans="3:5" x14ac:dyDescent="0.25">
      <c r="C77" s="18"/>
      <c r="D77" s="28"/>
      <c r="E77" s="16"/>
    </row>
    <row r="78" spans="3:5" x14ac:dyDescent="0.25">
      <c r="C78" s="18"/>
      <c r="D78" s="28"/>
      <c r="E78" s="16"/>
    </row>
    <row r="79" spans="3:5" x14ac:dyDescent="0.25">
      <c r="C79" s="18"/>
      <c r="D79" s="28"/>
      <c r="E79" s="16"/>
    </row>
    <row r="80" spans="3:5" x14ac:dyDescent="0.25">
      <c r="C80" s="18"/>
      <c r="D80" s="28"/>
      <c r="E80" s="16"/>
    </row>
    <row r="81" spans="3:5" x14ac:dyDescent="0.25">
      <c r="C81" s="18"/>
      <c r="D81" s="28"/>
      <c r="E81" s="16"/>
    </row>
    <row r="82" spans="3:5" x14ac:dyDescent="0.25">
      <c r="C82" s="18"/>
      <c r="D82" s="28"/>
      <c r="E82" s="16"/>
    </row>
    <row r="83" spans="3:5" x14ac:dyDescent="0.25">
      <c r="C83" s="18"/>
      <c r="D83" s="28"/>
      <c r="E83" s="16"/>
    </row>
    <row r="84" spans="3:5" x14ac:dyDescent="0.25">
      <c r="C84" s="18"/>
      <c r="D84" s="28"/>
      <c r="E84" s="16"/>
    </row>
    <row r="85" spans="3:5" x14ac:dyDescent="0.25">
      <c r="C85" s="18"/>
      <c r="D85" s="28"/>
      <c r="E85" s="16"/>
    </row>
    <row r="86" spans="3:5" x14ac:dyDescent="0.25">
      <c r="C86" s="18"/>
      <c r="D86" s="28"/>
      <c r="E86" s="16"/>
    </row>
    <row r="87" spans="3:5" x14ac:dyDescent="0.25">
      <c r="C87" s="18"/>
      <c r="D87" s="28"/>
      <c r="E87" s="16"/>
    </row>
    <row r="88" spans="3:5" x14ac:dyDescent="0.25">
      <c r="C88" s="18"/>
      <c r="D88" s="28"/>
      <c r="E88" s="16"/>
    </row>
    <row r="89" spans="3:5" x14ac:dyDescent="0.25">
      <c r="C89" s="18"/>
      <c r="D89" s="28"/>
      <c r="E89" s="16"/>
    </row>
    <row r="90" spans="3:5" x14ac:dyDescent="0.25">
      <c r="C90" s="18"/>
      <c r="D90" s="28"/>
      <c r="E90" s="16"/>
    </row>
    <row r="91" spans="3:5" x14ac:dyDescent="0.25">
      <c r="C91" s="18"/>
      <c r="D91" s="28"/>
      <c r="E91" s="16"/>
    </row>
    <row r="92" spans="3:5" x14ac:dyDescent="0.25">
      <c r="C92" s="18"/>
      <c r="D92" s="28"/>
      <c r="E92" s="16"/>
    </row>
    <row r="93" spans="3:5" x14ac:dyDescent="0.25">
      <c r="C93" s="18"/>
      <c r="D93" s="28"/>
      <c r="E93" s="16"/>
    </row>
    <row r="94" spans="3:5" x14ac:dyDescent="0.25">
      <c r="C94" s="18"/>
      <c r="D94" s="28"/>
      <c r="E94" s="16"/>
    </row>
    <row r="95" spans="3:5" x14ac:dyDescent="0.25">
      <c r="C95" s="18"/>
      <c r="D95" s="28"/>
      <c r="E95" s="16"/>
    </row>
    <row r="96" spans="3:5" x14ac:dyDescent="0.25">
      <c r="C96" s="18"/>
      <c r="D96" s="28"/>
      <c r="E96" s="16"/>
    </row>
    <row r="97" spans="3:5" x14ac:dyDescent="0.25">
      <c r="C97" s="18"/>
      <c r="D97" s="28"/>
      <c r="E97" s="16"/>
    </row>
    <row r="98" spans="3:5" x14ac:dyDescent="0.25">
      <c r="C98" s="18"/>
      <c r="D98" s="28"/>
      <c r="E98" s="16"/>
    </row>
    <row r="99" spans="3:5" x14ac:dyDescent="0.25">
      <c r="C99" s="18"/>
      <c r="D99" s="28"/>
      <c r="E99" s="16"/>
    </row>
    <row r="100" spans="3:5" x14ac:dyDescent="0.25">
      <c r="C100" s="18"/>
      <c r="D100" s="28"/>
      <c r="E100" s="16"/>
    </row>
    <row r="101" spans="3:5" x14ac:dyDescent="0.25">
      <c r="C101" s="18"/>
      <c r="D101" s="28"/>
      <c r="E101" s="16"/>
    </row>
    <row r="102" spans="3:5" x14ac:dyDescent="0.25">
      <c r="C102" s="18"/>
      <c r="D102" s="28"/>
      <c r="E102" s="16"/>
    </row>
    <row r="103" spans="3:5" x14ac:dyDescent="0.25">
      <c r="C103" s="18"/>
      <c r="D103" s="28"/>
      <c r="E103" s="16"/>
    </row>
    <row r="104" spans="3:5" x14ac:dyDescent="0.25">
      <c r="C104" s="18"/>
      <c r="D104" s="28"/>
      <c r="E104" s="16"/>
    </row>
    <row r="105" spans="3:5" x14ac:dyDescent="0.25">
      <c r="C105" s="18"/>
      <c r="D105" s="28"/>
      <c r="E105" s="16"/>
    </row>
    <row r="106" spans="3:5" x14ac:dyDescent="0.25">
      <c r="C106" s="18"/>
      <c r="D106" s="28"/>
      <c r="E106" s="16"/>
    </row>
    <row r="107" spans="3:5" x14ac:dyDescent="0.25">
      <c r="C107" s="18"/>
      <c r="D107" s="28"/>
      <c r="E107" s="16"/>
    </row>
    <row r="108" spans="3:5" x14ac:dyDescent="0.25">
      <c r="C108" s="18"/>
      <c r="D108" s="28"/>
      <c r="E108" s="16"/>
    </row>
    <row r="109" spans="3:5" x14ac:dyDescent="0.25">
      <c r="C109" s="18"/>
      <c r="D109" s="28"/>
      <c r="E109" s="16"/>
    </row>
    <row r="110" spans="3:5" x14ac:dyDescent="0.25">
      <c r="C110" s="18"/>
      <c r="D110" s="28"/>
      <c r="E110" s="16"/>
    </row>
    <row r="111" spans="3:5" x14ac:dyDescent="0.25">
      <c r="C111" s="18"/>
      <c r="D111" s="28"/>
      <c r="E111" s="16"/>
    </row>
    <row r="112" spans="3:5" x14ac:dyDescent="0.25">
      <c r="C112" s="18"/>
      <c r="D112" s="28"/>
      <c r="E112" s="16"/>
    </row>
    <row r="113" spans="3:5" x14ac:dyDescent="0.25">
      <c r="C113" s="18"/>
      <c r="D113" s="28"/>
      <c r="E113" s="16"/>
    </row>
    <row r="114" spans="3:5" x14ac:dyDescent="0.25">
      <c r="C114" s="18"/>
      <c r="D114" s="28"/>
      <c r="E114" s="16"/>
    </row>
    <row r="115" spans="3:5" x14ac:dyDescent="0.25">
      <c r="C115" s="18"/>
      <c r="D115" s="28"/>
      <c r="E115" s="16"/>
    </row>
    <row r="116" spans="3:5" x14ac:dyDescent="0.25">
      <c r="C116" s="18"/>
      <c r="D116" s="28"/>
      <c r="E116" s="16"/>
    </row>
    <row r="117" spans="3:5" x14ac:dyDescent="0.25">
      <c r="C117" s="18"/>
      <c r="D117" s="28"/>
      <c r="E117" s="16"/>
    </row>
    <row r="118" spans="3:5" x14ac:dyDescent="0.25">
      <c r="C118" s="18"/>
      <c r="D118" s="28"/>
      <c r="E118" s="16"/>
    </row>
    <row r="119" spans="3:5" x14ac:dyDescent="0.25">
      <c r="C119" s="18"/>
      <c r="D119" s="28"/>
      <c r="E119" s="16"/>
    </row>
    <row r="120" spans="3:5" x14ac:dyDescent="0.25">
      <c r="C120" s="18"/>
      <c r="D120" s="28"/>
      <c r="E120" s="16"/>
    </row>
    <row r="121" spans="3:5" x14ac:dyDescent="0.25">
      <c r="C121" s="18"/>
      <c r="D121" s="28"/>
      <c r="E121" s="16"/>
    </row>
    <row r="122" spans="3:5" x14ac:dyDescent="0.25">
      <c r="C122" s="18"/>
      <c r="D122" s="28"/>
      <c r="E122" s="16"/>
    </row>
    <row r="123" spans="3:5" x14ac:dyDescent="0.25">
      <c r="C123" s="18"/>
      <c r="D123" s="28"/>
      <c r="E123" s="16"/>
    </row>
    <row r="124" spans="3:5" x14ac:dyDescent="0.25">
      <c r="C124" s="18"/>
      <c r="D124" s="28"/>
      <c r="E124" s="16"/>
    </row>
    <row r="125" spans="3:5" x14ac:dyDescent="0.25">
      <c r="C125" s="18"/>
      <c r="D125" s="28"/>
      <c r="E125" s="16"/>
    </row>
    <row r="126" spans="3:5" x14ac:dyDescent="0.25">
      <c r="C126" s="18"/>
      <c r="D126" s="28"/>
      <c r="E126" s="16"/>
    </row>
    <row r="127" spans="3:5" x14ac:dyDescent="0.25">
      <c r="C127" s="18"/>
      <c r="D127" s="28"/>
      <c r="E127" s="16"/>
    </row>
    <row r="128" spans="3:5" x14ac:dyDescent="0.25">
      <c r="C128" s="18"/>
      <c r="D128" s="28"/>
      <c r="E128" s="16"/>
    </row>
    <row r="129" spans="3:5" x14ac:dyDescent="0.25">
      <c r="C129" s="18"/>
      <c r="D129" s="28"/>
      <c r="E129" s="16"/>
    </row>
    <row r="130" spans="3:5" x14ac:dyDescent="0.25">
      <c r="C130" s="18"/>
      <c r="D130" s="28"/>
      <c r="E130" s="16"/>
    </row>
    <row r="131" spans="3:5" x14ac:dyDescent="0.25">
      <c r="C131" s="18"/>
      <c r="D131" s="28"/>
      <c r="E131" s="16"/>
    </row>
    <row r="132" spans="3:5" x14ac:dyDescent="0.25">
      <c r="C132" s="18"/>
      <c r="D132" s="28"/>
      <c r="E132" s="16"/>
    </row>
    <row r="133" spans="3:5" x14ac:dyDescent="0.25">
      <c r="C133" s="18"/>
      <c r="D133" s="28"/>
      <c r="E133" s="16"/>
    </row>
    <row r="134" spans="3:5" x14ac:dyDescent="0.25">
      <c r="C134" s="18"/>
      <c r="D134" s="28"/>
      <c r="E134" s="16"/>
    </row>
    <row r="135" spans="3:5" x14ac:dyDescent="0.25">
      <c r="C135" s="18"/>
      <c r="D135" s="28"/>
      <c r="E135" s="16"/>
    </row>
    <row r="136" spans="3:5" x14ac:dyDescent="0.25">
      <c r="C136" s="18"/>
      <c r="D136" s="28"/>
      <c r="E136" s="16"/>
    </row>
    <row r="137" spans="3:5" x14ac:dyDescent="0.25">
      <c r="C137" s="18"/>
      <c r="D137" s="28"/>
      <c r="E137" s="16"/>
    </row>
    <row r="138" spans="3:5" x14ac:dyDescent="0.25">
      <c r="C138" s="18"/>
      <c r="D138" s="28"/>
      <c r="E138" s="16"/>
    </row>
    <row r="139" spans="3:5" x14ac:dyDescent="0.25">
      <c r="C139" s="18"/>
      <c r="D139" s="28"/>
      <c r="E139" s="16"/>
    </row>
    <row r="140" spans="3:5" x14ac:dyDescent="0.25">
      <c r="C140" s="18"/>
      <c r="D140" s="28"/>
      <c r="E140" s="16"/>
    </row>
    <row r="141" spans="3:5" x14ac:dyDescent="0.25">
      <c r="C141" s="18"/>
      <c r="D141" s="28"/>
      <c r="E141" s="16"/>
    </row>
    <row r="142" spans="3:5" x14ac:dyDescent="0.25">
      <c r="C142" s="18"/>
      <c r="D142" s="28"/>
      <c r="E142" s="16"/>
    </row>
    <row r="143" spans="3:5" x14ac:dyDescent="0.25">
      <c r="C143" s="18"/>
      <c r="D143" s="28"/>
      <c r="E143" s="16"/>
    </row>
    <row r="144" spans="3:5" x14ac:dyDescent="0.25">
      <c r="C144" s="18"/>
      <c r="D144" s="28"/>
      <c r="E144" s="16"/>
    </row>
    <row r="145" spans="3:5" x14ac:dyDescent="0.25">
      <c r="C145" s="18"/>
      <c r="D145" s="28"/>
      <c r="E145" s="16"/>
    </row>
    <row r="146" spans="3:5" x14ac:dyDescent="0.25">
      <c r="C146" s="18"/>
      <c r="D146" s="28"/>
      <c r="E146" s="16"/>
    </row>
    <row r="147" spans="3:5" x14ac:dyDescent="0.25">
      <c r="C147" s="18"/>
      <c r="D147" s="28"/>
      <c r="E147" s="16"/>
    </row>
    <row r="148" spans="3:5" x14ac:dyDescent="0.25">
      <c r="C148" s="18"/>
      <c r="D148" s="28"/>
      <c r="E148" s="16"/>
    </row>
    <row r="149" spans="3:5" x14ac:dyDescent="0.25">
      <c r="C149" s="18"/>
      <c r="D149" s="28"/>
      <c r="E149" s="16"/>
    </row>
    <row r="150" spans="3:5" x14ac:dyDescent="0.25">
      <c r="C150" s="18"/>
      <c r="D150" s="28"/>
      <c r="E150" s="16"/>
    </row>
    <row r="151" spans="3:5" x14ac:dyDescent="0.25">
      <c r="C151" s="18"/>
      <c r="D151" s="28"/>
      <c r="E151" s="16"/>
    </row>
    <row r="152" spans="3:5" x14ac:dyDescent="0.25">
      <c r="C152" s="18"/>
      <c r="D152" s="28"/>
      <c r="E152" s="16"/>
    </row>
    <row r="153" spans="3:5" x14ac:dyDescent="0.25">
      <c r="C153" s="18"/>
      <c r="D153" s="28"/>
      <c r="E153" s="16"/>
    </row>
    <row r="154" spans="3:5" x14ac:dyDescent="0.25">
      <c r="C154" s="18"/>
      <c r="D154" s="28"/>
      <c r="E154" s="16"/>
    </row>
    <row r="155" spans="3:5" x14ac:dyDescent="0.25">
      <c r="C155" s="18"/>
      <c r="D155" s="28"/>
      <c r="E155" s="16"/>
    </row>
    <row r="156" spans="3:5" x14ac:dyDescent="0.25">
      <c r="C156" s="18"/>
      <c r="D156" s="28"/>
      <c r="E156" s="16"/>
    </row>
    <row r="157" spans="3:5" x14ac:dyDescent="0.25">
      <c r="C157" s="18"/>
      <c r="D157" s="28"/>
      <c r="E157" s="16"/>
    </row>
    <row r="158" spans="3:5" x14ac:dyDescent="0.25">
      <c r="C158" s="18"/>
      <c r="D158" s="28"/>
      <c r="E158" s="16"/>
    </row>
    <row r="159" spans="3:5" x14ac:dyDescent="0.25">
      <c r="C159" s="18"/>
      <c r="D159" s="28"/>
      <c r="E159" s="16"/>
    </row>
    <row r="160" spans="3:5" x14ac:dyDescent="0.25">
      <c r="C160" s="18"/>
      <c r="D160" s="28"/>
      <c r="E160" s="16"/>
    </row>
    <row r="161" spans="3:5" x14ac:dyDescent="0.25">
      <c r="C161" s="18"/>
      <c r="D161" s="28"/>
      <c r="E161" s="16"/>
    </row>
    <row r="162" spans="3:5" x14ac:dyDescent="0.25">
      <c r="C162" s="18"/>
      <c r="D162" s="28"/>
      <c r="E162" s="16"/>
    </row>
    <row r="163" spans="3:5" x14ac:dyDescent="0.25">
      <c r="C163" s="18"/>
      <c r="D163" s="28"/>
      <c r="E163" s="16"/>
    </row>
    <row r="164" spans="3:5" x14ac:dyDescent="0.25">
      <c r="C164" s="18"/>
      <c r="D164" s="28"/>
      <c r="E164" s="16"/>
    </row>
    <row r="165" spans="3:5" x14ac:dyDescent="0.25">
      <c r="C165" s="18"/>
      <c r="D165" s="28"/>
      <c r="E165" s="16"/>
    </row>
    <row r="166" spans="3:5" x14ac:dyDescent="0.25">
      <c r="C166" s="18"/>
      <c r="D166" s="28"/>
      <c r="E166" s="16"/>
    </row>
    <row r="167" spans="3:5" x14ac:dyDescent="0.25">
      <c r="C167" s="18"/>
      <c r="D167" s="28"/>
      <c r="E167" s="16"/>
    </row>
    <row r="168" spans="3:5" x14ac:dyDescent="0.25">
      <c r="C168" s="18"/>
      <c r="D168" s="28"/>
      <c r="E168" s="16"/>
    </row>
    <row r="169" spans="3:5" x14ac:dyDescent="0.25">
      <c r="C169" s="18"/>
      <c r="D169" s="28"/>
      <c r="E169" s="16"/>
    </row>
    <row r="170" spans="3:5" x14ac:dyDescent="0.25">
      <c r="C170" s="18"/>
      <c r="D170" s="28"/>
      <c r="E170" s="16"/>
    </row>
    <row r="171" spans="3:5" x14ac:dyDescent="0.25">
      <c r="C171" s="18"/>
      <c r="D171" s="28"/>
      <c r="E171" s="16"/>
    </row>
    <row r="172" spans="3:5" x14ac:dyDescent="0.25">
      <c r="C172" s="18"/>
      <c r="D172" s="28"/>
      <c r="E172" s="16"/>
    </row>
    <row r="173" spans="3:5" x14ac:dyDescent="0.25">
      <c r="C173" s="18"/>
      <c r="D173" s="28"/>
      <c r="E173" s="16"/>
    </row>
    <row r="174" spans="3:5" x14ac:dyDescent="0.25">
      <c r="C174" s="18"/>
      <c r="D174" s="28"/>
      <c r="E174" s="16"/>
    </row>
    <row r="175" spans="3:5" x14ac:dyDescent="0.25">
      <c r="C175" s="18"/>
      <c r="D175" s="28"/>
      <c r="E175" s="16"/>
    </row>
    <row r="176" spans="3:5" x14ac:dyDescent="0.25">
      <c r="C176" s="18"/>
      <c r="D176" s="28"/>
      <c r="E176" s="16"/>
    </row>
    <row r="177" spans="3:5" x14ac:dyDescent="0.25">
      <c r="C177" s="18"/>
      <c r="D177" s="28"/>
      <c r="E177" s="16"/>
    </row>
    <row r="178" spans="3:5" x14ac:dyDescent="0.25">
      <c r="C178" s="18"/>
      <c r="D178" s="28"/>
      <c r="E178" s="16"/>
    </row>
    <row r="179" spans="3:5" x14ac:dyDescent="0.25">
      <c r="C179" s="18"/>
      <c r="D179" s="28"/>
      <c r="E179" s="16"/>
    </row>
    <row r="180" spans="3:5" x14ac:dyDescent="0.25">
      <c r="C180" s="18"/>
      <c r="D180" s="28"/>
      <c r="E180" s="16"/>
    </row>
    <row r="181" spans="3:5" x14ac:dyDescent="0.25">
      <c r="C181" s="18"/>
      <c r="D181" s="28"/>
      <c r="E181" s="16"/>
    </row>
    <row r="182" spans="3:5" x14ac:dyDescent="0.25">
      <c r="C182" s="18"/>
      <c r="D182" s="28"/>
      <c r="E182" s="16"/>
    </row>
    <row r="183" spans="3:5" x14ac:dyDescent="0.25">
      <c r="C183" s="18"/>
      <c r="D183" s="28"/>
      <c r="E183" s="16"/>
    </row>
    <row r="184" spans="3:5" x14ac:dyDescent="0.25">
      <c r="C184" s="18"/>
      <c r="D184" s="28"/>
      <c r="E184" s="16"/>
    </row>
    <row r="185" spans="3:5" x14ac:dyDescent="0.25">
      <c r="C185" s="18"/>
      <c r="D185" s="28"/>
      <c r="E185" s="16"/>
    </row>
    <row r="186" spans="3:5" x14ac:dyDescent="0.25">
      <c r="C186" s="18"/>
      <c r="D186" s="28"/>
      <c r="E186" s="16"/>
    </row>
    <row r="187" spans="3:5" x14ac:dyDescent="0.25">
      <c r="C187" s="18"/>
      <c r="D187" s="28"/>
      <c r="E187" s="16"/>
    </row>
    <row r="188" spans="3:5" x14ac:dyDescent="0.25">
      <c r="C188" s="18"/>
      <c r="D188" s="28"/>
      <c r="E188" s="16"/>
    </row>
    <row r="189" spans="3:5" x14ac:dyDescent="0.25">
      <c r="C189" s="18"/>
      <c r="D189" s="28"/>
      <c r="E189" s="16"/>
    </row>
    <row r="190" spans="3:5" x14ac:dyDescent="0.25">
      <c r="C190" s="18"/>
      <c r="D190" s="28"/>
      <c r="E190" s="16"/>
    </row>
    <row r="191" spans="3:5" x14ac:dyDescent="0.25">
      <c r="C191" s="18"/>
      <c r="D191" s="28"/>
      <c r="E191" s="16"/>
    </row>
    <row r="192" spans="3:5" x14ac:dyDescent="0.25">
      <c r="C192" s="18"/>
      <c r="D192" s="28"/>
      <c r="E192" s="16"/>
    </row>
    <row r="193" spans="3:5" x14ac:dyDescent="0.25">
      <c r="C193" s="18"/>
      <c r="D193" s="28"/>
      <c r="E193" s="16"/>
    </row>
    <row r="194" spans="3:5" x14ac:dyDescent="0.25">
      <c r="C194" s="18"/>
      <c r="D194" s="28"/>
      <c r="E194" s="16"/>
    </row>
    <row r="195" spans="3:5" x14ac:dyDescent="0.25">
      <c r="C195" s="18"/>
      <c r="D195" s="28"/>
      <c r="E195" s="16"/>
    </row>
    <row r="196" spans="3:5" x14ac:dyDescent="0.25">
      <c r="C196" s="18"/>
      <c r="D196" s="28"/>
      <c r="E196" s="16"/>
    </row>
    <row r="197" spans="3:5" x14ac:dyDescent="0.25">
      <c r="C197" s="18"/>
      <c r="D197" s="28"/>
      <c r="E197" s="16"/>
    </row>
    <row r="198" spans="3:5" x14ac:dyDescent="0.25">
      <c r="C198" s="18"/>
      <c r="D198" s="28"/>
      <c r="E198" s="16"/>
    </row>
    <row r="199" spans="3:5" x14ac:dyDescent="0.25">
      <c r="C199" s="18"/>
      <c r="D199" s="28"/>
      <c r="E199" s="16"/>
    </row>
    <row r="200" spans="3:5" x14ac:dyDescent="0.25">
      <c r="C200" s="18"/>
      <c r="D200" s="28"/>
      <c r="E200" s="16"/>
    </row>
    <row r="201" spans="3:5" x14ac:dyDescent="0.25">
      <c r="C201" s="18"/>
      <c r="D201" s="28"/>
      <c r="E201" s="16"/>
    </row>
    <row r="202" spans="3:5" x14ac:dyDescent="0.25">
      <c r="C202" s="18"/>
      <c r="D202" s="28"/>
      <c r="E202" s="16"/>
    </row>
    <row r="203" spans="3:5" x14ac:dyDescent="0.25">
      <c r="C203" s="18"/>
      <c r="D203" s="28"/>
      <c r="E203" s="16"/>
    </row>
    <row r="204" spans="3:5" x14ac:dyDescent="0.25">
      <c r="C204" s="18"/>
      <c r="D204" s="28"/>
      <c r="E204" s="16"/>
    </row>
    <row r="205" spans="3:5" x14ac:dyDescent="0.25">
      <c r="C205" s="18"/>
      <c r="D205" s="28"/>
      <c r="E205" s="16"/>
    </row>
    <row r="206" spans="3:5" x14ac:dyDescent="0.25">
      <c r="C206" s="18"/>
      <c r="D206" s="28"/>
      <c r="E206" s="16"/>
    </row>
    <row r="207" spans="3:5" x14ac:dyDescent="0.25">
      <c r="C207" s="18"/>
      <c r="D207" s="28"/>
      <c r="E207" s="16"/>
    </row>
    <row r="208" spans="3:5" x14ac:dyDescent="0.25">
      <c r="C208" s="18"/>
      <c r="D208" s="28"/>
      <c r="E208" s="16"/>
    </row>
    <row r="209" spans="3:5" x14ac:dyDescent="0.25">
      <c r="C209" s="18"/>
      <c r="D209" s="28"/>
      <c r="E209" s="16"/>
    </row>
    <row r="210" spans="3:5" x14ac:dyDescent="0.25">
      <c r="C210" s="18"/>
      <c r="D210" s="28"/>
      <c r="E210" s="16"/>
    </row>
    <row r="211" spans="3:5" x14ac:dyDescent="0.25">
      <c r="C211" s="18"/>
      <c r="D211" s="28"/>
      <c r="E211" s="16"/>
    </row>
    <row r="212" spans="3:5" x14ac:dyDescent="0.25">
      <c r="C212" s="18"/>
      <c r="D212" s="28"/>
      <c r="E212" s="16"/>
    </row>
    <row r="213" spans="3:5" x14ac:dyDescent="0.25">
      <c r="C213" s="18"/>
      <c r="D213" s="28"/>
      <c r="E213" s="16"/>
    </row>
    <row r="214" spans="3:5" x14ac:dyDescent="0.25">
      <c r="C214" s="18"/>
      <c r="D214" s="28"/>
      <c r="E214" s="16"/>
    </row>
    <row r="215" spans="3:5" x14ac:dyDescent="0.25">
      <c r="C215" s="18"/>
      <c r="D215" s="28"/>
      <c r="E215" s="16"/>
    </row>
    <row r="216" spans="3:5" x14ac:dyDescent="0.25">
      <c r="C216" s="18"/>
      <c r="D216" s="28"/>
      <c r="E216" s="16"/>
    </row>
    <row r="217" spans="3:5" x14ac:dyDescent="0.25">
      <c r="C217" s="18"/>
      <c r="D217" s="28"/>
      <c r="E217" s="16"/>
    </row>
    <row r="218" spans="3:5" x14ac:dyDescent="0.25">
      <c r="C218" s="18"/>
      <c r="D218" s="28"/>
      <c r="E218" s="16"/>
    </row>
    <row r="219" spans="3:5" x14ac:dyDescent="0.25">
      <c r="C219" s="18"/>
      <c r="D219" s="28"/>
      <c r="E219" s="16"/>
    </row>
    <row r="220" spans="3:5" x14ac:dyDescent="0.25">
      <c r="C220" s="18"/>
      <c r="D220" s="28"/>
      <c r="E220" s="16"/>
    </row>
    <row r="221" spans="3:5" x14ac:dyDescent="0.25">
      <c r="C221" s="18"/>
      <c r="D221" s="28"/>
      <c r="E221" s="16"/>
    </row>
    <row r="222" spans="3:5" x14ac:dyDescent="0.25">
      <c r="C222" s="18"/>
      <c r="D222" s="28"/>
      <c r="E222" s="16"/>
    </row>
    <row r="223" spans="3:5" x14ac:dyDescent="0.25">
      <c r="C223" s="18"/>
      <c r="D223" s="28"/>
      <c r="E223" s="16"/>
    </row>
    <row r="224" spans="3:5" x14ac:dyDescent="0.25">
      <c r="C224" s="18"/>
      <c r="D224" s="28"/>
      <c r="E224" s="16"/>
    </row>
    <row r="225" spans="3:5" x14ac:dyDescent="0.25">
      <c r="C225" s="18"/>
      <c r="D225" s="28"/>
      <c r="E225" s="16"/>
    </row>
    <row r="226" spans="3:5" x14ac:dyDescent="0.25">
      <c r="C226" s="18"/>
      <c r="D226" s="28"/>
      <c r="E226" s="16"/>
    </row>
    <row r="227" spans="3:5" x14ac:dyDescent="0.25">
      <c r="C227" s="18"/>
      <c r="D227" s="28"/>
      <c r="E227" s="16"/>
    </row>
    <row r="228" spans="3:5" x14ac:dyDescent="0.25">
      <c r="C228" s="18"/>
      <c r="D228" s="28"/>
      <c r="E228" s="16"/>
    </row>
    <row r="229" spans="3:5" x14ac:dyDescent="0.25">
      <c r="C229" s="18"/>
      <c r="D229" s="28"/>
      <c r="E229" s="16"/>
    </row>
    <row r="230" spans="3:5" x14ac:dyDescent="0.25">
      <c r="C230" s="18"/>
      <c r="D230" s="28"/>
      <c r="E230" s="16"/>
    </row>
    <row r="231" spans="3:5" x14ac:dyDescent="0.25">
      <c r="C231" s="18"/>
      <c r="D231" s="28"/>
      <c r="E231" s="16"/>
    </row>
    <row r="232" spans="3:5" x14ac:dyDescent="0.25">
      <c r="C232" s="18"/>
      <c r="D232" s="28"/>
      <c r="E232" s="16"/>
    </row>
    <row r="233" spans="3:5" x14ac:dyDescent="0.25">
      <c r="C233" s="18"/>
      <c r="D233" s="28"/>
      <c r="E233" s="16"/>
    </row>
    <row r="234" spans="3:5" x14ac:dyDescent="0.25">
      <c r="C234" s="18"/>
      <c r="D234" s="28"/>
      <c r="E234" s="16"/>
    </row>
    <row r="235" spans="3:5" x14ac:dyDescent="0.25">
      <c r="C235" s="18"/>
      <c r="D235" s="28"/>
      <c r="E235" s="16"/>
    </row>
    <row r="236" spans="3:5" x14ac:dyDescent="0.25">
      <c r="C236" s="18"/>
      <c r="D236" s="28"/>
      <c r="E236" s="16"/>
    </row>
    <row r="237" spans="3:5" x14ac:dyDescent="0.25">
      <c r="C237" s="18"/>
      <c r="D237" s="28"/>
      <c r="E237" s="16"/>
    </row>
    <row r="238" spans="3:5" x14ac:dyDescent="0.25">
      <c r="C238" s="18"/>
      <c r="D238" s="28"/>
      <c r="E238" s="16"/>
    </row>
    <row r="239" spans="3:5" x14ac:dyDescent="0.25">
      <c r="C239" s="18"/>
      <c r="D239" s="28"/>
      <c r="E239" s="16"/>
    </row>
    <row r="240" spans="3:5" x14ac:dyDescent="0.25">
      <c r="C240" s="18"/>
      <c r="D240" s="28"/>
      <c r="E240" s="16"/>
    </row>
    <row r="241" spans="3:5" x14ac:dyDescent="0.25">
      <c r="C241" s="18"/>
      <c r="D241" s="28"/>
      <c r="E241" s="16"/>
    </row>
    <row r="242" spans="3:5" x14ac:dyDescent="0.25">
      <c r="C242" s="18"/>
      <c r="D242" s="28"/>
      <c r="E242" s="16"/>
    </row>
    <row r="243" spans="3:5" x14ac:dyDescent="0.25">
      <c r="C243" s="18"/>
      <c r="D243" s="28"/>
      <c r="E243" s="16"/>
    </row>
    <row r="244" spans="3:5" x14ac:dyDescent="0.25">
      <c r="C244" s="18"/>
      <c r="D244" s="28"/>
      <c r="E244" s="16"/>
    </row>
    <row r="245" spans="3:5" x14ac:dyDescent="0.25">
      <c r="C245" s="18"/>
      <c r="D245" s="28"/>
      <c r="E245" s="16"/>
    </row>
    <row r="246" spans="3:5" x14ac:dyDescent="0.25">
      <c r="C246" s="18"/>
      <c r="D246" s="28"/>
      <c r="E246" s="16"/>
    </row>
    <row r="247" spans="3:5" x14ac:dyDescent="0.25">
      <c r="C247" s="18"/>
      <c r="D247" s="28"/>
      <c r="E247" s="16"/>
    </row>
    <row r="248" spans="3:5" x14ac:dyDescent="0.25">
      <c r="C248" s="18"/>
      <c r="D248" s="28"/>
      <c r="E248" s="16"/>
    </row>
    <row r="249" spans="3:5" x14ac:dyDescent="0.25">
      <c r="C249" s="18"/>
      <c r="D249" s="28"/>
      <c r="E249" s="16"/>
    </row>
    <row r="250" spans="3:5" x14ac:dyDescent="0.25">
      <c r="C250" s="18"/>
      <c r="D250" s="28"/>
      <c r="E250" s="16"/>
    </row>
    <row r="251" spans="3:5" x14ac:dyDescent="0.25">
      <c r="C251" s="18"/>
      <c r="D251" s="28"/>
      <c r="E251" s="16"/>
    </row>
    <row r="252" spans="3:5" x14ac:dyDescent="0.25">
      <c r="C252" s="18"/>
      <c r="D252" s="28"/>
      <c r="E252" s="16"/>
    </row>
    <row r="253" spans="3:5" x14ac:dyDescent="0.25">
      <c r="C253" s="18"/>
      <c r="D253" s="28"/>
      <c r="E253" s="16"/>
    </row>
    <row r="254" spans="3:5" x14ac:dyDescent="0.25">
      <c r="C254" s="18"/>
      <c r="D254" s="28"/>
      <c r="E254" s="16"/>
    </row>
    <row r="255" spans="3:5" x14ac:dyDescent="0.25">
      <c r="C255" s="18"/>
      <c r="D255" s="28"/>
      <c r="E255" s="16"/>
    </row>
    <row r="256" spans="3:5" x14ac:dyDescent="0.25">
      <c r="C256" s="18"/>
      <c r="D256" s="28"/>
      <c r="E256" s="16"/>
    </row>
    <row r="257" spans="3:5" x14ac:dyDescent="0.25">
      <c r="C257" s="18"/>
      <c r="D257" s="28"/>
      <c r="E257" s="16"/>
    </row>
    <row r="258" spans="3:5" x14ac:dyDescent="0.25">
      <c r="C258" s="18"/>
      <c r="D258" s="28"/>
      <c r="E258" s="16"/>
    </row>
    <row r="259" spans="3:5" x14ac:dyDescent="0.25">
      <c r="C259" s="18"/>
      <c r="D259" s="28"/>
      <c r="E259" s="16"/>
    </row>
    <row r="260" spans="3:5" x14ac:dyDescent="0.25">
      <c r="C260" s="18"/>
      <c r="D260" s="28"/>
      <c r="E260" s="16"/>
    </row>
    <row r="261" spans="3:5" x14ac:dyDescent="0.25">
      <c r="C261" s="18"/>
      <c r="D261" s="28"/>
      <c r="E261" s="16"/>
    </row>
    <row r="262" spans="3:5" x14ac:dyDescent="0.25">
      <c r="C262" s="18"/>
      <c r="D262" s="28"/>
      <c r="E262" s="16"/>
    </row>
    <row r="263" spans="3:5" x14ac:dyDescent="0.25">
      <c r="C263" s="18"/>
      <c r="D263" s="28"/>
      <c r="E263" s="16"/>
    </row>
    <row r="264" spans="3:5" x14ac:dyDescent="0.25">
      <c r="C264" s="18"/>
      <c r="D264" s="28"/>
      <c r="E264" s="16"/>
    </row>
    <row r="265" spans="3:5" x14ac:dyDescent="0.25">
      <c r="C265" s="18"/>
      <c r="D265" s="28"/>
      <c r="E265" s="16"/>
    </row>
    <row r="266" spans="3:5" x14ac:dyDescent="0.25">
      <c r="C266" s="18"/>
      <c r="D266" s="28"/>
      <c r="E266" s="16"/>
    </row>
    <row r="267" spans="3:5" x14ac:dyDescent="0.25">
      <c r="C267" s="18"/>
      <c r="D267" s="28"/>
      <c r="E267" s="16"/>
    </row>
    <row r="268" spans="3:5" x14ac:dyDescent="0.25">
      <c r="C268" s="18"/>
      <c r="D268" s="28"/>
      <c r="E268" s="16"/>
    </row>
    <row r="269" spans="3:5" x14ac:dyDescent="0.25">
      <c r="C269" s="18"/>
      <c r="D269" s="28"/>
      <c r="E269" s="16"/>
    </row>
    <row r="270" spans="3:5" x14ac:dyDescent="0.25">
      <c r="C270" s="18"/>
      <c r="D270" s="28"/>
      <c r="E270" s="16"/>
    </row>
    <row r="271" spans="3:5" x14ac:dyDescent="0.25">
      <c r="C271" s="18"/>
      <c r="D271" s="28"/>
      <c r="E271" s="16"/>
    </row>
    <row r="272" spans="3:5" x14ac:dyDescent="0.25">
      <c r="C272" s="18"/>
      <c r="D272" s="28"/>
      <c r="E272" s="16"/>
    </row>
    <row r="273" spans="3:5" x14ac:dyDescent="0.25">
      <c r="C273" s="18"/>
      <c r="D273" s="28"/>
      <c r="E273" s="16"/>
    </row>
    <row r="274" spans="3:5" x14ac:dyDescent="0.25">
      <c r="C274" s="18"/>
      <c r="D274" s="28"/>
      <c r="E274" s="16"/>
    </row>
    <row r="275" spans="3:5" x14ac:dyDescent="0.25">
      <c r="C275" s="18"/>
      <c r="D275" s="28"/>
      <c r="E275" s="16"/>
    </row>
    <row r="276" spans="3:5" x14ac:dyDescent="0.25">
      <c r="C276" s="18"/>
      <c r="D276" s="28"/>
      <c r="E276" s="16"/>
    </row>
    <row r="277" spans="3:5" x14ac:dyDescent="0.25">
      <c r="C277" s="18"/>
      <c r="D277" s="28"/>
      <c r="E277" s="16"/>
    </row>
    <row r="278" spans="3:5" x14ac:dyDescent="0.25">
      <c r="C278" s="18"/>
      <c r="D278" s="28"/>
      <c r="E278" s="16"/>
    </row>
    <row r="279" spans="3:5" x14ac:dyDescent="0.25">
      <c r="C279" s="18"/>
      <c r="D279" s="28"/>
      <c r="E279" s="16"/>
    </row>
    <row r="280" spans="3:5" x14ac:dyDescent="0.25">
      <c r="C280" s="18"/>
      <c r="D280" s="28"/>
      <c r="E280" s="16"/>
    </row>
    <row r="281" spans="3:5" x14ac:dyDescent="0.25">
      <c r="C281" s="18"/>
      <c r="D281" s="28"/>
      <c r="E281" s="16"/>
    </row>
    <row r="282" spans="3:5" x14ac:dyDescent="0.25">
      <c r="C282" s="18"/>
      <c r="D282" s="28"/>
      <c r="E282" s="16"/>
    </row>
    <row r="283" spans="3:5" x14ac:dyDescent="0.25">
      <c r="C283" s="18"/>
      <c r="D283" s="28"/>
      <c r="E283" s="16"/>
    </row>
    <row r="284" spans="3:5" x14ac:dyDescent="0.25">
      <c r="C284" s="18"/>
      <c r="D284" s="28"/>
      <c r="E284" s="16"/>
    </row>
    <row r="285" spans="3:5" x14ac:dyDescent="0.25">
      <c r="C285" s="18"/>
      <c r="D285" s="28"/>
      <c r="E285" s="16"/>
    </row>
    <row r="286" spans="3:5" x14ac:dyDescent="0.25">
      <c r="C286" s="18"/>
      <c r="D286" s="28"/>
      <c r="E286" s="16"/>
    </row>
    <row r="287" spans="3:5" x14ac:dyDescent="0.25">
      <c r="C287" s="18"/>
      <c r="D287" s="28"/>
      <c r="E287" s="16"/>
    </row>
    <row r="288" spans="3:5" x14ac:dyDescent="0.25">
      <c r="C288" s="18"/>
      <c r="D288" s="28"/>
      <c r="E288" s="16"/>
    </row>
    <row r="289" spans="3:5" x14ac:dyDescent="0.25">
      <c r="C289" s="18"/>
      <c r="D289" s="28"/>
      <c r="E289" s="16"/>
    </row>
    <row r="290" spans="3:5" x14ac:dyDescent="0.25">
      <c r="C290" s="18"/>
      <c r="D290" s="28"/>
      <c r="E290" s="16"/>
    </row>
    <row r="291" spans="3:5" x14ac:dyDescent="0.25">
      <c r="C291" s="18"/>
      <c r="D291" s="28"/>
      <c r="E291" s="16"/>
    </row>
    <row r="292" spans="3:5" x14ac:dyDescent="0.25">
      <c r="C292" s="18"/>
      <c r="D292" s="28"/>
      <c r="E292" s="16"/>
    </row>
    <row r="293" spans="3:5" x14ac:dyDescent="0.25">
      <c r="C293" s="18"/>
      <c r="D293" s="28"/>
      <c r="E293" s="16"/>
    </row>
    <row r="294" spans="3:5" x14ac:dyDescent="0.25">
      <c r="C294" s="18"/>
      <c r="D294" s="28"/>
      <c r="E294" s="16"/>
    </row>
    <row r="295" spans="3:5" x14ac:dyDescent="0.25">
      <c r="C295" s="18"/>
      <c r="D295" s="28"/>
      <c r="E295" s="16"/>
    </row>
    <row r="296" spans="3:5" x14ac:dyDescent="0.25">
      <c r="C296" s="18"/>
      <c r="D296" s="28"/>
      <c r="E296" s="16"/>
    </row>
    <row r="297" spans="3:5" x14ac:dyDescent="0.25">
      <c r="C297" s="18"/>
      <c r="D297" s="28"/>
      <c r="E297" s="16"/>
    </row>
    <row r="298" spans="3:5" x14ac:dyDescent="0.25">
      <c r="C298" s="18"/>
      <c r="D298" s="28"/>
      <c r="E298" s="16"/>
    </row>
    <row r="299" spans="3:5" x14ac:dyDescent="0.25">
      <c r="C299" s="18"/>
      <c r="D299" s="28"/>
      <c r="E299" s="16"/>
    </row>
    <row r="300" spans="3:5" x14ac:dyDescent="0.25">
      <c r="C300" s="18"/>
      <c r="D300" s="28"/>
      <c r="E300" s="16"/>
    </row>
    <row r="301" spans="3:5" x14ac:dyDescent="0.25">
      <c r="C301" s="18"/>
      <c r="D301" s="28"/>
      <c r="E301" s="16"/>
    </row>
    <row r="302" spans="3:5" x14ac:dyDescent="0.25">
      <c r="C302" s="18"/>
      <c r="D302" s="28"/>
      <c r="E302" s="16"/>
    </row>
    <row r="303" spans="3:5" x14ac:dyDescent="0.25">
      <c r="C303" s="18"/>
      <c r="D303" s="28"/>
      <c r="E303" s="16"/>
    </row>
    <row r="304" spans="3:5" x14ac:dyDescent="0.25">
      <c r="C304" s="18"/>
      <c r="D304" s="28"/>
      <c r="E304" s="16"/>
    </row>
    <row r="305" spans="3:5" x14ac:dyDescent="0.25">
      <c r="C305" s="18"/>
      <c r="D305" s="28"/>
      <c r="E305" s="16"/>
    </row>
    <row r="306" spans="3:5" x14ac:dyDescent="0.25">
      <c r="C306" s="18"/>
      <c r="D306" s="28"/>
      <c r="E306" s="16"/>
    </row>
    <row r="307" spans="3:5" x14ac:dyDescent="0.25">
      <c r="C307" s="18"/>
      <c r="D307" s="28"/>
      <c r="E307" s="16"/>
    </row>
    <row r="308" spans="3:5" x14ac:dyDescent="0.25">
      <c r="C308" s="18"/>
      <c r="D308" s="28"/>
      <c r="E308" s="16"/>
    </row>
    <row r="309" spans="3:5" x14ac:dyDescent="0.25">
      <c r="C309" s="18"/>
      <c r="D309" s="28"/>
      <c r="E309" s="16"/>
    </row>
    <row r="310" spans="3:5" x14ac:dyDescent="0.25">
      <c r="C310" s="18"/>
      <c r="D310" s="28"/>
      <c r="E310" s="16"/>
    </row>
    <row r="311" spans="3:5" x14ac:dyDescent="0.25">
      <c r="C311" s="18"/>
      <c r="D311" s="28"/>
      <c r="E311" s="16"/>
    </row>
    <row r="312" spans="3:5" x14ac:dyDescent="0.25">
      <c r="C312" s="18"/>
      <c r="D312" s="28"/>
      <c r="E312" s="16"/>
    </row>
    <row r="313" spans="3:5" x14ac:dyDescent="0.25">
      <c r="C313" s="18"/>
      <c r="D313" s="28"/>
      <c r="E313" s="16"/>
    </row>
    <row r="314" spans="3:5" x14ac:dyDescent="0.25">
      <c r="C314" s="18"/>
      <c r="D314" s="28"/>
      <c r="E314" s="16"/>
    </row>
    <row r="315" spans="3:5" x14ac:dyDescent="0.25">
      <c r="C315" s="18"/>
      <c r="D315" s="28"/>
      <c r="E315" s="16"/>
    </row>
    <row r="316" spans="3:5" x14ac:dyDescent="0.25">
      <c r="C316" s="18"/>
      <c r="D316" s="28"/>
      <c r="E316" s="16"/>
    </row>
    <row r="317" spans="3:5" x14ac:dyDescent="0.25">
      <c r="C317" s="18"/>
      <c r="D317" s="28"/>
      <c r="E317" s="16"/>
    </row>
    <row r="318" spans="3:5" x14ac:dyDescent="0.25">
      <c r="C318" s="18"/>
      <c r="D318" s="28"/>
      <c r="E318" s="16"/>
    </row>
    <row r="319" spans="3:5" x14ac:dyDescent="0.25">
      <c r="C319" s="18"/>
      <c r="D319" s="28"/>
      <c r="E319" s="16"/>
    </row>
    <row r="320" spans="3:5" x14ac:dyDescent="0.25">
      <c r="C320" s="18"/>
      <c r="D320" s="28"/>
      <c r="E320" s="16"/>
    </row>
    <row r="321" spans="3:5" x14ac:dyDescent="0.25">
      <c r="C321" s="18"/>
      <c r="D321" s="28"/>
      <c r="E321" s="16"/>
    </row>
    <row r="322" spans="3:5" x14ac:dyDescent="0.25">
      <c r="C322" s="18"/>
      <c r="D322" s="28"/>
      <c r="E322" s="16"/>
    </row>
    <row r="323" spans="3:5" x14ac:dyDescent="0.25">
      <c r="C323" s="18"/>
      <c r="D323" s="28"/>
      <c r="E323" s="16"/>
    </row>
    <row r="324" spans="3:5" x14ac:dyDescent="0.25">
      <c r="C324" s="18"/>
      <c r="D324" s="28"/>
      <c r="E324" s="16"/>
    </row>
    <row r="325" spans="3:5" x14ac:dyDescent="0.25">
      <c r="C325" s="18"/>
      <c r="D325" s="28"/>
      <c r="E325" s="16"/>
    </row>
    <row r="326" spans="3:5" x14ac:dyDescent="0.25">
      <c r="C326" s="18"/>
      <c r="D326" s="28"/>
      <c r="E326" s="16"/>
    </row>
    <row r="327" spans="3:5" x14ac:dyDescent="0.25">
      <c r="C327" s="18"/>
      <c r="D327" s="28"/>
      <c r="E327" s="16"/>
    </row>
    <row r="328" spans="3:5" x14ac:dyDescent="0.25">
      <c r="C328" s="18"/>
      <c r="D328" s="28"/>
      <c r="E328" s="16"/>
    </row>
    <row r="329" spans="3:5" x14ac:dyDescent="0.25">
      <c r="C329" s="18"/>
      <c r="D329" s="28"/>
      <c r="E329" s="16"/>
    </row>
    <row r="330" spans="3:5" x14ac:dyDescent="0.25">
      <c r="C330" s="18"/>
      <c r="D330" s="28"/>
      <c r="E330" s="16"/>
    </row>
    <row r="331" spans="3:5" x14ac:dyDescent="0.25">
      <c r="C331" s="18"/>
      <c r="D331" s="28"/>
      <c r="E331" s="16"/>
    </row>
    <row r="332" spans="3:5" x14ac:dyDescent="0.25">
      <c r="C332" s="18"/>
      <c r="D332" s="28"/>
      <c r="E332" s="16"/>
    </row>
    <row r="333" spans="3:5" x14ac:dyDescent="0.25">
      <c r="C333" s="18"/>
      <c r="D333" s="28"/>
      <c r="E333" s="16"/>
    </row>
    <row r="334" spans="3:5" x14ac:dyDescent="0.25">
      <c r="C334" s="18"/>
      <c r="D334" s="28"/>
      <c r="E334" s="16"/>
    </row>
    <row r="335" spans="3:5" x14ac:dyDescent="0.25">
      <c r="C335" s="18"/>
      <c r="D335" s="28"/>
      <c r="E335" s="16"/>
    </row>
    <row r="336" spans="3:5" x14ac:dyDescent="0.25">
      <c r="C336" s="18"/>
      <c r="D336" s="28"/>
      <c r="E336" s="16"/>
    </row>
    <row r="337" spans="3:5" x14ac:dyDescent="0.25">
      <c r="C337" s="18"/>
      <c r="D337" s="28"/>
      <c r="E337" s="16"/>
    </row>
    <row r="338" spans="3:5" x14ac:dyDescent="0.25">
      <c r="C338" s="18"/>
      <c r="D338" s="28"/>
      <c r="E338" s="16"/>
    </row>
    <row r="339" spans="3:5" x14ac:dyDescent="0.25">
      <c r="C339" s="18"/>
      <c r="D339" s="28"/>
      <c r="E339" s="16"/>
    </row>
    <row r="340" spans="3:5" x14ac:dyDescent="0.25">
      <c r="C340" s="18"/>
      <c r="D340" s="28"/>
      <c r="E340" s="16"/>
    </row>
    <row r="341" spans="3:5" x14ac:dyDescent="0.25">
      <c r="C341" s="18"/>
      <c r="D341" s="28"/>
      <c r="E341" s="16"/>
    </row>
    <row r="342" spans="3:5" x14ac:dyDescent="0.25">
      <c r="C342" s="18"/>
      <c r="D342" s="28"/>
      <c r="E342" s="16"/>
    </row>
    <row r="343" spans="3:5" x14ac:dyDescent="0.25">
      <c r="C343" s="18"/>
      <c r="D343" s="28"/>
      <c r="E343" s="16"/>
    </row>
    <row r="344" spans="3:5" x14ac:dyDescent="0.25">
      <c r="C344" s="18"/>
      <c r="D344" s="28"/>
      <c r="E344" s="16"/>
    </row>
    <row r="345" spans="3:5" x14ac:dyDescent="0.25">
      <c r="C345" s="18"/>
      <c r="D345" s="28"/>
      <c r="E345" s="16"/>
    </row>
    <row r="346" spans="3:5" x14ac:dyDescent="0.25">
      <c r="C346" s="18"/>
      <c r="D346" s="28"/>
      <c r="E346" s="16"/>
    </row>
    <row r="347" spans="3:5" x14ac:dyDescent="0.25">
      <c r="C347" s="18"/>
      <c r="D347" s="28"/>
      <c r="E347" s="16"/>
    </row>
    <row r="348" spans="3:5" x14ac:dyDescent="0.25">
      <c r="C348" s="18"/>
      <c r="D348" s="28"/>
      <c r="E348" s="16"/>
    </row>
    <row r="349" spans="3:5" x14ac:dyDescent="0.25">
      <c r="C349" s="18"/>
      <c r="D349" s="28"/>
      <c r="E349" s="16"/>
    </row>
    <row r="350" spans="3:5" x14ac:dyDescent="0.25">
      <c r="C350" s="18"/>
      <c r="D350" s="28"/>
      <c r="E350" s="16"/>
    </row>
    <row r="351" spans="3:5" x14ac:dyDescent="0.25">
      <c r="C351" s="18"/>
      <c r="D351" s="28"/>
      <c r="E351" s="16"/>
    </row>
    <row r="352" spans="3:5" x14ac:dyDescent="0.25">
      <c r="C352" s="18"/>
      <c r="D352" s="28"/>
      <c r="E352" s="16"/>
    </row>
    <row r="353" spans="3:5" x14ac:dyDescent="0.25">
      <c r="C353" s="18"/>
      <c r="D353" s="28"/>
      <c r="E353" s="16"/>
    </row>
    <row r="354" spans="3:5" x14ac:dyDescent="0.25">
      <c r="C354" s="18"/>
      <c r="D354" s="28"/>
      <c r="E354" s="16"/>
    </row>
    <row r="355" spans="3:5" x14ac:dyDescent="0.25">
      <c r="C355" s="18"/>
      <c r="D355" s="28"/>
      <c r="E355" s="16"/>
    </row>
    <row r="356" spans="3:5" x14ac:dyDescent="0.25">
      <c r="C356" s="18"/>
      <c r="D356" s="28"/>
      <c r="E356" s="16"/>
    </row>
    <row r="357" spans="3:5" x14ac:dyDescent="0.25">
      <c r="C357" s="18"/>
      <c r="D357" s="28"/>
      <c r="E357" s="16"/>
    </row>
    <row r="358" spans="3:5" x14ac:dyDescent="0.25">
      <c r="C358" s="18"/>
      <c r="D358" s="28"/>
      <c r="E358" s="16"/>
    </row>
    <row r="359" spans="3:5" x14ac:dyDescent="0.25">
      <c r="C359" s="18"/>
      <c r="D359" s="28"/>
      <c r="E359" s="16"/>
    </row>
    <row r="360" spans="3:5" x14ac:dyDescent="0.25">
      <c r="C360" s="18"/>
      <c r="D360" s="28"/>
      <c r="E360" s="16"/>
    </row>
    <row r="361" spans="3:5" x14ac:dyDescent="0.25">
      <c r="C361" s="18"/>
      <c r="D361" s="28"/>
      <c r="E361" s="16"/>
    </row>
    <row r="362" spans="3:5" x14ac:dyDescent="0.25">
      <c r="C362" s="18"/>
      <c r="D362" s="28"/>
      <c r="E362" s="16"/>
    </row>
    <row r="363" spans="3:5" x14ac:dyDescent="0.25">
      <c r="C363" s="18"/>
      <c r="D363" s="28"/>
      <c r="E363" s="16"/>
    </row>
    <row r="364" spans="3:5" x14ac:dyDescent="0.25">
      <c r="C364" s="18"/>
      <c r="D364" s="28"/>
      <c r="E364" s="16"/>
    </row>
    <row r="365" spans="3:5" x14ac:dyDescent="0.25">
      <c r="C365" s="18"/>
      <c r="D365" s="28"/>
      <c r="E365" s="16"/>
    </row>
    <row r="366" spans="3:5" x14ac:dyDescent="0.25">
      <c r="C366" s="18"/>
      <c r="D366" s="28"/>
      <c r="E366" s="16"/>
    </row>
    <row r="367" spans="3:5" x14ac:dyDescent="0.25">
      <c r="C367" s="18"/>
      <c r="D367" s="28"/>
      <c r="E367" s="16"/>
    </row>
    <row r="368" spans="3:5" x14ac:dyDescent="0.25">
      <c r="C368" s="18"/>
      <c r="D368" s="28"/>
      <c r="E368" s="16"/>
    </row>
    <row r="369" spans="3:5" x14ac:dyDescent="0.25">
      <c r="C369" s="18"/>
      <c r="D369" s="28"/>
      <c r="E369" s="16"/>
    </row>
    <row r="370" spans="3:5" x14ac:dyDescent="0.25">
      <c r="C370" s="18"/>
      <c r="D370" s="28"/>
      <c r="E370" s="16"/>
    </row>
    <row r="371" spans="3:5" x14ac:dyDescent="0.25">
      <c r="C371" s="18"/>
      <c r="D371" s="28"/>
      <c r="E371" s="16"/>
    </row>
    <row r="372" spans="3:5" x14ac:dyDescent="0.25">
      <c r="C372" s="18"/>
      <c r="D372" s="28"/>
      <c r="E372" s="16"/>
    </row>
    <row r="373" spans="3:5" x14ac:dyDescent="0.25">
      <c r="C373" s="18"/>
      <c r="D373" s="28"/>
      <c r="E373" s="16"/>
    </row>
    <row r="374" spans="3:5" x14ac:dyDescent="0.25">
      <c r="C374" s="18"/>
      <c r="D374" s="28"/>
      <c r="E374" s="16"/>
    </row>
    <row r="375" spans="3:5" x14ac:dyDescent="0.25">
      <c r="C375" s="18"/>
      <c r="D375" s="28"/>
      <c r="E375" s="16"/>
    </row>
    <row r="376" spans="3:5" x14ac:dyDescent="0.25">
      <c r="C376" s="18"/>
      <c r="D376" s="28"/>
      <c r="E376" s="16"/>
    </row>
    <row r="377" spans="3:5" x14ac:dyDescent="0.25">
      <c r="C377" s="18"/>
      <c r="D377" s="28"/>
      <c r="E377" s="16"/>
    </row>
    <row r="378" spans="3:5" x14ac:dyDescent="0.25">
      <c r="C378" s="18"/>
      <c r="D378" s="28"/>
      <c r="E378" s="16"/>
    </row>
    <row r="379" spans="3:5" x14ac:dyDescent="0.25">
      <c r="C379" s="18"/>
      <c r="D379" s="28"/>
      <c r="E379" s="16"/>
    </row>
    <row r="380" spans="3:5" x14ac:dyDescent="0.25">
      <c r="C380" s="18"/>
      <c r="D380" s="28"/>
      <c r="E380" s="16"/>
    </row>
    <row r="381" spans="3:5" x14ac:dyDescent="0.25">
      <c r="C381" s="18"/>
      <c r="D381" s="28"/>
      <c r="E381" s="16"/>
    </row>
    <row r="382" spans="3:5" x14ac:dyDescent="0.25">
      <c r="C382" s="18"/>
      <c r="D382" s="28"/>
      <c r="E382" s="16"/>
    </row>
    <row r="383" spans="3:5" x14ac:dyDescent="0.25">
      <c r="C383" s="18"/>
      <c r="D383" s="28"/>
      <c r="E383" s="16"/>
    </row>
    <row r="384" spans="3:5" x14ac:dyDescent="0.25">
      <c r="C384" s="18"/>
      <c r="D384" s="28"/>
      <c r="E384" s="16"/>
    </row>
    <row r="385" spans="3:5" x14ac:dyDescent="0.25">
      <c r="C385" s="18"/>
      <c r="D385" s="28"/>
      <c r="E385" s="16"/>
    </row>
    <row r="386" spans="3:5" x14ac:dyDescent="0.25">
      <c r="C386" s="18"/>
      <c r="D386" s="28"/>
      <c r="E386" s="16"/>
    </row>
    <row r="387" spans="3:5" x14ac:dyDescent="0.25">
      <c r="C387" s="18"/>
      <c r="D387" s="28"/>
      <c r="E387" s="16"/>
    </row>
    <row r="388" spans="3:5" x14ac:dyDescent="0.25">
      <c r="C388" s="18"/>
      <c r="D388" s="28"/>
      <c r="E388" s="16"/>
    </row>
    <row r="389" spans="3:5" x14ac:dyDescent="0.25">
      <c r="C389" s="18"/>
      <c r="D389" s="28"/>
      <c r="E389" s="16"/>
    </row>
    <row r="390" spans="3:5" x14ac:dyDescent="0.25">
      <c r="C390" s="18"/>
      <c r="D390" s="28"/>
      <c r="E390" s="16"/>
    </row>
    <row r="391" spans="3:5" x14ac:dyDescent="0.25">
      <c r="C391" s="18"/>
      <c r="D391" s="28"/>
      <c r="E391" s="16"/>
    </row>
    <row r="392" spans="3:5" x14ac:dyDescent="0.25">
      <c r="C392" s="18"/>
      <c r="D392" s="28"/>
      <c r="E392" s="16"/>
    </row>
    <row r="393" spans="3:5" x14ac:dyDescent="0.25">
      <c r="C393" s="18"/>
      <c r="D393" s="28"/>
      <c r="E393" s="16"/>
    </row>
    <row r="394" spans="3:5" x14ac:dyDescent="0.25">
      <c r="C394" s="18"/>
      <c r="D394" s="28"/>
      <c r="E394" s="16"/>
    </row>
    <row r="395" spans="3:5" x14ac:dyDescent="0.25">
      <c r="C395" s="18"/>
      <c r="D395" s="28"/>
      <c r="E395" s="16"/>
    </row>
    <row r="396" spans="3:5" x14ac:dyDescent="0.25">
      <c r="C396" s="18"/>
      <c r="D396" s="28"/>
      <c r="E396" s="16"/>
    </row>
    <row r="397" spans="3:5" x14ac:dyDescent="0.25">
      <c r="C397" s="18"/>
      <c r="D397" s="28"/>
      <c r="E397" s="16"/>
    </row>
    <row r="398" spans="3:5" x14ac:dyDescent="0.25">
      <c r="C398" s="18"/>
      <c r="D398" s="28"/>
      <c r="E398" s="16"/>
    </row>
    <row r="399" spans="3:5" x14ac:dyDescent="0.25">
      <c r="C399" s="18"/>
      <c r="D399" s="28"/>
      <c r="E399" s="16"/>
    </row>
    <row r="400" spans="3:5" x14ac:dyDescent="0.25">
      <c r="C400" s="18"/>
      <c r="D400" s="28"/>
      <c r="E400" s="16"/>
    </row>
    <row r="401" spans="3:5" x14ac:dyDescent="0.25">
      <c r="C401" s="18"/>
      <c r="D401" s="28"/>
      <c r="E401" s="16"/>
    </row>
    <row r="402" spans="3:5" x14ac:dyDescent="0.25">
      <c r="C402" s="18"/>
      <c r="D402" s="28"/>
      <c r="E402" s="16"/>
    </row>
    <row r="403" spans="3:5" x14ac:dyDescent="0.25">
      <c r="C403" s="18"/>
      <c r="D403" s="28"/>
      <c r="E403" s="16"/>
    </row>
    <row r="404" spans="3:5" x14ac:dyDescent="0.25">
      <c r="C404" s="18"/>
      <c r="D404" s="28"/>
      <c r="E404" s="16"/>
    </row>
    <row r="405" spans="3:5" x14ac:dyDescent="0.25">
      <c r="C405" s="18"/>
      <c r="D405" s="28"/>
      <c r="E405" s="16"/>
    </row>
    <row r="406" spans="3:5" x14ac:dyDescent="0.25">
      <c r="C406" s="18"/>
      <c r="D406" s="28"/>
      <c r="E406" s="16"/>
    </row>
    <row r="407" spans="3:5" x14ac:dyDescent="0.25">
      <c r="C407" s="18"/>
      <c r="D407" s="28"/>
      <c r="E407" s="16"/>
    </row>
    <row r="408" spans="3:5" x14ac:dyDescent="0.25">
      <c r="C408" s="18"/>
      <c r="D408" s="28"/>
      <c r="E408" s="16"/>
    </row>
    <row r="409" spans="3:5" x14ac:dyDescent="0.25">
      <c r="C409" s="18"/>
      <c r="D409" s="28"/>
      <c r="E409" s="16"/>
    </row>
    <row r="410" spans="3:5" x14ac:dyDescent="0.25">
      <c r="C410" s="18"/>
      <c r="D410" s="28"/>
      <c r="E410" s="16"/>
    </row>
    <row r="411" spans="3:5" x14ac:dyDescent="0.25">
      <c r="C411" s="18"/>
      <c r="D411" s="28"/>
      <c r="E411" s="16"/>
    </row>
    <row r="412" spans="3:5" x14ac:dyDescent="0.25">
      <c r="C412" s="18"/>
      <c r="D412" s="28"/>
      <c r="E412" s="16"/>
    </row>
    <row r="413" spans="3:5" x14ac:dyDescent="0.25">
      <c r="C413" s="18"/>
      <c r="D413" s="28"/>
      <c r="E413" s="16"/>
    </row>
    <row r="414" spans="3:5" x14ac:dyDescent="0.25">
      <c r="C414" s="18"/>
      <c r="D414" s="28"/>
      <c r="E414" s="16"/>
    </row>
    <row r="415" spans="3:5" x14ac:dyDescent="0.25">
      <c r="C415" s="18"/>
      <c r="D415" s="28"/>
      <c r="E415" s="16"/>
    </row>
    <row r="416" spans="3:5" x14ac:dyDescent="0.25">
      <c r="C416" s="18"/>
      <c r="D416" s="28"/>
      <c r="E416" s="16"/>
    </row>
    <row r="417" spans="3:5" x14ac:dyDescent="0.25">
      <c r="C417" s="18"/>
      <c r="D417" s="28"/>
      <c r="E417" s="16"/>
    </row>
    <row r="418" spans="3:5" x14ac:dyDescent="0.25">
      <c r="C418" s="18"/>
      <c r="D418" s="28"/>
      <c r="E418" s="16"/>
    </row>
    <row r="419" spans="3:5" x14ac:dyDescent="0.25">
      <c r="C419" s="18"/>
      <c r="D419" s="28"/>
      <c r="E419" s="16"/>
    </row>
    <row r="420" spans="3:5" x14ac:dyDescent="0.25">
      <c r="C420" s="18"/>
      <c r="D420" s="28"/>
      <c r="E420" s="16"/>
    </row>
    <row r="421" spans="3:5" x14ac:dyDescent="0.25">
      <c r="C421" s="18"/>
      <c r="D421" s="28"/>
      <c r="E421" s="16"/>
    </row>
    <row r="422" spans="3:5" x14ac:dyDescent="0.25">
      <c r="C422" s="18"/>
      <c r="D422" s="28"/>
      <c r="E422" s="16"/>
    </row>
    <row r="423" spans="3:5" x14ac:dyDescent="0.25">
      <c r="C423" s="18"/>
      <c r="D423" s="28"/>
      <c r="E423" s="16"/>
    </row>
    <row r="424" spans="3:5" x14ac:dyDescent="0.25">
      <c r="C424" s="18"/>
      <c r="D424" s="28"/>
      <c r="E424" s="16"/>
    </row>
    <row r="425" spans="3:5" x14ac:dyDescent="0.25">
      <c r="C425" s="18"/>
      <c r="D425" s="28"/>
      <c r="E425" s="16"/>
    </row>
    <row r="426" spans="3:5" x14ac:dyDescent="0.25">
      <c r="C426" s="18"/>
      <c r="D426" s="28"/>
      <c r="E426" s="16"/>
    </row>
    <row r="427" spans="3:5" x14ac:dyDescent="0.25">
      <c r="C427" s="18"/>
      <c r="D427" s="28"/>
      <c r="E427" s="16"/>
    </row>
    <row r="428" spans="3:5" x14ac:dyDescent="0.25">
      <c r="C428" s="18"/>
      <c r="D428" s="28"/>
      <c r="E428" s="16"/>
    </row>
    <row r="429" spans="3:5" x14ac:dyDescent="0.25">
      <c r="C429" s="18"/>
      <c r="D429" s="28"/>
      <c r="E429" s="16"/>
    </row>
    <row r="430" spans="3:5" x14ac:dyDescent="0.25">
      <c r="C430" s="18"/>
      <c r="D430" s="28"/>
      <c r="E430" s="16"/>
    </row>
    <row r="431" spans="3:5" x14ac:dyDescent="0.25">
      <c r="C431" s="18"/>
      <c r="D431" s="28"/>
      <c r="E431" s="16"/>
    </row>
    <row r="432" spans="3:5" x14ac:dyDescent="0.25">
      <c r="C432" s="18"/>
      <c r="D432" s="28"/>
      <c r="E432" s="16"/>
    </row>
    <row r="433" spans="3:5" x14ac:dyDescent="0.25">
      <c r="C433" s="18"/>
      <c r="D433" s="28"/>
      <c r="E433" s="16"/>
    </row>
    <row r="434" spans="3:5" x14ac:dyDescent="0.25">
      <c r="C434" s="18"/>
      <c r="D434" s="28"/>
      <c r="E434" s="16"/>
    </row>
    <row r="435" spans="3:5" x14ac:dyDescent="0.25">
      <c r="C435" s="18"/>
      <c r="D435" s="28"/>
      <c r="E435" s="16"/>
    </row>
    <row r="436" spans="3:5" x14ac:dyDescent="0.25">
      <c r="C436" s="18"/>
      <c r="D436" s="28"/>
      <c r="E436" s="16"/>
    </row>
    <row r="437" spans="3:5" x14ac:dyDescent="0.25">
      <c r="C437" s="18"/>
      <c r="D437" s="28"/>
      <c r="E437" s="16"/>
    </row>
    <row r="438" spans="3:5" x14ac:dyDescent="0.25">
      <c r="C438" s="18"/>
      <c r="D438" s="28"/>
      <c r="E438" s="16"/>
    </row>
    <row r="439" spans="3:5" x14ac:dyDescent="0.25">
      <c r="C439" s="18"/>
      <c r="D439" s="28"/>
      <c r="E439" s="16"/>
    </row>
    <row r="440" spans="3:5" x14ac:dyDescent="0.25">
      <c r="C440" s="18"/>
      <c r="D440" s="28"/>
      <c r="E440" s="16"/>
    </row>
    <row r="441" spans="3:5" x14ac:dyDescent="0.25">
      <c r="C441" s="18"/>
      <c r="D441" s="28"/>
      <c r="E441" s="16"/>
    </row>
    <row r="442" spans="3:5" x14ac:dyDescent="0.25">
      <c r="C442" s="18"/>
      <c r="D442" s="28"/>
      <c r="E442" s="16"/>
    </row>
    <row r="443" spans="3:5" x14ac:dyDescent="0.25">
      <c r="C443" s="18"/>
      <c r="D443" s="28"/>
      <c r="E443" s="16"/>
    </row>
    <row r="444" spans="3:5" x14ac:dyDescent="0.25">
      <c r="C444" s="18"/>
      <c r="D444" s="28"/>
      <c r="E444" s="16"/>
    </row>
    <row r="445" spans="3:5" x14ac:dyDescent="0.25">
      <c r="C445" s="18"/>
      <c r="D445" s="28"/>
      <c r="E445" s="16"/>
    </row>
    <row r="446" spans="3:5" x14ac:dyDescent="0.25">
      <c r="C446" s="18"/>
      <c r="D446" s="28"/>
      <c r="E446" s="16"/>
    </row>
    <row r="447" spans="3:5" x14ac:dyDescent="0.25">
      <c r="C447" s="18"/>
      <c r="D447" s="28"/>
      <c r="E447" s="16"/>
    </row>
    <row r="448" spans="3:5" x14ac:dyDescent="0.25">
      <c r="C448" s="18"/>
      <c r="D448" s="28"/>
      <c r="E448" s="16"/>
    </row>
    <row r="449" spans="3:5" x14ac:dyDescent="0.25">
      <c r="C449" s="18"/>
      <c r="D449" s="28"/>
      <c r="E449" s="16"/>
    </row>
    <row r="450" spans="3:5" x14ac:dyDescent="0.25">
      <c r="C450" s="18"/>
      <c r="D450" s="28"/>
      <c r="E450" s="16"/>
    </row>
    <row r="451" spans="3:5" x14ac:dyDescent="0.25">
      <c r="C451" s="18"/>
      <c r="D451" s="28"/>
      <c r="E451" s="16"/>
    </row>
    <row r="452" spans="3:5" x14ac:dyDescent="0.25">
      <c r="C452" s="18"/>
      <c r="D452" s="28"/>
      <c r="E452" s="16"/>
    </row>
    <row r="453" spans="3:5" x14ac:dyDescent="0.25">
      <c r="C453" s="18"/>
      <c r="D453" s="28"/>
      <c r="E453" s="16"/>
    </row>
    <row r="454" spans="3:5" x14ac:dyDescent="0.25">
      <c r="C454" s="18"/>
      <c r="D454" s="28"/>
      <c r="E454" s="16"/>
    </row>
    <row r="455" spans="3:5" x14ac:dyDescent="0.25">
      <c r="C455" s="18"/>
      <c r="D455" s="28"/>
      <c r="E455" s="16"/>
    </row>
    <row r="456" spans="3:5" x14ac:dyDescent="0.25">
      <c r="C456" s="18"/>
      <c r="D456" s="28"/>
      <c r="E456" s="16"/>
    </row>
    <row r="457" spans="3:5" x14ac:dyDescent="0.25">
      <c r="C457" s="18"/>
      <c r="D457" s="28"/>
      <c r="E457" s="16"/>
    </row>
    <row r="458" spans="3:5" x14ac:dyDescent="0.25">
      <c r="C458" s="18"/>
      <c r="D458" s="28"/>
      <c r="E458" s="16"/>
    </row>
    <row r="459" spans="3:5" x14ac:dyDescent="0.25">
      <c r="C459" s="18"/>
      <c r="D459" s="28"/>
      <c r="E459" s="16"/>
    </row>
    <row r="460" spans="3:5" x14ac:dyDescent="0.25">
      <c r="C460" s="18"/>
      <c r="D460" s="28"/>
      <c r="E460" s="16"/>
    </row>
    <row r="461" spans="3:5" x14ac:dyDescent="0.25">
      <c r="C461" s="18"/>
      <c r="D461" s="28"/>
      <c r="E461" s="16"/>
    </row>
    <row r="462" spans="3:5" x14ac:dyDescent="0.25">
      <c r="C462" s="18"/>
      <c r="D462" s="28"/>
      <c r="E462" s="16"/>
    </row>
    <row r="463" spans="3:5" x14ac:dyDescent="0.25">
      <c r="C463" s="18"/>
      <c r="D463" s="28"/>
      <c r="E463" s="16"/>
    </row>
    <row r="464" spans="3:5" x14ac:dyDescent="0.25">
      <c r="C464" s="18"/>
      <c r="D464" s="28"/>
      <c r="E464" s="16"/>
    </row>
    <row r="465" spans="3:5" x14ac:dyDescent="0.25">
      <c r="C465" s="18"/>
      <c r="D465" s="28"/>
      <c r="E465" s="16"/>
    </row>
    <row r="466" spans="3:5" x14ac:dyDescent="0.25">
      <c r="C466" s="18"/>
      <c r="D466" s="28"/>
      <c r="E466" s="16"/>
    </row>
    <row r="467" spans="3:5" x14ac:dyDescent="0.25">
      <c r="C467" s="18"/>
      <c r="D467" s="28"/>
      <c r="E467" s="16"/>
    </row>
    <row r="468" spans="3:5" x14ac:dyDescent="0.25">
      <c r="C468" s="18"/>
      <c r="D468" s="28"/>
      <c r="E468" s="16"/>
    </row>
    <row r="469" spans="3:5" x14ac:dyDescent="0.25">
      <c r="C469" s="18"/>
      <c r="D469" s="28"/>
      <c r="E469" s="16"/>
    </row>
    <row r="470" spans="3:5" x14ac:dyDescent="0.25">
      <c r="C470" s="18"/>
      <c r="D470" s="28"/>
      <c r="E470" s="16"/>
    </row>
    <row r="471" spans="3:5" x14ac:dyDescent="0.25">
      <c r="C471" s="18"/>
      <c r="D471" s="28"/>
      <c r="E471" s="16"/>
    </row>
    <row r="472" spans="3:5" x14ac:dyDescent="0.25">
      <c r="C472" s="18"/>
      <c r="D472" s="28"/>
      <c r="E472" s="16"/>
    </row>
    <row r="473" spans="3:5" x14ac:dyDescent="0.25">
      <c r="C473" s="18"/>
      <c r="D473" s="28"/>
      <c r="E473" s="16"/>
    </row>
    <row r="474" spans="3:5" x14ac:dyDescent="0.25">
      <c r="C474" s="18"/>
      <c r="D474" s="28"/>
      <c r="E474" s="16"/>
    </row>
    <row r="475" spans="3:5" x14ac:dyDescent="0.25">
      <c r="C475" s="18"/>
      <c r="D475" s="28"/>
      <c r="E475" s="16"/>
    </row>
    <row r="476" spans="3:5" x14ac:dyDescent="0.25">
      <c r="C476" s="18"/>
      <c r="D476" s="28"/>
      <c r="E476" s="16"/>
    </row>
    <row r="477" spans="3:5" x14ac:dyDescent="0.25">
      <c r="C477" s="18"/>
      <c r="D477" s="28"/>
      <c r="E477" s="16"/>
    </row>
    <row r="478" spans="3:5" x14ac:dyDescent="0.25">
      <c r="C478" s="18"/>
      <c r="D478" s="28"/>
      <c r="E478" s="16"/>
    </row>
    <row r="479" spans="3:5" x14ac:dyDescent="0.25">
      <c r="C479" s="18"/>
      <c r="D479" s="28"/>
      <c r="E479" s="16"/>
    </row>
    <row r="480" spans="3:5" x14ac:dyDescent="0.25">
      <c r="C480" s="18"/>
      <c r="D480" s="28"/>
      <c r="E480" s="16"/>
    </row>
    <row r="481" spans="3:5" x14ac:dyDescent="0.25">
      <c r="C481" s="18"/>
      <c r="D481" s="28"/>
      <c r="E481" s="16"/>
    </row>
    <row r="482" spans="3:5" x14ac:dyDescent="0.25">
      <c r="C482" s="18"/>
      <c r="D482" s="28"/>
      <c r="E482" s="16"/>
    </row>
    <row r="483" spans="3:5" x14ac:dyDescent="0.25">
      <c r="C483" s="18"/>
      <c r="D483" s="28"/>
      <c r="E483" s="16"/>
    </row>
    <row r="484" spans="3:5" x14ac:dyDescent="0.25">
      <c r="C484" s="18"/>
      <c r="D484" s="28"/>
      <c r="E484" s="16"/>
    </row>
    <row r="485" spans="3:5" x14ac:dyDescent="0.25">
      <c r="C485" s="18"/>
      <c r="D485" s="28"/>
      <c r="E485" s="16"/>
    </row>
    <row r="486" spans="3:5" x14ac:dyDescent="0.25">
      <c r="C486" s="18"/>
      <c r="D486" s="28"/>
      <c r="E486" s="16"/>
    </row>
    <row r="487" spans="3:5" x14ac:dyDescent="0.25">
      <c r="C487" s="18"/>
      <c r="D487" s="28"/>
      <c r="E487" s="16"/>
    </row>
    <row r="488" spans="3:5" x14ac:dyDescent="0.25">
      <c r="C488" s="18"/>
      <c r="D488" s="28"/>
      <c r="E488" s="16"/>
    </row>
    <row r="489" spans="3:5" x14ac:dyDescent="0.25">
      <c r="C489" s="18"/>
      <c r="D489" s="28"/>
      <c r="E489" s="16"/>
    </row>
    <row r="490" spans="3:5" x14ac:dyDescent="0.25">
      <c r="C490" s="18"/>
      <c r="D490" s="28"/>
      <c r="E490" s="16"/>
    </row>
    <row r="491" spans="3:5" x14ac:dyDescent="0.25">
      <c r="C491" s="18"/>
      <c r="D491" s="28"/>
      <c r="E491" s="16"/>
    </row>
    <row r="492" spans="3:5" x14ac:dyDescent="0.25">
      <c r="C492" s="18"/>
      <c r="D492" s="28"/>
      <c r="E492" s="16"/>
    </row>
    <row r="493" spans="3:5" x14ac:dyDescent="0.25">
      <c r="C493" s="18"/>
      <c r="D493" s="28"/>
      <c r="E493" s="16"/>
    </row>
    <row r="494" spans="3:5" x14ac:dyDescent="0.25">
      <c r="C494" s="18"/>
      <c r="D494" s="28"/>
      <c r="E494" s="16"/>
    </row>
    <row r="495" spans="3:5" x14ac:dyDescent="0.25">
      <c r="C495" s="18"/>
      <c r="D495" s="28"/>
      <c r="E495" s="16"/>
    </row>
    <row r="496" spans="3:5" x14ac:dyDescent="0.25">
      <c r="C496" s="18"/>
      <c r="D496" s="28"/>
      <c r="E496" s="16"/>
    </row>
    <row r="497" spans="3:5" x14ac:dyDescent="0.25">
      <c r="C497" s="18"/>
      <c r="D497" s="28"/>
      <c r="E497" s="16"/>
    </row>
    <row r="498" spans="3:5" x14ac:dyDescent="0.25">
      <c r="C498" s="18"/>
      <c r="D498" s="28"/>
      <c r="E498" s="16"/>
    </row>
    <row r="499" spans="3:5" x14ac:dyDescent="0.25">
      <c r="C499" s="18"/>
      <c r="D499" s="28"/>
      <c r="E499" s="16"/>
    </row>
    <row r="500" spans="3:5" x14ac:dyDescent="0.25">
      <c r="C500" s="18"/>
      <c r="D500" s="28"/>
      <c r="E500" s="16"/>
    </row>
    <row r="501" spans="3:5" x14ac:dyDescent="0.25">
      <c r="C501" s="18"/>
      <c r="D501" s="28"/>
      <c r="E501" s="16"/>
    </row>
    <row r="502" spans="3:5" x14ac:dyDescent="0.25">
      <c r="C502" s="18"/>
      <c r="D502" s="28"/>
      <c r="E502" s="16"/>
    </row>
    <row r="503" spans="3:5" x14ac:dyDescent="0.25">
      <c r="C503" s="18"/>
      <c r="D503" s="28"/>
      <c r="E503" s="16"/>
    </row>
    <row r="504" spans="3:5" x14ac:dyDescent="0.25">
      <c r="C504" s="18"/>
      <c r="D504" s="28"/>
      <c r="E504" s="16"/>
    </row>
    <row r="505" spans="3:5" x14ac:dyDescent="0.25">
      <c r="C505" s="18"/>
      <c r="D505" s="28"/>
      <c r="E505" s="16"/>
    </row>
    <row r="506" spans="3:5" x14ac:dyDescent="0.25">
      <c r="C506" s="18"/>
      <c r="D506" s="28"/>
      <c r="E506" s="16"/>
    </row>
    <row r="507" spans="3:5" x14ac:dyDescent="0.25">
      <c r="C507" s="18"/>
      <c r="D507" s="28"/>
      <c r="E507" s="16"/>
    </row>
    <row r="508" spans="3:5" x14ac:dyDescent="0.25">
      <c r="C508" s="18"/>
      <c r="D508" s="28"/>
      <c r="E508" s="16"/>
    </row>
    <row r="509" spans="3:5" x14ac:dyDescent="0.25">
      <c r="C509" s="18"/>
      <c r="D509" s="28"/>
      <c r="E509" s="16"/>
    </row>
    <row r="510" spans="3:5" x14ac:dyDescent="0.25">
      <c r="C510" s="18"/>
      <c r="D510" s="28"/>
      <c r="E510" s="16"/>
    </row>
    <row r="511" spans="3:5" x14ac:dyDescent="0.25">
      <c r="C511" s="18"/>
      <c r="D511" s="28"/>
      <c r="E511" s="16"/>
    </row>
    <row r="512" spans="3:5" x14ac:dyDescent="0.25">
      <c r="C512" s="18"/>
      <c r="D512" s="28"/>
      <c r="E512" s="16"/>
    </row>
    <row r="513" spans="3:5" x14ac:dyDescent="0.25">
      <c r="C513" s="18"/>
      <c r="D513" s="28"/>
      <c r="E513" s="16"/>
    </row>
    <row r="514" spans="3:5" x14ac:dyDescent="0.25">
      <c r="C514" s="18"/>
      <c r="D514" s="28"/>
      <c r="E514" s="16"/>
    </row>
    <row r="515" spans="3:5" x14ac:dyDescent="0.25">
      <c r="C515" s="18"/>
      <c r="D515" s="28"/>
      <c r="E515" s="16"/>
    </row>
    <row r="516" spans="3:5" x14ac:dyDescent="0.25">
      <c r="C516" s="18"/>
      <c r="D516" s="28"/>
      <c r="E516" s="16"/>
    </row>
    <row r="517" spans="3:5" x14ac:dyDescent="0.25">
      <c r="C517" s="18"/>
      <c r="D517" s="28"/>
      <c r="E517" s="16"/>
    </row>
    <row r="518" spans="3:5" x14ac:dyDescent="0.25">
      <c r="C518" s="18"/>
      <c r="D518" s="28"/>
      <c r="E518" s="16"/>
    </row>
    <row r="519" spans="3:5" x14ac:dyDescent="0.25">
      <c r="C519" s="18"/>
      <c r="D519" s="28"/>
      <c r="E519" s="16"/>
    </row>
    <row r="520" spans="3:5" x14ac:dyDescent="0.25">
      <c r="C520" s="18"/>
      <c r="D520" s="28"/>
      <c r="E520" s="16"/>
    </row>
    <row r="521" spans="3:5" x14ac:dyDescent="0.25">
      <c r="C521" s="18"/>
      <c r="D521" s="28"/>
      <c r="E521" s="16"/>
    </row>
    <row r="522" spans="3:5" x14ac:dyDescent="0.25">
      <c r="C522" s="18"/>
      <c r="D522" s="28"/>
      <c r="E522" s="16"/>
    </row>
    <row r="523" spans="3:5" x14ac:dyDescent="0.25">
      <c r="C523" s="18"/>
      <c r="D523" s="28"/>
      <c r="E523" s="16"/>
    </row>
    <row r="524" spans="3:5" x14ac:dyDescent="0.25">
      <c r="C524" s="18"/>
      <c r="D524" s="28"/>
      <c r="E524" s="16"/>
    </row>
    <row r="525" spans="3:5" x14ac:dyDescent="0.25">
      <c r="C525" s="18"/>
      <c r="D525" s="28"/>
      <c r="E525" s="16"/>
    </row>
    <row r="526" spans="3:5" x14ac:dyDescent="0.25">
      <c r="C526" s="18"/>
      <c r="D526" s="28"/>
      <c r="E526" s="16"/>
    </row>
    <row r="527" spans="3:5" x14ac:dyDescent="0.25">
      <c r="C527" s="18"/>
      <c r="D527" s="28"/>
      <c r="E527" s="16"/>
    </row>
    <row r="528" spans="3:5" x14ac:dyDescent="0.25">
      <c r="C528" s="18"/>
      <c r="D528" s="28"/>
      <c r="E528" s="16"/>
    </row>
    <row r="529" spans="3:5" x14ac:dyDescent="0.25">
      <c r="C529" s="18"/>
      <c r="D529" s="28"/>
      <c r="E529" s="16"/>
    </row>
    <row r="530" spans="3:5" x14ac:dyDescent="0.25">
      <c r="C530" s="18"/>
      <c r="D530" s="28"/>
      <c r="E530" s="16"/>
    </row>
    <row r="531" spans="3:5" x14ac:dyDescent="0.25">
      <c r="C531" s="18"/>
      <c r="D531" s="28"/>
      <c r="E531" s="16"/>
    </row>
    <row r="532" spans="3:5" x14ac:dyDescent="0.25">
      <c r="C532" s="18"/>
      <c r="D532" s="28"/>
      <c r="E532" s="16"/>
    </row>
    <row r="533" spans="3:5" x14ac:dyDescent="0.25">
      <c r="C533" s="18"/>
      <c r="D533" s="28"/>
      <c r="E533" s="16"/>
    </row>
    <row r="534" spans="3:5" x14ac:dyDescent="0.25">
      <c r="C534" s="18"/>
      <c r="D534" s="28"/>
      <c r="E534" s="16"/>
    </row>
    <row r="535" spans="3:5" x14ac:dyDescent="0.25">
      <c r="C535" s="18"/>
      <c r="D535" s="28"/>
      <c r="E535" s="16"/>
    </row>
    <row r="536" spans="3:5" x14ac:dyDescent="0.25">
      <c r="C536" s="18"/>
      <c r="D536" s="28"/>
      <c r="E536" s="16"/>
    </row>
    <row r="537" spans="3:5" x14ac:dyDescent="0.25">
      <c r="C537" s="18"/>
      <c r="D537" s="28"/>
      <c r="E537" s="16"/>
    </row>
    <row r="538" spans="3:5" x14ac:dyDescent="0.25">
      <c r="C538" s="18"/>
      <c r="D538" s="28"/>
      <c r="E538" s="16"/>
    </row>
    <row r="539" spans="3:5" x14ac:dyDescent="0.25">
      <c r="C539" s="18"/>
      <c r="D539" s="28"/>
      <c r="E539" s="16"/>
    </row>
    <row r="540" spans="3:5" x14ac:dyDescent="0.25">
      <c r="C540" s="18"/>
      <c r="D540" s="28"/>
      <c r="E540" s="16"/>
    </row>
    <row r="541" spans="3:5" x14ac:dyDescent="0.25">
      <c r="C541" s="18"/>
      <c r="D541" s="28"/>
      <c r="E541" s="16"/>
    </row>
    <row r="542" spans="3:5" x14ac:dyDescent="0.25">
      <c r="C542" s="18"/>
      <c r="D542" s="28"/>
      <c r="E542" s="16"/>
    </row>
    <row r="543" spans="3:5" x14ac:dyDescent="0.25">
      <c r="C543" s="18"/>
      <c r="D543" s="28"/>
      <c r="E543" s="16"/>
    </row>
    <row r="544" spans="3:5" x14ac:dyDescent="0.25">
      <c r="C544" s="18"/>
      <c r="D544" s="28"/>
      <c r="E544" s="16"/>
    </row>
    <row r="545" spans="3:5" x14ac:dyDescent="0.25">
      <c r="C545" s="18"/>
      <c r="D545" s="28"/>
      <c r="E545" s="16"/>
    </row>
    <row r="546" spans="3:5" x14ac:dyDescent="0.25">
      <c r="C546" s="18"/>
      <c r="D546" s="28"/>
      <c r="E546" s="16"/>
    </row>
    <row r="547" spans="3:5" x14ac:dyDescent="0.25">
      <c r="C547" s="18"/>
      <c r="D547" s="28"/>
      <c r="E547" s="16"/>
    </row>
    <row r="548" spans="3:5" x14ac:dyDescent="0.25">
      <c r="C548" s="18"/>
      <c r="D548" s="28"/>
      <c r="E548" s="16"/>
    </row>
    <row r="549" spans="3:5" x14ac:dyDescent="0.25">
      <c r="C549" s="18"/>
      <c r="D549" s="28"/>
      <c r="E549" s="16"/>
    </row>
    <row r="550" spans="3:5" x14ac:dyDescent="0.25">
      <c r="C550" s="18"/>
      <c r="D550" s="28"/>
      <c r="E550" s="16"/>
    </row>
    <row r="551" spans="3:5" x14ac:dyDescent="0.25">
      <c r="C551" s="18"/>
      <c r="D551" s="28"/>
      <c r="E551" s="16"/>
    </row>
    <row r="552" spans="3:5" x14ac:dyDescent="0.25">
      <c r="C552" s="18"/>
      <c r="D552" s="28"/>
      <c r="E552" s="16"/>
    </row>
    <row r="553" spans="3:5" x14ac:dyDescent="0.25">
      <c r="C553" s="18"/>
      <c r="D553" s="28"/>
      <c r="E553" s="16"/>
    </row>
    <row r="554" spans="3:5" x14ac:dyDescent="0.25">
      <c r="C554" s="18"/>
      <c r="D554" s="28"/>
      <c r="E554" s="16"/>
    </row>
    <row r="555" spans="3:5" x14ac:dyDescent="0.25">
      <c r="C555" s="18"/>
      <c r="D555" s="28"/>
      <c r="E555" s="16"/>
    </row>
    <row r="556" spans="3:5" x14ac:dyDescent="0.25">
      <c r="C556" s="18"/>
      <c r="D556" s="28"/>
      <c r="E556" s="16"/>
    </row>
    <row r="557" spans="3:5" x14ac:dyDescent="0.25">
      <c r="C557" s="18"/>
      <c r="D557" s="28"/>
      <c r="E557" s="16"/>
    </row>
    <row r="558" spans="3:5" x14ac:dyDescent="0.25">
      <c r="C558" s="18"/>
      <c r="D558" s="28"/>
      <c r="E558" s="16"/>
    </row>
    <row r="559" spans="3:5" x14ac:dyDescent="0.25">
      <c r="C559" s="18"/>
      <c r="D559" s="28"/>
      <c r="E559" s="16"/>
    </row>
    <row r="560" spans="3:5" x14ac:dyDescent="0.25">
      <c r="C560" s="18"/>
      <c r="D560" s="28"/>
      <c r="E560" s="16"/>
    </row>
    <row r="561" spans="3:5" x14ac:dyDescent="0.25">
      <c r="C561" s="18"/>
      <c r="D561" s="28"/>
      <c r="E561" s="16"/>
    </row>
    <row r="562" spans="3:5" x14ac:dyDescent="0.25">
      <c r="C562" s="18"/>
      <c r="D562" s="28"/>
      <c r="E562" s="16"/>
    </row>
    <row r="563" spans="3:5" x14ac:dyDescent="0.25">
      <c r="C563" s="18"/>
      <c r="D563" s="28"/>
      <c r="E563" s="16"/>
    </row>
    <row r="564" spans="3:5" x14ac:dyDescent="0.25">
      <c r="C564" s="18"/>
      <c r="D564" s="28"/>
      <c r="E564" s="16"/>
    </row>
    <row r="565" spans="3:5" x14ac:dyDescent="0.25">
      <c r="C565" s="18"/>
      <c r="D565" s="28"/>
      <c r="E565" s="16"/>
    </row>
    <row r="566" spans="3:5" x14ac:dyDescent="0.25">
      <c r="C566" s="18"/>
      <c r="D566" s="28"/>
      <c r="E566" s="16"/>
    </row>
    <row r="567" spans="3:5" x14ac:dyDescent="0.25">
      <c r="C567" s="18"/>
      <c r="D567" s="28"/>
      <c r="E567" s="16"/>
    </row>
    <row r="568" spans="3:5" x14ac:dyDescent="0.25">
      <c r="C568" s="18"/>
      <c r="D568" s="28"/>
      <c r="E568" s="16"/>
    </row>
    <row r="569" spans="3:5" x14ac:dyDescent="0.25">
      <c r="C569" s="18"/>
      <c r="D569" s="28"/>
      <c r="E569" s="16"/>
    </row>
    <row r="570" spans="3:5" x14ac:dyDescent="0.25">
      <c r="C570" s="18"/>
      <c r="D570" s="28"/>
      <c r="E570" s="16"/>
    </row>
    <row r="571" spans="3:5" x14ac:dyDescent="0.25">
      <c r="C571" s="18"/>
      <c r="D571" s="28"/>
      <c r="E571" s="16"/>
    </row>
    <row r="572" spans="3:5" x14ac:dyDescent="0.25">
      <c r="C572" s="18"/>
      <c r="D572" s="28"/>
      <c r="E572" s="16"/>
    </row>
    <row r="573" spans="3:5" x14ac:dyDescent="0.25">
      <c r="C573" s="18"/>
      <c r="D573" s="28"/>
      <c r="E573" s="16"/>
    </row>
    <row r="574" spans="3:5" x14ac:dyDescent="0.25">
      <c r="C574" s="18"/>
      <c r="D574" s="28"/>
      <c r="E574" s="16"/>
    </row>
    <row r="575" spans="3:5" x14ac:dyDescent="0.25">
      <c r="C575" s="18"/>
      <c r="D575" s="28"/>
      <c r="E575" s="16"/>
    </row>
    <row r="576" spans="3:5" x14ac:dyDescent="0.25">
      <c r="C576" s="18"/>
      <c r="D576" s="28"/>
      <c r="E576" s="16"/>
    </row>
    <row r="577" spans="3:5" x14ac:dyDescent="0.25">
      <c r="C577" s="18"/>
      <c r="D577" s="28"/>
      <c r="E577" s="16"/>
    </row>
    <row r="578" spans="3:5" x14ac:dyDescent="0.25">
      <c r="C578" s="18"/>
      <c r="D578" s="28"/>
      <c r="E578" s="16"/>
    </row>
    <row r="579" spans="3:5" x14ac:dyDescent="0.25">
      <c r="C579" s="18"/>
      <c r="D579" s="28"/>
      <c r="E579" s="16"/>
    </row>
    <row r="580" spans="3:5" x14ac:dyDescent="0.25">
      <c r="C580" s="18"/>
      <c r="D580" s="28"/>
      <c r="E580" s="16"/>
    </row>
    <row r="581" spans="3:5" x14ac:dyDescent="0.25">
      <c r="C581" s="18"/>
      <c r="D581" s="28"/>
      <c r="E581" s="16"/>
    </row>
    <row r="582" spans="3:5" x14ac:dyDescent="0.25">
      <c r="C582" s="18"/>
      <c r="D582" s="28"/>
      <c r="E582" s="16"/>
    </row>
    <row r="583" spans="3:5" x14ac:dyDescent="0.25">
      <c r="C583" s="18"/>
      <c r="D583" s="28"/>
      <c r="E583" s="16"/>
    </row>
    <row r="584" spans="3:5" x14ac:dyDescent="0.25">
      <c r="C584" s="18"/>
      <c r="D584" s="28"/>
      <c r="E584" s="16"/>
    </row>
    <row r="585" spans="3:5" x14ac:dyDescent="0.25">
      <c r="C585" s="18"/>
      <c r="D585" s="28"/>
      <c r="E585" s="16"/>
    </row>
    <row r="586" spans="3:5" x14ac:dyDescent="0.25">
      <c r="C586" s="18"/>
      <c r="D586" s="28"/>
      <c r="E586" s="16"/>
    </row>
    <row r="587" spans="3:5" x14ac:dyDescent="0.25">
      <c r="C587" s="18"/>
      <c r="D587" s="28"/>
      <c r="E587" s="16"/>
    </row>
    <row r="588" spans="3:5" x14ac:dyDescent="0.25">
      <c r="C588" s="18"/>
      <c r="D588" s="28"/>
      <c r="E588" s="16"/>
    </row>
    <row r="589" spans="3:5" x14ac:dyDescent="0.25">
      <c r="C589" s="18"/>
      <c r="D589" s="28"/>
      <c r="E589" s="16"/>
    </row>
    <row r="590" spans="3:5" x14ac:dyDescent="0.25">
      <c r="C590" s="18"/>
      <c r="D590" s="28"/>
      <c r="E590" s="16"/>
    </row>
    <row r="591" spans="3:5" x14ac:dyDescent="0.25">
      <c r="C591" s="18"/>
      <c r="D591" s="28"/>
      <c r="E591" s="16"/>
    </row>
    <row r="592" spans="3:5" x14ac:dyDescent="0.25">
      <c r="C592" s="18"/>
      <c r="D592" s="28"/>
      <c r="E592" s="16"/>
    </row>
    <row r="593" spans="3:5" x14ac:dyDescent="0.25">
      <c r="C593" s="18"/>
      <c r="D593" s="28"/>
      <c r="E593" s="16"/>
    </row>
    <row r="594" spans="3:5" x14ac:dyDescent="0.25">
      <c r="C594" s="18"/>
      <c r="D594" s="28"/>
      <c r="E594" s="16"/>
    </row>
    <row r="595" spans="3:5" x14ac:dyDescent="0.25">
      <c r="C595" s="18"/>
      <c r="D595" s="28"/>
      <c r="E595" s="16"/>
    </row>
    <row r="596" spans="3:5" x14ac:dyDescent="0.25">
      <c r="C596" s="18"/>
      <c r="D596" s="28"/>
      <c r="E596" s="16"/>
    </row>
    <row r="597" spans="3:5" x14ac:dyDescent="0.25">
      <c r="C597" s="18"/>
      <c r="D597" s="28"/>
      <c r="E597" s="16"/>
    </row>
    <row r="598" spans="3:5" x14ac:dyDescent="0.25">
      <c r="C598" s="18"/>
      <c r="D598" s="28"/>
      <c r="E598" s="16"/>
    </row>
    <row r="599" spans="3:5" x14ac:dyDescent="0.25">
      <c r="C599" s="18"/>
      <c r="D599" s="28"/>
      <c r="E599" s="16"/>
    </row>
    <row r="600" spans="3:5" x14ac:dyDescent="0.25">
      <c r="C600" s="18"/>
      <c r="D600" s="28"/>
      <c r="E600" s="16"/>
    </row>
    <row r="601" spans="3:5" x14ac:dyDescent="0.25">
      <c r="C601" s="18"/>
      <c r="D601" s="28"/>
      <c r="E601" s="16"/>
    </row>
    <row r="602" spans="3:5" x14ac:dyDescent="0.25">
      <c r="C602" s="18"/>
      <c r="D602" s="28"/>
      <c r="E602" s="16"/>
    </row>
    <row r="603" spans="3:5" x14ac:dyDescent="0.25">
      <c r="C603" s="18"/>
      <c r="D603" s="28"/>
      <c r="E603" s="16"/>
    </row>
    <row r="604" spans="3:5" x14ac:dyDescent="0.25">
      <c r="C604" s="18"/>
      <c r="D604" s="28"/>
      <c r="E604" s="16"/>
    </row>
    <row r="605" spans="3:5" x14ac:dyDescent="0.25">
      <c r="C605" s="18"/>
      <c r="D605" s="28"/>
      <c r="E605" s="16"/>
    </row>
    <row r="606" spans="3:5" x14ac:dyDescent="0.25">
      <c r="C606" s="18"/>
      <c r="D606" s="28"/>
      <c r="E606" s="16"/>
    </row>
    <row r="607" spans="3:5" x14ac:dyDescent="0.25">
      <c r="C607" s="18"/>
      <c r="D607" s="28"/>
      <c r="E607" s="16"/>
    </row>
    <row r="608" spans="3:5" x14ac:dyDescent="0.25">
      <c r="C608" s="18"/>
      <c r="D608" s="28"/>
      <c r="E608" s="16"/>
    </row>
    <row r="609" spans="3:5" x14ac:dyDescent="0.25">
      <c r="C609" s="18"/>
      <c r="D609" s="28"/>
      <c r="E609" s="16"/>
    </row>
    <row r="610" spans="3:5" x14ac:dyDescent="0.25">
      <c r="C610" s="18"/>
      <c r="D610" s="28"/>
      <c r="E610" s="16"/>
    </row>
    <row r="611" spans="3:5" x14ac:dyDescent="0.25">
      <c r="C611" s="18"/>
      <c r="D611" s="28"/>
      <c r="E611" s="16"/>
    </row>
    <row r="612" spans="3:5" x14ac:dyDescent="0.25">
      <c r="C612" s="18"/>
      <c r="D612" s="28"/>
      <c r="E612" s="16"/>
    </row>
    <row r="613" spans="3:5" x14ac:dyDescent="0.25">
      <c r="C613" s="18"/>
      <c r="D613" s="28"/>
      <c r="E613" s="16"/>
    </row>
    <row r="614" spans="3:5" x14ac:dyDescent="0.25">
      <c r="C614" s="18"/>
      <c r="D614" s="28"/>
      <c r="E614" s="16"/>
    </row>
    <row r="615" spans="3:5" x14ac:dyDescent="0.25">
      <c r="C615" s="18"/>
      <c r="D615" s="28"/>
      <c r="E615" s="16"/>
    </row>
    <row r="616" spans="3:5" x14ac:dyDescent="0.25">
      <c r="C616" s="18"/>
      <c r="D616" s="28"/>
      <c r="E616" s="16"/>
    </row>
    <row r="617" spans="3:5" x14ac:dyDescent="0.25">
      <c r="C617" s="18"/>
      <c r="D617" s="28"/>
      <c r="E617" s="16"/>
    </row>
    <row r="618" spans="3:5" x14ac:dyDescent="0.25">
      <c r="C618" s="18"/>
      <c r="D618" s="28"/>
      <c r="E618" s="16"/>
    </row>
    <row r="619" spans="3:5" x14ac:dyDescent="0.25">
      <c r="C619" s="18"/>
      <c r="D619" s="28"/>
      <c r="E619" s="16"/>
    </row>
    <row r="620" spans="3:5" x14ac:dyDescent="0.25">
      <c r="C620" s="18"/>
      <c r="D620" s="28"/>
      <c r="E620" s="16"/>
    </row>
    <row r="621" spans="3:5" x14ac:dyDescent="0.25">
      <c r="C621" s="18"/>
      <c r="D621" s="28"/>
      <c r="E621" s="16"/>
    </row>
    <row r="622" spans="3:5" x14ac:dyDescent="0.25">
      <c r="C622" s="18"/>
      <c r="D622" s="28"/>
      <c r="E622" s="16"/>
    </row>
    <row r="623" spans="3:5" x14ac:dyDescent="0.25">
      <c r="C623" s="18"/>
      <c r="D623" s="28"/>
      <c r="E623" s="16"/>
    </row>
    <row r="624" spans="3:5" x14ac:dyDescent="0.25">
      <c r="C624" s="18"/>
      <c r="D624" s="28"/>
      <c r="E624" s="16"/>
    </row>
    <row r="625" spans="3:5" x14ac:dyDescent="0.25">
      <c r="C625" s="18"/>
      <c r="D625" s="28"/>
      <c r="E625" s="16"/>
    </row>
    <row r="626" spans="3:5" x14ac:dyDescent="0.25">
      <c r="C626" s="18"/>
      <c r="D626" s="28"/>
      <c r="E626" s="16"/>
    </row>
    <row r="627" spans="3:5" x14ac:dyDescent="0.25">
      <c r="C627" s="18"/>
      <c r="D627" s="28"/>
      <c r="E627" s="16"/>
    </row>
    <row r="628" spans="3:5" x14ac:dyDescent="0.25">
      <c r="C628" s="18"/>
      <c r="D628" s="28"/>
      <c r="E628" s="16"/>
    </row>
    <row r="629" spans="3:5" x14ac:dyDescent="0.25">
      <c r="C629" s="18"/>
      <c r="D629" s="28"/>
      <c r="E629" s="16"/>
    </row>
    <row r="630" spans="3:5" x14ac:dyDescent="0.25">
      <c r="C630" s="18"/>
      <c r="D630" s="28"/>
      <c r="E630" s="16"/>
    </row>
    <row r="631" spans="3:5" x14ac:dyDescent="0.25">
      <c r="C631" s="18"/>
      <c r="D631" s="28"/>
      <c r="E631" s="16"/>
    </row>
    <row r="632" spans="3:5" x14ac:dyDescent="0.25">
      <c r="C632" s="18"/>
      <c r="D632" s="28"/>
      <c r="E632" s="16"/>
    </row>
    <row r="633" spans="3:5" x14ac:dyDescent="0.25">
      <c r="C633" s="18"/>
      <c r="D633" s="28"/>
      <c r="E633" s="16"/>
    </row>
    <row r="634" spans="3:5" x14ac:dyDescent="0.25">
      <c r="C634" s="18"/>
      <c r="D634" s="28"/>
      <c r="E634" s="16"/>
    </row>
    <row r="635" spans="3:5" x14ac:dyDescent="0.25">
      <c r="C635" s="18"/>
      <c r="D635" s="28"/>
      <c r="E635" s="16"/>
    </row>
    <row r="636" spans="3:5" x14ac:dyDescent="0.25">
      <c r="C636" s="18"/>
      <c r="D636" s="28"/>
      <c r="E636" s="16"/>
    </row>
    <row r="637" spans="3:5" x14ac:dyDescent="0.25">
      <c r="C637" s="18"/>
      <c r="D637" s="28"/>
      <c r="E637" s="16"/>
    </row>
    <row r="638" spans="3:5" x14ac:dyDescent="0.25">
      <c r="C638" s="18"/>
      <c r="D638" s="28"/>
      <c r="E638" s="16"/>
    </row>
    <row r="639" spans="3:5" x14ac:dyDescent="0.25">
      <c r="C639" s="18"/>
      <c r="D639" s="28"/>
      <c r="E639" s="16"/>
    </row>
    <row r="640" spans="3:5" x14ac:dyDescent="0.25">
      <c r="C640" s="18"/>
      <c r="D640" s="28"/>
      <c r="E640" s="16"/>
    </row>
    <row r="641" spans="3:5" x14ac:dyDescent="0.25">
      <c r="C641" s="18"/>
      <c r="D641" s="28"/>
      <c r="E641" s="16"/>
    </row>
    <row r="642" spans="3:5" x14ac:dyDescent="0.25">
      <c r="C642" s="18"/>
      <c r="D642" s="28"/>
      <c r="E642" s="16"/>
    </row>
    <row r="643" spans="3:5" x14ac:dyDescent="0.25">
      <c r="C643" s="18"/>
      <c r="D643" s="28"/>
      <c r="E643" s="16"/>
    </row>
    <row r="644" spans="3:5" x14ac:dyDescent="0.25">
      <c r="C644" s="18"/>
      <c r="D644" s="28"/>
      <c r="E644" s="16"/>
    </row>
    <row r="645" spans="3:5" x14ac:dyDescent="0.25">
      <c r="C645" s="18"/>
      <c r="D645" s="28"/>
      <c r="E645" s="16"/>
    </row>
    <row r="646" spans="3:5" x14ac:dyDescent="0.25">
      <c r="C646" s="18"/>
      <c r="D646" s="28"/>
      <c r="E646" s="16"/>
    </row>
    <row r="647" spans="3:5" x14ac:dyDescent="0.25">
      <c r="C647" s="18"/>
      <c r="D647" s="28"/>
      <c r="E647" s="16"/>
    </row>
    <row r="648" spans="3:5" x14ac:dyDescent="0.25">
      <c r="C648" s="18"/>
      <c r="D648" s="28"/>
      <c r="E648" s="16"/>
    </row>
    <row r="649" spans="3:5" x14ac:dyDescent="0.25">
      <c r="C649" s="18"/>
      <c r="D649" s="28"/>
      <c r="E649" s="16"/>
    </row>
    <row r="650" spans="3:5" x14ac:dyDescent="0.25">
      <c r="C650" s="18"/>
      <c r="D650" s="28"/>
      <c r="E650" s="16"/>
    </row>
    <row r="651" spans="3:5" x14ac:dyDescent="0.25">
      <c r="C651" s="18"/>
      <c r="D651" s="28"/>
      <c r="E651" s="16"/>
    </row>
    <row r="652" spans="3:5" x14ac:dyDescent="0.25">
      <c r="C652" s="18"/>
      <c r="D652" s="28"/>
      <c r="E652" s="16"/>
    </row>
    <row r="653" spans="3:5" x14ac:dyDescent="0.25">
      <c r="C653" s="18"/>
      <c r="D653" s="28"/>
      <c r="E653" s="16"/>
    </row>
    <row r="654" spans="3:5" x14ac:dyDescent="0.25">
      <c r="C654" s="18"/>
      <c r="D654" s="28"/>
      <c r="E654" s="16"/>
    </row>
    <row r="655" spans="3:5" x14ac:dyDescent="0.25">
      <c r="C655" s="18"/>
      <c r="D655" s="28"/>
      <c r="E655" s="16"/>
    </row>
    <row r="656" spans="3:5" x14ac:dyDescent="0.25">
      <c r="C656" s="18"/>
      <c r="D656" s="28"/>
      <c r="E656" s="16"/>
    </row>
    <row r="657" spans="3:5" x14ac:dyDescent="0.25">
      <c r="C657" s="18"/>
      <c r="D657" s="28"/>
      <c r="E657" s="16"/>
    </row>
    <row r="658" spans="3:5" x14ac:dyDescent="0.25">
      <c r="C658" s="18"/>
      <c r="D658" s="28"/>
      <c r="E658" s="16"/>
    </row>
    <row r="659" spans="3:5" x14ac:dyDescent="0.25">
      <c r="C659" s="18"/>
      <c r="D659" s="28"/>
      <c r="E659" s="16"/>
    </row>
    <row r="660" spans="3:5" x14ac:dyDescent="0.25">
      <c r="C660" s="18"/>
      <c r="D660" s="28"/>
      <c r="E660" s="16"/>
    </row>
    <row r="661" spans="3:5" x14ac:dyDescent="0.25">
      <c r="C661" s="18"/>
      <c r="D661" s="28"/>
      <c r="E661" s="16"/>
    </row>
    <row r="662" spans="3:5" x14ac:dyDescent="0.25">
      <c r="C662" s="18"/>
      <c r="D662" s="28"/>
      <c r="E662" s="16"/>
    </row>
    <row r="663" spans="3:5" x14ac:dyDescent="0.25">
      <c r="C663" s="18"/>
      <c r="D663" s="28"/>
      <c r="E663" s="16"/>
    </row>
    <row r="664" spans="3:5" x14ac:dyDescent="0.25">
      <c r="C664" s="18"/>
      <c r="D664" s="28"/>
      <c r="E664" s="16"/>
    </row>
    <row r="665" spans="3:5" x14ac:dyDescent="0.25">
      <c r="C665" s="18"/>
      <c r="D665" s="28"/>
      <c r="E665" s="16"/>
    </row>
    <row r="666" spans="3:5" x14ac:dyDescent="0.25">
      <c r="C666" s="18"/>
      <c r="D666" s="28"/>
      <c r="E666" s="16"/>
    </row>
    <row r="667" spans="3:5" x14ac:dyDescent="0.25">
      <c r="C667" s="18"/>
      <c r="D667" s="28"/>
      <c r="E667" s="16"/>
    </row>
    <row r="668" spans="3:5" x14ac:dyDescent="0.25">
      <c r="C668" s="18"/>
      <c r="D668" s="28"/>
      <c r="E668" s="16"/>
    </row>
    <row r="669" spans="3:5" x14ac:dyDescent="0.25">
      <c r="C669" s="18"/>
      <c r="D669" s="28"/>
      <c r="E669" s="16"/>
    </row>
    <row r="670" spans="3:5" x14ac:dyDescent="0.25">
      <c r="C670" s="18"/>
      <c r="D670" s="28"/>
      <c r="E670" s="16"/>
    </row>
    <row r="671" spans="3:5" x14ac:dyDescent="0.25">
      <c r="C671" s="18"/>
      <c r="D671" s="28"/>
      <c r="E671" s="16"/>
    </row>
    <row r="672" spans="3:5" x14ac:dyDescent="0.25">
      <c r="C672" s="18"/>
      <c r="D672" s="28"/>
      <c r="E672" s="16"/>
    </row>
    <row r="673" spans="3:5" x14ac:dyDescent="0.25">
      <c r="C673" s="18"/>
      <c r="D673" s="28"/>
      <c r="E673" s="16"/>
    </row>
    <row r="674" spans="3:5" x14ac:dyDescent="0.25">
      <c r="C674" s="18"/>
      <c r="D674" s="28"/>
      <c r="E674" s="16"/>
    </row>
    <row r="675" spans="3:5" x14ac:dyDescent="0.25">
      <c r="C675" s="18"/>
      <c r="D675" s="28"/>
      <c r="E675" s="16"/>
    </row>
    <row r="676" spans="3:5" x14ac:dyDescent="0.25">
      <c r="C676" s="18"/>
      <c r="D676" s="28"/>
      <c r="E676" s="16"/>
    </row>
    <row r="677" spans="3:5" x14ac:dyDescent="0.25">
      <c r="C677" s="18"/>
      <c r="D677" s="28"/>
      <c r="E677" s="16"/>
    </row>
    <row r="678" spans="3:5" x14ac:dyDescent="0.25">
      <c r="C678" s="18"/>
      <c r="D678" s="28"/>
      <c r="E678" s="16"/>
    </row>
    <row r="679" spans="3:5" x14ac:dyDescent="0.25">
      <c r="C679" s="18"/>
      <c r="D679" s="28"/>
      <c r="E679" s="16"/>
    </row>
    <row r="680" spans="3:5" x14ac:dyDescent="0.25">
      <c r="C680" s="18"/>
      <c r="D680" s="28"/>
      <c r="E680" s="16"/>
    </row>
    <row r="681" spans="3:5" x14ac:dyDescent="0.25">
      <c r="C681" s="18"/>
      <c r="D681" s="28"/>
      <c r="E681" s="16"/>
    </row>
    <row r="682" spans="3:5" x14ac:dyDescent="0.25">
      <c r="C682" s="18"/>
      <c r="D682" s="28"/>
      <c r="E682" s="16"/>
    </row>
    <row r="683" spans="3:5" x14ac:dyDescent="0.25">
      <c r="C683" s="18"/>
      <c r="D683" s="28"/>
      <c r="E683" s="16"/>
    </row>
    <row r="684" spans="3:5" x14ac:dyDescent="0.25">
      <c r="C684" s="18"/>
      <c r="D684" s="28"/>
      <c r="E684" s="16"/>
    </row>
    <row r="685" spans="3:5" x14ac:dyDescent="0.25">
      <c r="C685" s="18"/>
      <c r="D685" s="28"/>
      <c r="E685" s="16"/>
    </row>
    <row r="686" spans="3:5" x14ac:dyDescent="0.25">
      <c r="C686" s="18"/>
      <c r="D686" s="28"/>
      <c r="E686" s="16"/>
    </row>
    <row r="687" spans="3:5" x14ac:dyDescent="0.25">
      <c r="C687" s="18"/>
      <c r="D687" s="28"/>
      <c r="E687" s="16"/>
    </row>
    <row r="688" spans="3:5" x14ac:dyDescent="0.25">
      <c r="C688" s="18"/>
      <c r="D688" s="28"/>
      <c r="E688" s="16"/>
    </row>
    <row r="689" spans="3:5" x14ac:dyDescent="0.25">
      <c r="C689" s="18"/>
      <c r="D689" s="28"/>
      <c r="E689" s="16"/>
    </row>
    <row r="690" spans="3:5" x14ac:dyDescent="0.25">
      <c r="C690" s="18"/>
      <c r="D690" s="28"/>
      <c r="E690" s="16"/>
    </row>
    <row r="691" spans="3:5" x14ac:dyDescent="0.25">
      <c r="C691" s="18"/>
      <c r="D691" s="28"/>
      <c r="E691" s="16"/>
    </row>
    <row r="692" spans="3:5" x14ac:dyDescent="0.25">
      <c r="C692" s="18"/>
      <c r="D692" s="28"/>
      <c r="E692" s="16"/>
    </row>
    <row r="693" spans="3:5" x14ac:dyDescent="0.25">
      <c r="C693" s="18"/>
      <c r="D693" s="28"/>
      <c r="E693" s="16"/>
    </row>
    <row r="694" spans="3:5" x14ac:dyDescent="0.25">
      <c r="C694" s="18"/>
      <c r="D694" s="28"/>
      <c r="E694" s="16"/>
    </row>
    <row r="695" spans="3:5" x14ac:dyDescent="0.25">
      <c r="C695" s="18"/>
      <c r="D695" s="28"/>
      <c r="E695" s="16"/>
    </row>
    <row r="696" spans="3:5" x14ac:dyDescent="0.25">
      <c r="C696" s="18"/>
      <c r="D696" s="28"/>
      <c r="E696" s="16"/>
    </row>
    <row r="697" spans="3:5" x14ac:dyDescent="0.25">
      <c r="C697" s="18"/>
      <c r="D697" s="28"/>
      <c r="E697" s="16"/>
    </row>
    <row r="698" spans="3:5" x14ac:dyDescent="0.25">
      <c r="C698" s="18"/>
      <c r="D698" s="28"/>
      <c r="E698" s="16"/>
    </row>
    <row r="699" spans="3:5" x14ac:dyDescent="0.25">
      <c r="C699" s="18"/>
      <c r="D699" s="28"/>
      <c r="E699" s="16"/>
    </row>
    <row r="700" spans="3:5" x14ac:dyDescent="0.25">
      <c r="C700" s="18"/>
      <c r="D700" s="28"/>
      <c r="E700" s="16"/>
    </row>
    <row r="701" spans="3:5" x14ac:dyDescent="0.25">
      <c r="C701" s="18"/>
      <c r="D701" s="28"/>
      <c r="E701" s="16"/>
    </row>
    <row r="702" spans="3:5" x14ac:dyDescent="0.25">
      <c r="C702" s="18"/>
      <c r="D702" s="28"/>
      <c r="E702" s="16"/>
    </row>
    <row r="703" spans="3:5" x14ac:dyDescent="0.25">
      <c r="C703" s="18"/>
      <c r="D703" s="28"/>
      <c r="E703" s="16"/>
    </row>
    <row r="704" spans="3:5" x14ac:dyDescent="0.25">
      <c r="C704" s="18"/>
      <c r="D704" s="28"/>
      <c r="E704" s="16"/>
    </row>
    <row r="705" spans="3:5" x14ac:dyDescent="0.25">
      <c r="C705" s="18"/>
      <c r="D705" s="28"/>
      <c r="E705" s="16"/>
    </row>
    <row r="706" spans="3:5" x14ac:dyDescent="0.25">
      <c r="C706" s="18"/>
      <c r="D706" s="28"/>
      <c r="E706" s="16"/>
    </row>
    <row r="707" spans="3:5" x14ac:dyDescent="0.25">
      <c r="C707" s="18"/>
      <c r="D707" s="28"/>
      <c r="E707" s="16"/>
    </row>
    <row r="708" spans="3:5" x14ac:dyDescent="0.25">
      <c r="C708" s="18"/>
      <c r="D708" s="28"/>
      <c r="E708" s="16"/>
    </row>
    <row r="709" spans="3:5" x14ac:dyDescent="0.25">
      <c r="C709" s="18"/>
      <c r="D709" s="28"/>
      <c r="E709" s="16"/>
    </row>
    <row r="710" spans="3:5" x14ac:dyDescent="0.25">
      <c r="C710" s="18"/>
      <c r="D710" s="28"/>
      <c r="E710" s="16"/>
    </row>
    <row r="711" spans="3:5" x14ac:dyDescent="0.25">
      <c r="C711" s="18"/>
      <c r="D711" s="28"/>
      <c r="E711" s="16"/>
    </row>
    <row r="712" spans="3:5" x14ac:dyDescent="0.25">
      <c r="C712" s="18"/>
      <c r="D712" s="28"/>
      <c r="E712" s="16"/>
    </row>
    <row r="713" spans="3:5" x14ac:dyDescent="0.25">
      <c r="C713" s="18"/>
      <c r="D713" s="28"/>
      <c r="E713" s="16"/>
    </row>
    <row r="714" spans="3:5" x14ac:dyDescent="0.25">
      <c r="C714" s="18"/>
      <c r="D714" s="28"/>
      <c r="E714" s="16"/>
    </row>
    <row r="715" spans="3:5" x14ac:dyDescent="0.25">
      <c r="C715" s="18"/>
      <c r="D715" s="28"/>
      <c r="E715" s="16"/>
    </row>
    <row r="716" spans="3:5" x14ac:dyDescent="0.25">
      <c r="C716" s="18"/>
      <c r="D716" s="28"/>
      <c r="E716" s="16"/>
    </row>
    <row r="717" spans="3:5" x14ac:dyDescent="0.25">
      <c r="C717" s="18"/>
      <c r="D717" s="28"/>
      <c r="E717" s="16"/>
    </row>
    <row r="718" spans="3:5" x14ac:dyDescent="0.25">
      <c r="C718" s="18"/>
      <c r="D718" s="28"/>
      <c r="E718" s="16"/>
    </row>
    <row r="719" spans="3:5" x14ac:dyDescent="0.25">
      <c r="C719" s="18"/>
      <c r="D719" s="28"/>
      <c r="E719" s="16"/>
    </row>
    <row r="720" spans="3:5" x14ac:dyDescent="0.25">
      <c r="C720" s="18"/>
      <c r="D720" s="28"/>
      <c r="E720" s="16"/>
    </row>
    <row r="721" spans="3:5" x14ac:dyDescent="0.25">
      <c r="C721" s="18"/>
      <c r="D721" s="28"/>
      <c r="E721" s="16"/>
    </row>
    <row r="722" spans="3:5" x14ac:dyDescent="0.25">
      <c r="C722" s="18"/>
      <c r="D722" s="28"/>
      <c r="E722" s="16"/>
    </row>
    <row r="723" spans="3:5" x14ac:dyDescent="0.25">
      <c r="C723" s="18"/>
      <c r="D723" s="28"/>
      <c r="E723" s="16"/>
    </row>
    <row r="724" spans="3:5" x14ac:dyDescent="0.25">
      <c r="C724" s="18"/>
      <c r="D724" s="28"/>
      <c r="E724" s="16"/>
    </row>
    <row r="725" spans="3:5" x14ac:dyDescent="0.25">
      <c r="C725" s="18"/>
      <c r="D725" s="28"/>
      <c r="E725" s="16"/>
    </row>
    <row r="726" spans="3:5" x14ac:dyDescent="0.25">
      <c r="C726" s="18"/>
      <c r="D726" s="28"/>
      <c r="E726" s="16"/>
    </row>
    <row r="727" spans="3:5" x14ac:dyDescent="0.25">
      <c r="C727" s="18"/>
      <c r="D727" s="28"/>
      <c r="E727" s="16"/>
    </row>
    <row r="728" spans="3:5" x14ac:dyDescent="0.25">
      <c r="C728" s="18"/>
      <c r="D728" s="28"/>
      <c r="E728" s="16"/>
    </row>
    <row r="729" spans="3:5" x14ac:dyDescent="0.25">
      <c r="C729" s="18"/>
      <c r="D729" s="28"/>
      <c r="E729" s="16"/>
    </row>
    <row r="730" spans="3:5" x14ac:dyDescent="0.25">
      <c r="C730" s="18"/>
      <c r="D730" s="28"/>
      <c r="E730" s="16"/>
    </row>
    <row r="731" spans="3:5" x14ac:dyDescent="0.25">
      <c r="C731" s="18"/>
      <c r="D731" s="28"/>
      <c r="E731" s="16"/>
    </row>
    <row r="732" spans="3:5" x14ac:dyDescent="0.25">
      <c r="C732" s="18"/>
      <c r="D732" s="28"/>
      <c r="E732" s="16"/>
    </row>
    <row r="733" spans="3:5" x14ac:dyDescent="0.25">
      <c r="C733" s="18"/>
      <c r="D733" s="28"/>
      <c r="E733" s="16"/>
    </row>
    <row r="734" spans="3:5" x14ac:dyDescent="0.25">
      <c r="C734" s="18"/>
      <c r="D734" s="28"/>
      <c r="E734" s="16"/>
    </row>
    <row r="735" spans="3:5" x14ac:dyDescent="0.25">
      <c r="C735" s="18"/>
      <c r="D735" s="28"/>
      <c r="E735" s="16"/>
    </row>
    <row r="736" spans="3:5" x14ac:dyDescent="0.25">
      <c r="C736" s="18"/>
      <c r="D736" s="28"/>
      <c r="E736" s="16"/>
    </row>
    <row r="737" spans="3:5" x14ac:dyDescent="0.25">
      <c r="C737" s="18"/>
      <c r="D737" s="28"/>
      <c r="E737" s="16"/>
    </row>
    <row r="738" spans="3:5" x14ac:dyDescent="0.25">
      <c r="C738" s="18"/>
      <c r="D738" s="28"/>
      <c r="E738" s="16"/>
    </row>
    <row r="739" spans="3:5" x14ac:dyDescent="0.25">
      <c r="C739" s="18"/>
      <c r="D739" s="28"/>
      <c r="E739" s="16"/>
    </row>
    <row r="740" spans="3:5" x14ac:dyDescent="0.25">
      <c r="C740" s="18"/>
      <c r="D740" s="28"/>
      <c r="E740" s="16"/>
    </row>
    <row r="741" spans="3:5" x14ac:dyDescent="0.25">
      <c r="C741" s="18"/>
      <c r="D741" s="28"/>
      <c r="E741" s="16"/>
    </row>
    <row r="742" spans="3:5" x14ac:dyDescent="0.25">
      <c r="C742" s="18"/>
      <c r="D742" s="28"/>
      <c r="E742" s="16"/>
    </row>
    <row r="743" spans="3:5" x14ac:dyDescent="0.25">
      <c r="C743" s="18"/>
      <c r="D743" s="28"/>
      <c r="E743" s="16"/>
    </row>
    <row r="744" spans="3:5" x14ac:dyDescent="0.25">
      <c r="C744" s="18"/>
      <c r="D744" s="28"/>
      <c r="E744" s="16"/>
    </row>
    <row r="745" spans="3:5" x14ac:dyDescent="0.25">
      <c r="C745" s="18"/>
      <c r="D745" s="28"/>
      <c r="E745" s="16"/>
    </row>
    <row r="746" spans="3:5" x14ac:dyDescent="0.25">
      <c r="C746" s="18"/>
      <c r="D746" s="28"/>
      <c r="E746" s="16"/>
    </row>
    <row r="747" spans="3:5" x14ac:dyDescent="0.25">
      <c r="C747" s="18"/>
      <c r="D747" s="28"/>
      <c r="E747" s="16"/>
    </row>
    <row r="748" spans="3:5" x14ac:dyDescent="0.25">
      <c r="C748" s="18"/>
      <c r="D748" s="28"/>
      <c r="E748" s="16"/>
    </row>
    <row r="749" spans="3:5" x14ac:dyDescent="0.25">
      <c r="C749" s="18"/>
      <c r="D749" s="28"/>
      <c r="E749" s="16"/>
    </row>
    <row r="750" spans="3:5" x14ac:dyDescent="0.25">
      <c r="C750" s="18"/>
      <c r="D750" s="28"/>
      <c r="E750" s="16"/>
    </row>
    <row r="751" spans="3:5" x14ac:dyDescent="0.25">
      <c r="C751" s="18"/>
      <c r="D751" s="28"/>
      <c r="E751" s="16"/>
    </row>
    <row r="752" spans="3:5" x14ac:dyDescent="0.25">
      <c r="C752" s="18"/>
      <c r="D752" s="28"/>
      <c r="E752" s="16"/>
    </row>
    <row r="753" spans="3:5" x14ac:dyDescent="0.25">
      <c r="C753" s="18"/>
      <c r="D753" s="28"/>
      <c r="E753" s="16"/>
    </row>
    <row r="754" spans="3:5" x14ac:dyDescent="0.25">
      <c r="C754" s="18"/>
      <c r="D754" s="28"/>
      <c r="E754" s="16"/>
    </row>
    <row r="755" spans="3:5" x14ac:dyDescent="0.25">
      <c r="C755" s="18"/>
      <c r="D755" s="28"/>
      <c r="E755" s="16"/>
    </row>
    <row r="756" spans="3:5" x14ac:dyDescent="0.25">
      <c r="C756" s="18"/>
      <c r="D756" s="28"/>
      <c r="E756" s="16"/>
    </row>
    <row r="757" spans="3:5" x14ac:dyDescent="0.25">
      <c r="C757" s="18"/>
      <c r="D757" s="28"/>
      <c r="E757" s="16"/>
    </row>
    <row r="758" spans="3:5" x14ac:dyDescent="0.25">
      <c r="C758" s="18"/>
      <c r="D758" s="28"/>
      <c r="E758" s="16"/>
    </row>
    <row r="759" spans="3:5" x14ac:dyDescent="0.25">
      <c r="C759" s="18"/>
      <c r="D759" s="28"/>
      <c r="E759" s="16"/>
    </row>
    <row r="760" spans="3:5" x14ac:dyDescent="0.25">
      <c r="C760" s="18"/>
      <c r="D760" s="28"/>
      <c r="E760" s="16"/>
    </row>
    <row r="761" spans="3:5" x14ac:dyDescent="0.25">
      <c r="C761" s="18"/>
      <c r="D761" s="28"/>
      <c r="E761" s="16"/>
    </row>
    <row r="762" spans="3:5" x14ac:dyDescent="0.25">
      <c r="C762" s="18"/>
      <c r="D762" s="28"/>
      <c r="E762" s="16"/>
    </row>
    <row r="763" spans="3:5" x14ac:dyDescent="0.25">
      <c r="C763" s="18"/>
      <c r="D763" s="28"/>
      <c r="E763" s="16"/>
    </row>
    <row r="764" spans="3:5" x14ac:dyDescent="0.25">
      <c r="C764" s="18"/>
      <c r="D764" s="28"/>
      <c r="E764" s="16"/>
    </row>
    <row r="765" spans="3:5" x14ac:dyDescent="0.25">
      <c r="C765" s="18"/>
      <c r="D765" s="28"/>
      <c r="E765" s="16"/>
    </row>
    <row r="766" spans="3:5" x14ac:dyDescent="0.25">
      <c r="C766" s="18"/>
      <c r="D766" s="28"/>
      <c r="E766" s="16"/>
    </row>
    <row r="767" spans="3:5" x14ac:dyDescent="0.25">
      <c r="C767" s="18"/>
      <c r="D767" s="28"/>
      <c r="E767" s="16"/>
    </row>
    <row r="768" spans="3:5" x14ac:dyDescent="0.25">
      <c r="C768" s="18"/>
      <c r="D768" s="28"/>
      <c r="E768" s="16"/>
    </row>
    <row r="769" spans="3:5" x14ac:dyDescent="0.25">
      <c r="C769" s="18"/>
      <c r="D769" s="28"/>
      <c r="E769" s="16"/>
    </row>
    <row r="770" spans="3:5" x14ac:dyDescent="0.25">
      <c r="C770" s="18"/>
      <c r="D770" s="28"/>
      <c r="E770" s="16"/>
    </row>
    <row r="771" spans="3:5" x14ac:dyDescent="0.25">
      <c r="C771" s="18"/>
      <c r="D771" s="28"/>
      <c r="E771" s="16"/>
    </row>
    <row r="772" spans="3:5" x14ac:dyDescent="0.25">
      <c r="C772" s="18"/>
      <c r="D772" s="28"/>
      <c r="E772" s="16"/>
    </row>
    <row r="773" spans="3:5" x14ac:dyDescent="0.25">
      <c r="C773" s="18"/>
      <c r="D773" s="28"/>
      <c r="E773" s="16"/>
    </row>
    <row r="774" spans="3:5" x14ac:dyDescent="0.25">
      <c r="C774" s="18"/>
      <c r="D774" s="28"/>
      <c r="E774" s="16"/>
    </row>
    <row r="775" spans="3:5" x14ac:dyDescent="0.25">
      <c r="C775" s="18"/>
      <c r="D775" s="28"/>
      <c r="E775" s="16"/>
    </row>
    <row r="776" spans="3:5" x14ac:dyDescent="0.25">
      <c r="C776" s="18"/>
      <c r="D776" s="28"/>
      <c r="E776" s="16"/>
    </row>
    <row r="777" spans="3:5" x14ac:dyDescent="0.25">
      <c r="C777" s="18"/>
      <c r="D777" s="28"/>
      <c r="E777" s="16"/>
    </row>
    <row r="778" spans="3:5" x14ac:dyDescent="0.25">
      <c r="C778" s="18"/>
      <c r="D778" s="28"/>
      <c r="E778" s="16"/>
    </row>
    <row r="779" spans="3:5" x14ac:dyDescent="0.25">
      <c r="C779" s="18"/>
      <c r="D779" s="28"/>
      <c r="E779" s="16"/>
    </row>
    <row r="780" spans="3:5" x14ac:dyDescent="0.25">
      <c r="C780" s="18"/>
      <c r="D780" s="28"/>
      <c r="E780" s="16"/>
    </row>
    <row r="781" spans="3:5" x14ac:dyDescent="0.25">
      <c r="C781" s="18"/>
      <c r="D781" s="28"/>
      <c r="E781" s="16"/>
    </row>
    <row r="782" spans="3:5" x14ac:dyDescent="0.25">
      <c r="C782" s="18"/>
      <c r="D782" s="28"/>
      <c r="E782" s="16"/>
    </row>
    <row r="783" spans="3:5" x14ac:dyDescent="0.25">
      <c r="C783" s="18"/>
      <c r="D783" s="28"/>
      <c r="E783" s="16"/>
    </row>
    <row r="784" spans="3:5" x14ac:dyDescent="0.25">
      <c r="C784" s="18"/>
      <c r="D784" s="28"/>
      <c r="E784" s="16"/>
    </row>
    <row r="785" spans="3:5" x14ac:dyDescent="0.25">
      <c r="C785" s="18"/>
      <c r="D785" s="28"/>
      <c r="E785" s="16"/>
    </row>
    <row r="786" spans="3:5" x14ac:dyDescent="0.25">
      <c r="C786" s="18"/>
      <c r="D786" s="28"/>
      <c r="E786" s="16"/>
    </row>
    <row r="787" spans="3:5" x14ac:dyDescent="0.25">
      <c r="C787" s="18"/>
      <c r="D787" s="28"/>
      <c r="E787" s="16"/>
    </row>
    <row r="788" spans="3:5" x14ac:dyDescent="0.25">
      <c r="C788" s="18"/>
      <c r="D788" s="28"/>
      <c r="E788" s="16"/>
    </row>
    <row r="789" spans="3:5" x14ac:dyDescent="0.25">
      <c r="C789" s="18"/>
      <c r="D789" s="28"/>
      <c r="E789" s="16"/>
    </row>
    <row r="790" spans="3:5" x14ac:dyDescent="0.25">
      <c r="C790" s="18"/>
      <c r="D790" s="28"/>
      <c r="E790" s="16"/>
    </row>
    <row r="791" spans="3:5" x14ac:dyDescent="0.25">
      <c r="C791" s="18"/>
      <c r="D791" s="28"/>
      <c r="E791" s="16"/>
    </row>
    <row r="792" spans="3:5" x14ac:dyDescent="0.25">
      <c r="C792" s="18"/>
      <c r="D792" s="28"/>
      <c r="E792" s="16"/>
    </row>
    <row r="793" spans="3:5" x14ac:dyDescent="0.25">
      <c r="C793" s="18"/>
      <c r="D793" s="28"/>
      <c r="E793" s="16"/>
    </row>
    <row r="794" spans="3:5" x14ac:dyDescent="0.25">
      <c r="C794" s="18"/>
      <c r="D794" s="28"/>
      <c r="E794" s="16"/>
    </row>
    <row r="795" spans="3:5" x14ac:dyDescent="0.25">
      <c r="C795" s="18"/>
      <c r="D795" s="28"/>
      <c r="E795" s="16"/>
    </row>
    <row r="796" spans="3:5" x14ac:dyDescent="0.25">
      <c r="C796" s="18"/>
      <c r="D796" s="28"/>
      <c r="E796" s="16"/>
    </row>
    <row r="797" spans="3:5" x14ac:dyDescent="0.25">
      <c r="C797" s="18"/>
      <c r="D797" s="28"/>
      <c r="E797" s="16"/>
    </row>
    <row r="798" spans="3:5" x14ac:dyDescent="0.25">
      <c r="C798" s="18"/>
      <c r="D798" s="28"/>
      <c r="E798" s="16"/>
    </row>
    <row r="799" spans="3:5" x14ac:dyDescent="0.25">
      <c r="C799" s="18"/>
      <c r="D799" s="28"/>
      <c r="E799" s="16"/>
    </row>
    <row r="800" spans="3:5" x14ac:dyDescent="0.25">
      <c r="C800" s="18"/>
      <c r="D800" s="28"/>
      <c r="E800" s="16"/>
    </row>
    <row r="801" spans="3:5" x14ac:dyDescent="0.25">
      <c r="C801" s="18"/>
      <c r="D801" s="28"/>
      <c r="E801" s="16"/>
    </row>
    <row r="802" spans="3:5" x14ac:dyDescent="0.25">
      <c r="C802" s="18"/>
      <c r="D802" s="28"/>
      <c r="E802" s="16"/>
    </row>
    <row r="803" spans="3:5" x14ac:dyDescent="0.25">
      <c r="C803" s="18"/>
      <c r="D803" s="28"/>
      <c r="E803" s="16"/>
    </row>
    <row r="804" spans="3:5" x14ac:dyDescent="0.25">
      <c r="C804" s="18"/>
      <c r="D804" s="28"/>
      <c r="E804" s="16"/>
    </row>
    <row r="805" spans="3:5" x14ac:dyDescent="0.25">
      <c r="C805" s="18"/>
      <c r="D805" s="28"/>
      <c r="E805" s="16"/>
    </row>
    <row r="806" spans="3:5" x14ac:dyDescent="0.25">
      <c r="C806" s="18"/>
      <c r="D806" s="28"/>
      <c r="E806" s="16"/>
    </row>
    <row r="807" spans="3:5" x14ac:dyDescent="0.25">
      <c r="C807" s="18"/>
      <c r="D807" s="28"/>
      <c r="E807" s="16"/>
    </row>
    <row r="808" spans="3:5" x14ac:dyDescent="0.25">
      <c r="C808" s="18"/>
      <c r="D808" s="28"/>
      <c r="E808" s="16"/>
    </row>
    <row r="809" spans="3:5" x14ac:dyDescent="0.25">
      <c r="C809" s="18"/>
      <c r="D809" s="28"/>
      <c r="E809" s="16"/>
    </row>
    <row r="810" spans="3:5" x14ac:dyDescent="0.25">
      <c r="C810" s="18"/>
      <c r="D810" s="28"/>
      <c r="E810" s="16"/>
    </row>
    <row r="811" spans="3:5" x14ac:dyDescent="0.25">
      <c r="C811" s="18"/>
      <c r="D811" s="28"/>
      <c r="E811" s="16"/>
    </row>
    <row r="812" spans="3:5" x14ac:dyDescent="0.25">
      <c r="C812" s="18"/>
      <c r="D812" s="28"/>
      <c r="E812" s="16"/>
    </row>
    <row r="813" spans="3:5" x14ac:dyDescent="0.25">
      <c r="C813" s="18"/>
      <c r="D813" s="28"/>
      <c r="E813" s="16"/>
    </row>
    <row r="814" spans="3:5" x14ac:dyDescent="0.25">
      <c r="C814" s="18"/>
      <c r="D814" s="28"/>
      <c r="E814" s="16"/>
    </row>
    <row r="815" spans="3:5" x14ac:dyDescent="0.25">
      <c r="C815" s="18"/>
      <c r="D815" s="28"/>
      <c r="E815" s="16"/>
    </row>
    <row r="816" spans="3:5" x14ac:dyDescent="0.25">
      <c r="C816" s="18"/>
      <c r="D816" s="28"/>
      <c r="E816" s="16"/>
    </row>
    <row r="817" spans="3:5" x14ac:dyDescent="0.25">
      <c r="C817" s="18"/>
      <c r="D817" s="28"/>
      <c r="E817" s="16"/>
    </row>
    <row r="818" spans="3:5" x14ac:dyDescent="0.25">
      <c r="C818" s="18"/>
      <c r="D818" s="28"/>
      <c r="E818" s="16"/>
    </row>
    <row r="819" spans="3:5" x14ac:dyDescent="0.25">
      <c r="C819" s="18"/>
      <c r="D819" s="28"/>
      <c r="E819" s="16"/>
    </row>
    <row r="820" spans="3:5" x14ac:dyDescent="0.25">
      <c r="C820" s="18"/>
      <c r="D820" s="28"/>
      <c r="E820" s="16"/>
    </row>
    <row r="821" spans="3:5" x14ac:dyDescent="0.25">
      <c r="C821" s="18"/>
      <c r="D821" s="28"/>
      <c r="E821" s="16"/>
    </row>
    <row r="822" spans="3:5" x14ac:dyDescent="0.25">
      <c r="C822" s="18"/>
      <c r="D822" s="28"/>
      <c r="E822" s="16"/>
    </row>
    <row r="823" spans="3:5" x14ac:dyDescent="0.25">
      <c r="C823" s="18"/>
      <c r="D823" s="28"/>
      <c r="E823" s="16"/>
    </row>
    <row r="824" spans="3:5" x14ac:dyDescent="0.25">
      <c r="C824" s="18"/>
      <c r="D824" s="28"/>
      <c r="E824" s="16"/>
    </row>
    <row r="825" spans="3:5" x14ac:dyDescent="0.25">
      <c r="C825" s="18"/>
      <c r="D825" s="28"/>
      <c r="E825" s="16"/>
    </row>
    <row r="826" spans="3:5" x14ac:dyDescent="0.25">
      <c r="C826" s="18"/>
      <c r="D826" s="28"/>
      <c r="E826" s="16"/>
    </row>
    <row r="827" spans="3:5" x14ac:dyDescent="0.25">
      <c r="C827" s="18"/>
      <c r="D827" s="28"/>
      <c r="E827" s="16"/>
    </row>
    <row r="828" spans="3:5" x14ac:dyDescent="0.25">
      <c r="C828" s="18"/>
      <c r="D828" s="28"/>
      <c r="E828" s="16"/>
    </row>
    <row r="829" spans="3:5" x14ac:dyDescent="0.25">
      <c r="C829" s="18"/>
      <c r="D829" s="28"/>
      <c r="E829" s="16"/>
    </row>
    <row r="830" spans="3:5" x14ac:dyDescent="0.25">
      <c r="C830" s="18"/>
      <c r="D830" s="28"/>
      <c r="E830" s="16"/>
    </row>
    <row r="831" spans="3:5" x14ac:dyDescent="0.25">
      <c r="C831" s="18"/>
      <c r="D831" s="28"/>
      <c r="E831" s="16"/>
    </row>
    <row r="832" spans="3:5" x14ac:dyDescent="0.25">
      <c r="C832" s="18"/>
      <c r="D832" s="28"/>
      <c r="E832" s="16"/>
    </row>
    <row r="833" spans="3:5" x14ac:dyDescent="0.25">
      <c r="C833" s="18"/>
      <c r="D833" s="28"/>
      <c r="E833" s="16"/>
    </row>
    <row r="834" spans="3:5" x14ac:dyDescent="0.25">
      <c r="C834" s="18"/>
      <c r="D834" s="28"/>
      <c r="E834" s="16"/>
    </row>
    <row r="835" spans="3:5" x14ac:dyDescent="0.25">
      <c r="C835" s="18"/>
      <c r="D835" s="28"/>
      <c r="E835" s="16"/>
    </row>
    <row r="836" spans="3:5" x14ac:dyDescent="0.25">
      <c r="C836" s="18"/>
      <c r="D836" s="28"/>
      <c r="E836" s="16"/>
    </row>
    <row r="837" spans="3:5" x14ac:dyDescent="0.25">
      <c r="C837" s="18"/>
      <c r="D837" s="28"/>
      <c r="E837" s="16"/>
    </row>
    <row r="838" spans="3:5" x14ac:dyDescent="0.25">
      <c r="C838" s="18"/>
      <c r="D838" s="28"/>
      <c r="E838" s="16"/>
    </row>
    <row r="839" spans="3:5" x14ac:dyDescent="0.2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5" priority="4" operator="containsText" text="FALSE">
      <formula>NOT(ISERROR(SEARCH("FALSE",C3)))</formula>
    </cfRule>
    <cfRule type="containsText" dxfId="4" priority="5" operator="containsText" text="TRUE">
      <formula>NOT(ISERROR(SEARCH("TRUE",C3)))</formula>
    </cfRule>
  </conditionalFormatting>
  <conditionalFormatting sqref="C7:C18 C20:C29">
    <cfRule type="containsText" dxfId="3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49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2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J20"/>
  <sheetViews>
    <sheetView topLeftCell="B1" workbookViewId="0">
      <selection activeCell="G6" sqref="G6:G97"/>
    </sheetView>
  </sheetViews>
  <sheetFormatPr defaultRowHeight="15" x14ac:dyDescent="0.25"/>
  <cols>
    <col min="1" max="1" width="26.5703125" bestFit="1" customWidth="1"/>
    <col min="2" max="2" width="65.85546875" customWidth="1"/>
    <col min="3" max="3" width="1.7109375" style="66" bestFit="1" customWidth="1"/>
    <col min="4" max="4" width="16.42578125" customWidth="1"/>
    <col min="5" max="5" width="20.140625" bestFit="1" customWidth="1"/>
    <col min="6" max="6" width="3.28515625" customWidth="1"/>
    <col min="7" max="7" width="17.5703125" customWidth="1"/>
    <col min="9" max="9" width="15.140625" bestFit="1" customWidth="1"/>
  </cols>
  <sheetData>
    <row r="2" spans="1:10" hidden="1" x14ac:dyDescent="0.25"/>
    <row r="3" spans="1:10" hidden="1" x14ac:dyDescent="0.25"/>
    <row r="5" spans="1:10" x14ac:dyDescent="0.2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3" t="s">
        <v>240</v>
      </c>
      <c r="I5" s="73" t="s">
        <v>393</v>
      </c>
      <c r="J5" s="73" t="s">
        <v>394</v>
      </c>
    </row>
    <row r="6" spans="1:10" x14ac:dyDescent="0.25">
      <c r="A6" t="s">
        <v>17</v>
      </c>
      <c r="B6" t="s">
        <v>408</v>
      </c>
      <c r="C6" s="66" t="s">
        <v>60</v>
      </c>
      <c r="D6" t="s">
        <v>228</v>
      </c>
      <c r="G6">
        <v>182375</v>
      </c>
      <c r="I6" t="s">
        <v>392</v>
      </c>
      <c r="J6" t="b">
        <v>1</v>
      </c>
    </row>
    <row r="7" spans="1:10" x14ac:dyDescent="0.25">
      <c r="A7" t="s">
        <v>166</v>
      </c>
      <c r="B7" t="s">
        <v>355</v>
      </c>
      <c r="C7" s="66" t="s">
        <v>60</v>
      </c>
      <c r="D7" t="s">
        <v>296</v>
      </c>
      <c r="E7" t="s">
        <v>297</v>
      </c>
      <c r="G7">
        <v>182376</v>
      </c>
      <c r="I7" t="s">
        <v>395</v>
      </c>
      <c r="J7" t="b">
        <v>0</v>
      </c>
    </row>
    <row r="8" spans="1:10" x14ac:dyDescent="0.25">
      <c r="A8" t="s">
        <v>61</v>
      </c>
      <c r="B8" s="13" t="s">
        <v>386</v>
      </c>
      <c r="C8" s="66" t="s">
        <v>60</v>
      </c>
      <c r="G8">
        <v>182377</v>
      </c>
    </row>
    <row r="9" spans="1:10" x14ac:dyDescent="0.25">
      <c r="A9" t="s">
        <v>84</v>
      </c>
      <c r="C9" s="66" t="s">
        <v>60</v>
      </c>
      <c r="G9">
        <v>182378</v>
      </c>
    </row>
    <row r="10" spans="1:10" x14ac:dyDescent="0.25">
      <c r="A10" t="s">
        <v>287</v>
      </c>
      <c r="B10">
        <v>1</v>
      </c>
      <c r="C10" s="66" t="s">
        <v>60</v>
      </c>
      <c r="E10" s="13"/>
      <c r="G10">
        <v>182379</v>
      </c>
    </row>
    <row r="11" spans="1:10" x14ac:dyDescent="0.25">
      <c r="A11" s="23" t="s">
        <v>290</v>
      </c>
      <c r="B11">
        <v>1</v>
      </c>
      <c r="C11" s="66" t="s">
        <v>60</v>
      </c>
      <c r="G11">
        <v>182380</v>
      </c>
    </row>
    <row r="12" spans="1:10" x14ac:dyDescent="0.25">
      <c r="A12" t="s">
        <v>85</v>
      </c>
      <c r="C12" s="66" t="s">
        <v>60</v>
      </c>
    </row>
    <row r="13" spans="1:10" x14ac:dyDescent="0.25">
      <c r="A13" t="s">
        <v>292</v>
      </c>
      <c r="B13">
        <v>1</v>
      </c>
      <c r="C13" s="66" t="s">
        <v>60</v>
      </c>
    </row>
    <row r="14" spans="1:10" x14ac:dyDescent="0.25">
      <c r="A14" t="s">
        <v>164</v>
      </c>
      <c r="C14" s="66" t="s">
        <v>60</v>
      </c>
    </row>
    <row r="15" spans="1:10" x14ac:dyDescent="0.25">
      <c r="A15" t="s">
        <v>167</v>
      </c>
      <c r="B15" s="13" t="s">
        <v>356</v>
      </c>
      <c r="C15" s="66" t="s">
        <v>60</v>
      </c>
    </row>
    <row r="16" spans="1:10" x14ac:dyDescent="0.25">
      <c r="A16" s="23" t="s">
        <v>288</v>
      </c>
      <c r="B16">
        <f>COUNTIF(BAHANBAKU!$AX$2:$AX$1048576, FALSE)</f>
        <v>0</v>
      </c>
      <c r="C16" s="66" t="s">
        <v>60</v>
      </c>
    </row>
    <row r="17" spans="1:5" x14ac:dyDescent="0.25">
      <c r="A17" s="23" t="s">
        <v>289</v>
      </c>
      <c r="B17">
        <v>1</v>
      </c>
      <c r="C17" s="66" t="s">
        <v>60</v>
      </c>
      <c r="E17" s="13"/>
    </row>
    <row r="18" spans="1:5" x14ac:dyDescent="0.25">
      <c r="A18" t="s">
        <v>291</v>
      </c>
      <c r="B18">
        <v>1</v>
      </c>
      <c r="C18" s="66" t="s">
        <v>60</v>
      </c>
    </row>
    <row r="19" spans="1:5" x14ac:dyDescent="0.25">
      <c r="A19" t="s">
        <v>293</v>
      </c>
      <c r="B19" t="s">
        <v>294</v>
      </c>
      <c r="C19" s="66" t="s">
        <v>60</v>
      </c>
    </row>
    <row r="20" spans="1:5" x14ac:dyDescent="0.25"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A23" sqref="A23"/>
    </sheetView>
  </sheetViews>
  <sheetFormatPr defaultRowHeight="15" x14ac:dyDescent="0.25"/>
  <cols>
    <col min="1" max="1" width="37" bestFit="1" customWidth="1"/>
    <col min="2" max="2" width="34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6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252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41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233</v>
      </c>
      <c r="O7" t="s">
        <v>234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250</v>
      </c>
      <c r="O8" t="s">
        <v>251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253</v>
      </c>
      <c r="O9" t="s">
        <v>254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 t="s">
        <v>232</v>
      </c>
    </row>
    <row r="20" spans="1:3" x14ac:dyDescent="0.25">
      <c r="A20" t="s">
        <v>56</v>
      </c>
      <c r="B20" s="4" t="str">
        <f ca="1">"/PSB/GG/" &amp; C20</f>
        <v>/PSB/GG/V/2024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V/2024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38"/>
  <sheetViews>
    <sheetView workbookViewId="0">
      <selection activeCell="I2" sqref="I2:J38"/>
    </sheetView>
  </sheetViews>
  <sheetFormatPr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9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9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55" t="s">
        <v>225</v>
      </c>
      <c r="B1" s="55" t="s">
        <v>224</v>
      </c>
      <c r="C1" s="55" t="s">
        <v>226</v>
      </c>
      <c r="D1" s="58" t="s">
        <v>227</v>
      </c>
      <c r="G1" s="79" t="s">
        <v>225</v>
      </c>
      <c r="H1" s="79" t="s">
        <v>224</v>
      </c>
      <c r="I1" s="79" t="s">
        <v>226</v>
      </c>
      <c r="J1" s="80" t="s">
        <v>227</v>
      </c>
    </row>
    <row r="2" spans="1:10" x14ac:dyDescent="0.25">
      <c r="B2" s="63">
        <v>380</v>
      </c>
      <c r="C2" s="5" t="s">
        <v>387</v>
      </c>
      <c r="D2" s="59" t="s">
        <v>442</v>
      </c>
      <c r="H2" s="5">
        <v>40</v>
      </c>
      <c r="I2" s="5">
        <v>97003</v>
      </c>
      <c r="J2" s="59" t="s">
        <v>358</v>
      </c>
    </row>
    <row r="3" spans="1:10" x14ac:dyDescent="0.25">
      <c r="B3" s="63">
        <v>217</v>
      </c>
      <c r="C3" s="5" t="s">
        <v>387</v>
      </c>
      <c r="D3" s="59" t="s">
        <v>442</v>
      </c>
      <c r="H3" s="5">
        <v>40</v>
      </c>
      <c r="I3" s="5">
        <v>133804</v>
      </c>
      <c r="J3" s="59" t="s">
        <v>359</v>
      </c>
    </row>
    <row r="4" spans="1:10" x14ac:dyDescent="0.25">
      <c r="H4" s="5">
        <v>40</v>
      </c>
      <c r="I4" s="5">
        <v>90199</v>
      </c>
      <c r="J4" s="59" t="s">
        <v>456</v>
      </c>
    </row>
    <row r="5" spans="1:10" x14ac:dyDescent="0.25">
      <c r="H5" s="5">
        <v>2710542</v>
      </c>
      <c r="J5" s="59" t="s">
        <v>457</v>
      </c>
    </row>
    <row r="6" spans="1:10" x14ac:dyDescent="0.25">
      <c r="H6" s="5">
        <v>40</v>
      </c>
      <c r="I6" s="5">
        <v>41127</v>
      </c>
      <c r="J6" s="59" t="s">
        <v>458</v>
      </c>
    </row>
    <row r="7" spans="1:10" x14ac:dyDescent="0.25">
      <c r="H7" s="5">
        <v>2683802</v>
      </c>
      <c r="J7" s="59" t="s">
        <v>459</v>
      </c>
    </row>
    <row r="8" spans="1:10" x14ac:dyDescent="0.25">
      <c r="H8" s="5">
        <v>40</v>
      </c>
      <c r="I8" s="5">
        <v>99989</v>
      </c>
      <c r="J8" s="59" t="s">
        <v>357</v>
      </c>
    </row>
    <row r="9" spans="1:10" x14ac:dyDescent="0.25">
      <c r="H9" s="5">
        <v>40</v>
      </c>
      <c r="I9" s="5">
        <v>83336</v>
      </c>
      <c r="J9" s="59" t="s">
        <v>360</v>
      </c>
    </row>
    <row r="10" spans="1:10" x14ac:dyDescent="0.25">
      <c r="H10" s="5">
        <v>40</v>
      </c>
      <c r="I10" s="5">
        <v>67455</v>
      </c>
      <c r="J10" s="59" t="s">
        <v>361</v>
      </c>
    </row>
    <row r="11" spans="1:10" x14ac:dyDescent="0.25">
      <c r="H11" s="5">
        <v>40</v>
      </c>
      <c r="I11" s="5">
        <v>702</v>
      </c>
      <c r="J11" s="59" t="s">
        <v>362</v>
      </c>
    </row>
    <row r="12" spans="1:10" x14ac:dyDescent="0.25">
      <c r="H12" s="5">
        <v>27</v>
      </c>
      <c r="I12" s="5">
        <v>495990</v>
      </c>
      <c r="J12" s="59" t="s">
        <v>443</v>
      </c>
    </row>
    <row r="13" spans="1:10" x14ac:dyDescent="0.25">
      <c r="H13" s="5">
        <v>40</v>
      </c>
      <c r="I13" s="5">
        <v>630212</v>
      </c>
      <c r="J13" s="59" t="s">
        <v>363</v>
      </c>
    </row>
    <row r="14" spans="1:10" x14ac:dyDescent="0.25">
      <c r="H14" s="5">
        <v>40</v>
      </c>
      <c r="I14" s="5">
        <v>83341</v>
      </c>
      <c r="J14" s="59" t="s">
        <v>360</v>
      </c>
    </row>
    <row r="15" spans="1:10" x14ac:dyDescent="0.25">
      <c r="H15" s="5">
        <v>40</v>
      </c>
      <c r="I15" s="5">
        <v>87226</v>
      </c>
      <c r="J15" s="59" t="s">
        <v>364</v>
      </c>
    </row>
    <row r="16" spans="1:10" x14ac:dyDescent="0.25">
      <c r="H16" s="5">
        <v>40</v>
      </c>
      <c r="I16" s="5">
        <v>605607</v>
      </c>
      <c r="J16" s="59" t="s">
        <v>365</v>
      </c>
    </row>
    <row r="17" spans="8:10" x14ac:dyDescent="0.25">
      <c r="H17" s="5">
        <v>2730714</v>
      </c>
      <c r="J17" s="59" t="s">
        <v>460</v>
      </c>
    </row>
    <row r="18" spans="8:10" x14ac:dyDescent="0.25">
      <c r="H18" s="5">
        <v>2730716</v>
      </c>
      <c r="J18" s="59" t="s">
        <v>460</v>
      </c>
    </row>
    <row r="19" spans="8:10" x14ac:dyDescent="0.25">
      <c r="H19" s="5">
        <v>40</v>
      </c>
      <c r="I19" s="5">
        <v>4870</v>
      </c>
      <c r="J19" s="59" t="s">
        <v>366</v>
      </c>
    </row>
    <row r="20" spans="8:10" x14ac:dyDescent="0.25">
      <c r="H20" s="5">
        <v>40</v>
      </c>
      <c r="I20" s="5">
        <v>80458</v>
      </c>
      <c r="J20" s="59" t="s">
        <v>367</v>
      </c>
    </row>
    <row r="21" spans="8:10" x14ac:dyDescent="0.25">
      <c r="H21" s="5">
        <v>40</v>
      </c>
      <c r="I21" s="5">
        <v>80463</v>
      </c>
      <c r="J21" s="59" t="s">
        <v>367</v>
      </c>
    </row>
    <row r="22" spans="8:10" x14ac:dyDescent="0.25">
      <c r="H22" s="5">
        <v>40</v>
      </c>
      <c r="I22" s="5">
        <v>82789</v>
      </c>
      <c r="J22" s="59" t="s">
        <v>368</v>
      </c>
    </row>
    <row r="23" spans="8:10" x14ac:dyDescent="0.25">
      <c r="H23" s="5">
        <v>40</v>
      </c>
      <c r="I23" s="5">
        <v>90376</v>
      </c>
      <c r="J23" s="59" t="s">
        <v>369</v>
      </c>
    </row>
    <row r="24" spans="8:10" x14ac:dyDescent="0.25">
      <c r="H24" s="5">
        <v>40</v>
      </c>
      <c r="I24" s="5">
        <v>91623</v>
      </c>
      <c r="J24" s="59" t="s">
        <v>370</v>
      </c>
    </row>
    <row r="25" spans="8:10" x14ac:dyDescent="0.25">
      <c r="H25" s="5">
        <v>40</v>
      </c>
      <c r="I25" s="5">
        <v>95386</v>
      </c>
      <c r="J25" s="59" t="s">
        <v>371</v>
      </c>
    </row>
    <row r="26" spans="8:10" x14ac:dyDescent="0.25">
      <c r="H26" s="5">
        <v>40</v>
      </c>
      <c r="I26" s="5">
        <v>53382</v>
      </c>
      <c r="J26" s="59" t="s">
        <v>372</v>
      </c>
    </row>
    <row r="27" spans="8:10" x14ac:dyDescent="0.25">
      <c r="H27" s="5">
        <v>40</v>
      </c>
      <c r="I27" s="5">
        <v>39735</v>
      </c>
      <c r="J27" s="59" t="s">
        <v>373</v>
      </c>
    </row>
    <row r="28" spans="8:10" x14ac:dyDescent="0.25">
      <c r="H28" s="5">
        <v>40</v>
      </c>
      <c r="I28" s="5">
        <v>915376</v>
      </c>
      <c r="J28" s="59" t="s">
        <v>374</v>
      </c>
    </row>
    <row r="29" spans="8:10" x14ac:dyDescent="0.25">
      <c r="H29" s="5">
        <v>40</v>
      </c>
      <c r="I29" s="5">
        <v>915630</v>
      </c>
      <c r="J29" s="59" t="s">
        <v>375</v>
      </c>
    </row>
    <row r="30" spans="8:10" x14ac:dyDescent="0.25">
      <c r="H30" s="5">
        <v>40</v>
      </c>
      <c r="I30" s="5">
        <v>125626</v>
      </c>
      <c r="J30" s="59" t="s">
        <v>376</v>
      </c>
    </row>
    <row r="31" spans="8:10" x14ac:dyDescent="0.25">
      <c r="H31" s="5">
        <v>40</v>
      </c>
      <c r="I31" s="5">
        <v>604646</v>
      </c>
      <c r="J31" s="59" t="s">
        <v>377</v>
      </c>
    </row>
    <row r="32" spans="8:10" x14ac:dyDescent="0.25">
      <c r="H32" s="5">
        <v>40</v>
      </c>
      <c r="I32" s="5">
        <v>115656</v>
      </c>
      <c r="J32" s="59" t="s">
        <v>378</v>
      </c>
    </row>
    <row r="33" spans="8:10" x14ac:dyDescent="0.25">
      <c r="H33" s="5">
        <v>40</v>
      </c>
      <c r="I33" s="5">
        <v>118945</v>
      </c>
      <c r="J33" s="59" t="s">
        <v>379</v>
      </c>
    </row>
    <row r="34" spans="8:10" x14ac:dyDescent="0.25">
      <c r="H34" s="5">
        <v>40</v>
      </c>
      <c r="I34" s="5">
        <v>131949</v>
      </c>
      <c r="J34" s="59" t="s">
        <v>380</v>
      </c>
    </row>
    <row r="35" spans="8:10" x14ac:dyDescent="0.25">
      <c r="H35" s="5">
        <v>40</v>
      </c>
      <c r="I35" s="5">
        <v>37729</v>
      </c>
      <c r="J35" s="59" t="s">
        <v>381</v>
      </c>
    </row>
    <row r="36" spans="8:10" x14ac:dyDescent="0.25">
      <c r="H36" s="5">
        <v>40</v>
      </c>
      <c r="I36" s="5">
        <v>7444</v>
      </c>
      <c r="J36" s="59" t="s">
        <v>461</v>
      </c>
    </row>
    <row r="37" spans="8:10" x14ac:dyDescent="0.25">
      <c r="H37" s="5">
        <v>40</v>
      </c>
      <c r="I37" s="5">
        <v>126822</v>
      </c>
      <c r="J37" s="59" t="s">
        <v>382</v>
      </c>
    </row>
    <row r="38" spans="8:10" x14ac:dyDescent="0.25">
      <c r="H38" s="5">
        <v>40</v>
      </c>
      <c r="I38" s="5">
        <v>76625</v>
      </c>
      <c r="J38" s="59" t="s">
        <v>383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T13"/>
  <sheetViews>
    <sheetView topLeftCell="Y1" workbookViewId="0">
      <selection activeCell="AH2" sqref="AH2:AH13"/>
    </sheetView>
  </sheetViews>
  <sheetFormatPr defaultRowHeight="15" x14ac:dyDescent="0.25"/>
  <cols>
    <col min="1" max="1" width="13.28515625" bestFit="1" customWidth="1"/>
    <col min="2" max="2" width="14.28515625" bestFit="1" customWidth="1"/>
    <col min="3" max="3" width="10" customWidth="1"/>
    <col min="4" max="4" width="20.85546875" bestFit="1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85546875" bestFit="1" customWidth="1"/>
    <col min="68" max="68" width="24.85546875" customWidth="1"/>
    <col min="69" max="69" width="24.140625" bestFit="1" customWidth="1"/>
    <col min="70" max="70" width="10.42578125" customWidth="1"/>
    <col min="72" max="72" width="13.85546875" bestFit="1" customWidth="1"/>
  </cols>
  <sheetData>
    <row r="1" spans="1:72" ht="15.75" x14ac:dyDescent="0.2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240</v>
      </c>
      <c r="BR1" s="60" t="s">
        <v>388</v>
      </c>
      <c r="BS1" s="60" t="s">
        <v>389</v>
      </c>
      <c r="BT1" s="60" t="s">
        <v>390</v>
      </c>
    </row>
    <row r="2" spans="1:72" x14ac:dyDescent="0.25">
      <c r="B2">
        <v>1</v>
      </c>
      <c r="D2" t="s">
        <v>310</v>
      </c>
      <c r="E2" t="s">
        <v>298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151</v>
      </c>
      <c r="L2" t="s">
        <v>18</v>
      </c>
      <c r="M2">
        <v>10</v>
      </c>
      <c r="T2">
        <v>117.88</v>
      </c>
      <c r="V2">
        <v>0</v>
      </c>
      <c r="Z2">
        <v>0</v>
      </c>
      <c r="AA2">
        <v>0</v>
      </c>
      <c r="AB2">
        <v>0</v>
      </c>
      <c r="AC2">
        <v>0</v>
      </c>
      <c r="AH2">
        <v>6191000</v>
      </c>
      <c r="AI2">
        <v>0</v>
      </c>
      <c r="AK2">
        <v>0</v>
      </c>
      <c r="AM2">
        <v>0</v>
      </c>
      <c r="AN2">
        <v>0</v>
      </c>
      <c r="BJ2">
        <v>0</v>
      </c>
    </row>
    <row r="3" spans="1:72" x14ac:dyDescent="0.25">
      <c r="B3">
        <v>2</v>
      </c>
      <c r="D3" t="s">
        <v>310</v>
      </c>
      <c r="E3" t="s">
        <v>299</v>
      </c>
      <c r="F3" t="s">
        <v>60</v>
      </c>
      <c r="G3" t="s">
        <v>60</v>
      </c>
      <c r="H3" t="s">
        <v>60</v>
      </c>
      <c r="I3" t="s">
        <v>60</v>
      </c>
      <c r="J3" t="s">
        <v>12</v>
      </c>
      <c r="K3">
        <v>158</v>
      </c>
      <c r="V3">
        <v>0</v>
      </c>
      <c r="Z3">
        <v>0</v>
      </c>
      <c r="AA3">
        <v>0</v>
      </c>
      <c r="AB3">
        <v>0</v>
      </c>
      <c r="AC3">
        <v>0</v>
      </c>
      <c r="AH3">
        <v>6478000</v>
      </c>
      <c r="AI3">
        <v>0</v>
      </c>
      <c r="AK3">
        <v>0</v>
      </c>
      <c r="AM3">
        <v>0</v>
      </c>
      <c r="AN3">
        <v>0</v>
      </c>
      <c r="BJ3">
        <v>0</v>
      </c>
      <c r="BP3" t="s">
        <v>462</v>
      </c>
    </row>
    <row r="4" spans="1:72" x14ac:dyDescent="0.25">
      <c r="B4">
        <v>3</v>
      </c>
      <c r="D4" t="s">
        <v>310</v>
      </c>
      <c r="E4" t="s">
        <v>300</v>
      </c>
      <c r="F4" t="s">
        <v>60</v>
      </c>
      <c r="G4" t="s">
        <v>60</v>
      </c>
      <c r="H4" t="s">
        <v>60</v>
      </c>
      <c r="I4" t="s">
        <v>60</v>
      </c>
      <c r="J4" t="s">
        <v>12</v>
      </c>
      <c r="K4">
        <v>70</v>
      </c>
      <c r="V4">
        <v>0</v>
      </c>
      <c r="Z4">
        <v>0</v>
      </c>
      <c r="AA4">
        <v>0</v>
      </c>
      <c r="AB4">
        <v>0</v>
      </c>
      <c r="AC4">
        <v>0</v>
      </c>
      <c r="AH4">
        <v>3675000</v>
      </c>
      <c r="AI4">
        <v>0</v>
      </c>
      <c r="AK4">
        <v>0</v>
      </c>
      <c r="AM4">
        <v>0</v>
      </c>
      <c r="AN4">
        <v>0</v>
      </c>
      <c r="BJ4">
        <v>0</v>
      </c>
      <c r="BP4" t="s">
        <v>462</v>
      </c>
    </row>
    <row r="5" spans="1:72" x14ac:dyDescent="0.25">
      <c r="B5">
        <v>4</v>
      </c>
      <c r="D5" t="s">
        <v>310</v>
      </c>
      <c r="E5" t="s">
        <v>301</v>
      </c>
      <c r="F5" t="s">
        <v>60</v>
      </c>
      <c r="G5" t="s">
        <v>60</v>
      </c>
      <c r="H5" t="s">
        <v>60</v>
      </c>
      <c r="I5" t="s">
        <v>60</v>
      </c>
      <c r="J5" t="s">
        <v>12</v>
      </c>
      <c r="K5">
        <v>70</v>
      </c>
      <c r="V5">
        <v>0</v>
      </c>
      <c r="Z5">
        <v>0</v>
      </c>
      <c r="AA5">
        <v>0</v>
      </c>
      <c r="AB5">
        <v>0</v>
      </c>
      <c r="AC5">
        <v>0</v>
      </c>
      <c r="AH5">
        <v>3675000</v>
      </c>
      <c r="AI5">
        <v>0</v>
      </c>
      <c r="AK5">
        <v>0</v>
      </c>
      <c r="AM5">
        <v>0</v>
      </c>
      <c r="AN5">
        <v>0</v>
      </c>
      <c r="BJ5">
        <v>0</v>
      </c>
      <c r="BP5" t="s">
        <v>462</v>
      </c>
    </row>
    <row r="6" spans="1:72" x14ac:dyDescent="0.25">
      <c r="B6">
        <v>5</v>
      </c>
      <c r="D6" t="s">
        <v>310</v>
      </c>
      <c r="E6" t="s">
        <v>302</v>
      </c>
      <c r="F6" t="s">
        <v>60</v>
      </c>
      <c r="G6" t="s">
        <v>60</v>
      </c>
      <c r="H6" t="s">
        <v>60</v>
      </c>
      <c r="I6" t="s">
        <v>60</v>
      </c>
      <c r="J6" t="s">
        <v>12</v>
      </c>
      <c r="K6">
        <v>116</v>
      </c>
      <c r="V6">
        <v>0</v>
      </c>
      <c r="Z6">
        <v>0</v>
      </c>
      <c r="AA6">
        <v>0</v>
      </c>
      <c r="AB6">
        <v>0</v>
      </c>
      <c r="AC6">
        <v>0</v>
      </c>
      <c r="AH6">
        <v>5510000</v>
      </c>
      <c r="AI6">
        <v>0</v>
      </c>
      <c r="AK6">
        <v>0</v>
      </c>
      <c r="AM6">
        <v>0</v>
      </c>
      <c r="AN6">
        <v>0</v>
      </c>
      <c r="BJ6">
        <v>0</v>
      </c>
      <c r="BP6" t="s">
        <v>462</v>
      </c>
    </row>
    <row r="7" spans="1:72" x14ac:dyDescent="0.25">
      <c r="B7">
        <v>6</v>
      </c>
      <c r="D7" t="s">
        <v>310</v>
      </c>
      <c r="E7" t="s">
        <v>303</v>
      </c>
      <c r="F7" t="s">
        <v>60</v>
      </c>
      <c r="G7" t="s">
        <v>60</v>
      </c>
      <c r="H7" t="s">
        <v>60</v>
      </c>
      <c r="I7" t="s">
        <v>60</v>
      </c>
      <c r="J7" t="s">
        <v>12</v>
      </c>
      <c r="K7">
        <v>116</v>
      </c>
      <c r="V7">
        <v>0</v>
      </c>
      <c r="Z7">
        <v>0</v>
      </c>
      <c r="AA7">
        <v>0</v>
      </c>
      <c r="AB7">
        <v>0</v>
      </c>
      <c r="AC7">
        <v>0</v>
      </c>
      <c r="AH7">
        <v>5510000</v>
      </c>
      <c r="AI7">
        <v>0</v>
      </c>
      <c r="AK7">
        <v>0</v>
      </c>
      <c r="AM7">
        <v>0</v>
      </c>
      <c r="AN7">
        <v>0</v>
      </c>
      <c r="BJ7">
        <v>0</v>
      </c>
      <c r="BP7" t="s">
        <v>462</v>
      </c>
    </row>
    <row r="8" spans="1:72" x14ac:dyDescent="0.25">
      <c r="B8">
        <v>7</v>
      </c>
      <c r="D8" t="s">
        <v>310</v>
      </c>
      <c r="E8" t="s">
        <v>304</v>
      </c>
      <c r="F8" t="s">
        <v>60</v>
      </c>
      <c r="G8" t="s">
        <v>60</v>
      </c>
      <c r="H8" t="s">
        <v>60</v>
      </c>
      <c r="I8" t="s">
        <v>60</v>
      </c>
      <c r="J8" t="s">
        <v>12</v>
      </c>
      <c r="K8">
        <v>122</v>
      </c>
      <c r="V8">
        <v>0</v>
      </c>
      <c r="Z8">
        <v>0</v>
      </c>
      <c r="AA8">
        <v>0</v>
      </c>
      <c r="AB8">
        <v>0</v>
      </c>
      <c r="AC8">
        <v>0</v>
      </c>
      <c r="AH8">
        <v>7930000</v>
      </c>
      <c r="AI8">
        <v>0</v>
      </c>
      <c r="AK8">
        <v>0</v>
      </c>
      <c r="AM8">
        <v>0</v>
      </c>
      <c r="AN8">
        <v>0</v>
      </c>
      <c r="BJ8">
        <v>0</v>
      </c>
      <c r="BP8" t="s">
        <v>462</v>
      </c>
    </row>
    <row r="9" spans="1:72" x14ac:dyDescent="0.25">
      <c r="B9">
        <v>8</v>
      </c>
      <c r="D9" t="s">
        <v>310</v>
      </c>
      <c r="E9" t="s">
        <v>305</v>
      </c>
      <c r="F9" t="s">
        <v>60</v>
      </c>
      <c r="G9" t="s">
        <v>60</v>
      </c>
      <c r="H9" t="s">
        <v>60</v>
      </c>
      <c r="I9" t="s">
        <v>60</v>
      </c>
      <c r="J9" t="s">
        <v>12</v>
      </c>
      <c r="K9">
        <v>125</v>
      </c>
      <c r="V9">
        <v>0</v>
      </c>
      <c r="Z9">
        <v>0</v>
      </c>
      <c r="AA9">
        <v>0</v>
      </c>
      <c r="AB9">
        <v>0</v>
      </c>
      <c r="AC9">
        <v>0</v>
      </c>
      <c r="AH9">
        <v>8125000</v>
      </c>
      <c r="AI9">
        <v>0</v>
      </c>
      <c r="AK9">
        <v>0</v>
      </c>
      <c r="AM9">
        <v>0</v>
      </c>
      <c r="AN9">
        <v>0</v>
      </c>
      <c r="BJ9">
        <v>0</v>
      </c>
      <c r="BP9" t="s">
        <v>462</v>
      </c>
    </row>
    <row r="10" spans="1:72" x14ac:dyDescent="0.25">
      <c r="B10">
        <v>9</v>
      </c>
      <c r="D10" t="s">
        <v>310</v>
      </c>
      <c r="E10" t="s">
        <v>306</v>
      </c>
      <c r="F10" t="s">
        <v>60</v>
      </c>
      <c r="G10" t="s">
        <v>60</v>
      </c>
      <c r="H10" t="s">
        <v>60</v>
      </c>
      <c r="I10" t="s">
        <v>60</v>
      </c>
      <c r="J10" t="s">
        <v>12</v>
      </c>
      <c r="K10">
        <v>75</v>
      </c>
      <c r="V10">
        <v>0</v>
      </c>
      <c r="Z10">
        <v>0</v>
      </c>
      <c r="AA10">
        <v>0</v>
      </c>
      <c r="AB10">
        <v>0</v>
      </c>
      <c r="AC10">
        <v>0</v>
      </c>
      <c r="AH10">
        <v>4125000</v>
      </c>
      <c r="AI10">
        <v>0</v>
      </c>
      <c r="AK10">
        <v>0</v>
      </c>
      <c r="AM10">
        <v>0</v>
      </c>
      <c r="AN10">
        <v>0</v>
      </c>
      <c r="BJ10">
        <v>0</v>
      </c>
      <c r="BP10" t="s">
        <v>462</v>
      </c>
    </row>
    <row r="11" spans="1:72" x14ac:dyDescent="0.25">
      <c r="B11">
        <v>10</v>
      </c>
      <c r="D11" t="s">
        <v>310</v>
      </c>
      <c r="E11" t="s">
        <v>307</v>
      </c>
      <c r="F11" t="s">
        <v>60</v>
      </c>
      <c r="G11" t="s">
        <v>60</v>
      </c>
      <c r="H11" t="s">
        <v>60</v>
      </c>
      <c r="I11" t="s">
        <v>60</v>
      </c>
      <c r="J11" t="s">
        <v>12</v>
      </c>
      <c r="K11">
        <v>78</v>
      </c>
      <c r="V11">
        <v>0</v>
      </c>
      <c r="Z11">
        <v>0</v>
      </c>
      <c r="AA11">
        <v>0</v>
      </c>
      <c r="AB11">
        <v>0</v>
      </c>
      <c r="AC11">
        <v>0</v>
      </c>
      <c r="AH11">
        <v>4290000</v>
      </c>
      <c r="AI11">
        <v>0</v>
      </c>
      <c r="AK11">
        <v>0</v>
      </c>
      <c r="AM11">
        <v>0</v>
      </c>
      <c r="AN11">
        <v>0</v>
      </c>
      <c r="BJ11">
        <v>0</v>
      </c>
      <c r="BP11" t="s">
        <v>462</v>
      </c>
    </row>
    <row r="12" spans="1:72" x14ac:dyDescent="0.25">
      <c r="B12">
        <v>11</v>
      </c>
      <c r="D12" t="s">
        <v>310</v>
      </c>
      <c r="E12" t="s">
        <v>308</v>
      </c>
      <c r="F12" t="s">
        <v>60</v>
      </c>
      <c r="G12" t="s">
        <v>60</v>
      </c>
      <c r="H12" t="s">
        <v>60</v>
      </c>
      <c r="I12" t="s">
        <v>60</v>
      </c>
      <c r="J12" t="s">
        <v>12</v>
      </c>
      <c r="K12">
        <v>165</v>
      </c>
      <c r="V12">
        <v>0</v>
      </c>
      <c r="Z12">
        <v>0</v>
      </c>
      <c r="AA12">
        <v>0</v>
      </c>
      <c r="AB12">
        <v>0</v>
      </c>
      <c r="AC12">
        <v>0</v>
      </c>
      <c r="AH12">
        <v>9075000</v>
      </c>
      <c r="AI12">
        <v>0</v>
      </c>
      <c r="AK12">
        <v>0</v>
      </c>
      <c r="AM12">
        <v>0</v>
      </c>
      <c r="AN12">
        <v>0</v>
      </c>
      <c r="BJ12">
        <v>0</v>
      </c>
      <c r="BP12" t="s">
        <v>462</v>
      </c>
    </row>
    <row r="13" spans="1:72" x14ac:dyDescent="0.25">
      <c r="B13">
        <v>12</v>
      </c>
      <c r="D13" t="s">
        <v>310</v>
      </c>
      <c r="E13" t="s">
        <v>309</v>
      </c>
      <c r="F13" t="s">
        <v>60</v>
      </c>
      <c r="G13" t="s">
        <v>60</v>
      </c>
      <c r="H13" t="s">
        <v>60</v>
      </c>
      <c r="I13" t="s">
        <v>60</v>
      </c>
      <c r="J13" t="s">
        <v>12</v>
      </c>
      <c r="K13">
        <v>164</v>
      </c>
      <c r="V13">
        <v>0</v>
      </c>
      <c r="Z13">
        <v>0</v>
      </c>
      <c r="AA13">
        <v>0</v>
      </c>
      <c r="AB13">
        <v>0</v>
      </c>
      <c r="AC13">
        <v>0</v>
      </c>
      <c r="AH13">
        <v>9020000</v>
      </c>
      <c r="AI13">
        <v>0</v>
      </c>
      <c r="AK13">
        <v>0</v>
      </c>
      <c r="AM13">
        <v>0</v>
      </c>
      <c r="AN13">
        <v>0</v>
      </c>
      <c r="BJ13">
        <v>0</v>
      </c>
      <c r="BP13" t="s">
        <v>462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BA657"/>
  <sheetViews>
    <sheetView workbookViewId="0">
      <pane xSplit="3" ySplit="1" topLeftCell="V2" activePane="bottomRight" state="frozen"/>
      <selection pane="topRight" activeCell="D1" sqref="D1"/>
      <selection pane="bottomLeft" activeCell="A2" sqref="A2"/>
      <selection pane="bottomRight" activeCell="AB2" sqref="AB2:AB93"/>
    </sheetView>
  </sheetViews>
  <sheetFormatPr defaultRowHeight="15" x14ac:dyDescent="0.25"/>
  <cols>
    <col min="1" max="1" width="28.140625" style="5" customWidth="1"/>
    <col min="2" max="2" width="15.5703125" style="5" customWidth="1"/>
    <col min="3" max="3" width="20" style="5" customWidth="1"/>
    <col min="4" max="4" width="27.42578125" style="5" customWidth="1"/>
    <col min="5" max="5" width="11.140625" style="5" customWidth="1"/>
    <col min="6" max="6" width="16.7109375" style="5" customWidth="1"/>
    <col min="7" max="7" width="62.5703125" style="5" customWidth="1"/>
    <col min="8" max="8" width="8.85546875" style="5" customWidth="1"/>
    <col min="9" max="9" width="5" style="5" bestFit="1" customWidth="1"/>
    <col min="10" max="10" width="9.42578125" style="5" bestFit="1" customWidth="1"/>
    <col min="11" max="11" width="16.7109375" style="5" bestFit="1" customWidth="1"/>
    <col min="12" max="12" width="15.28515625" style="5" bestFit="1" customWidth="1"/>
    <col min="13" max="13" width="18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3.28515625" style="5" bestFit="1" customWidth="1"/>
    <col min="19" max="19" width="24.7109375" style="5" bestFit="1" customWidth="1"/>
    <col min="20" max="20" width="27.5703125" style="5" customWidth="1"/>
    <col min="21" max="21" width="20" style="5" bestFit="1" customWidth="1"/>
    <col min="22" max="22" width="9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0.7109375" style="5" bestFit="1" customWidth="1"/>
    <col min="30" max="30" width="10.5703125" style="5" bestFit="1" customWidth="1"/>
    <col min="31" max="31" width="9.5703125" style="5" bestFit="1" customWidth="1"/>
    <col min="32" max="32" width="8.285156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3.425781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1.28515625" style="5" bestFit="1" customWidth="1"/>
    <col min="48" max="48" width="31" style="5" bestFit="1" customWidth="1"/>
    <col min="49" max="49" width="43.85546875" style="5" bestFit="1" customWidth="1"/>
    <col min="50" max="51" width="11.28515625" style="5" customWidth="1"/>
    <col min="52" max="52" width="21.7109375" style="5" bestFit="1" customWidth="1"/>
    <col min="53" max="53" width="12.140625" style="5" bestFit="1" customWidth="1"/>
    <col min="54" max="16384" width="9.140625" style="5"/>
  </cols>
  <sheetData>
    <row r="1" spans="1:53" s="72" customFormat="1" ht="15.75" x14ac:dyDescent="0.25">
      <c r="A1" s="74" t="s">
        <v>171</v>
      </c>
      <c r="B1" s="74" t="s">
        <v>99</v>
      </c>
      <c r="C1" s="74" t="s">
        <v>241</v>
      </c>
      <c r="D1" s="74" t="s">
        <v>69</v>
      </c>
      <c r="E1" s="74" t="s">
        <v>100</v>
      </c>
      <c r="F1" s="74" t="s">
        <v>94</v>
      </c>
      <c r="G1" s="74" t="s">
        <v>101</v>
      </c>
      <c r="H1" s="74" t="s">
        <v>172</v>
      </c>
      <c r="I1" s="74" t="s">
        <v>173</v>
      </c>
      <c r="J1" s="74" t="s">
        <v>174</v>
      </c>
      <c r="K1" s="74" t="s">
        <v>175</v>
      </c>
      <c r="L1" s="74" t="s">
        <v>102</v>
      </c>
      <c r="M1" s="74" t="s">
        <v>103</v>
      </c>
      <c r="N1" s="74" t="s">
        <v>104</v>
      </c>
      <c r="O1" s="74" t="s">
        <v>105</v>
      </c>
      <c r="P1" s="74" t="s">
        <v>176</v>
      </c>
      <c r="Q1" s="74" t="s">
        <v>177</v>
      </c>
      <c r="R1" s="74" t="s">
        <v>178</v>
      </c>
      <c r="S1" s="74" t="s">
        <v>179</v>
      </c>
      <c r="T1" s="74" t="s">
        <v>180</v>
      </c>
      <c r="U1" s="74" t="s">
        <v>181</v>
      </c>
      <c r="V1" s="74" t="s">
        <v>106</v>
      </c>
      <c r="W1" s="74" t="s">
        <v>182</v>
      </c>
      <c r="X1" s="74" t="s">
        <v>183</v>
      </c>
      <c r="Y1" s="74" t="s">
        <v>19</v>
      </c>
      <c r="Z1" s="74" t="s">
        <v>187</v>
      </c>
      <c r="AA1" s="74" t="s">
        <v>188</v>
      </c>
      <c r="AB1" s="74" t="s">
        <v>126</v>
      </c>
      <c r="AC1" s="74" t="s">
        <v>194</v>
      </c>
      <c r="AD1" s="74" t="s">
        <v>199</v>
      </c>
      <c r="AE1" s="74" t="s">
        <v>212</v>
      </c>
      <c r="AF1" s="74" t="s">
        <v>242</v>
      </c>
      <c r="AG1" s="74" t="s">
        <v>215</v>
      </c>
      <c r="AH1" s="74" t="s">
        <v>216</v>
      </c>
      <c r="AI1" s="74" t="s">
        <v>217</v>
      </c>
      <c r="AJ1" s="74" t="s">
        <v>218</v>
      </c>
      <c r="AK1" s="74" t="s">
        <v>219</v>
      </c>
      <c r="AL1" s="74" t="s">
        <v>220</v>
      </c>
      <c r="AM1" s="74" t="s">
        <v>221</v>
      </c>
      <c r="AN1" s="74" t="s">
        <v>222</v>
      </c>
      <c r="AO1" s="74" t="s">
        <v>223</v>
      </c>
      <c r="AP1" s="71" t="s">
        <v>60</v>
      </c>
      <c r="AQ1" s="81" t="s">
        <v>240</v>
      </c>
      <c r="AR1" s="75" t="s">
        <v>283</v>
      </c>
      <c r="AS1" s="75" t="s">
        <v>385</v>
      </c>
      <c r="AT1" s="75" t="s">
        <v>284</v>
      </c>
      <c r="AU1" s="76" t="s">
        <v>285</v>
      </c>
      <c r="AV1" s="75" t="s">
        <v>286</v>
      </c>
      <c r="AW1" s="75" t="s">
        <v>384</v>
      </c>
      <c r="AX1" s="76" t="s">
        <v>282</v>
      </c>
      <c r="AY1" s="82"/>
      <c r="AZ1" s="82"/>
      <c r="BA1" s="82"/>
    </row>
    <row r="2" spans="1:53" x14ac:dyDescent="0.25">
      <c r="A2" s="13" t="s">
        <v>386</v>
      </c>
      <c r="C2" s="5">
        <v>1</v>
      </c>
      <c r="D2" s="5">
        <v>1</v>
      </c>
      <c r="E2" s="5">
        <v>52081900</v>
      </c>
      <c r="F2" s="5">
        <v>274799</v>
      </c>
      <c r="G2" s="5" t="s">
        <v>311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27</v>
      </c>
      <c r="M2" s="5">
        <v>18.8</v>
      </c>
      <c r="P2" s="5">
        <v>40</v>
      </c>
      <c r="Q2" s="5" t="s">
        <v>80</v>
      </c>
      <c r="R2" s="59">
        <v>97003</v>
      </c>
      <c r="S2" s="78" t="s">
        <v>358</v>
      </c>
      <c r="T2" s="59" t="s">
        <v>327</v>
      </c>
      <c r="U2" s="77"/>
      <c r="V2" s="5">
        <v>0</v>
      </c>
      <c r="Y2" s="5">
        <v>0</v>
      </c>
      <c r="Z2" s="5">
        <v>0</v>
      </c>
      <c r="AA2" s="5">
        <v>0</v>
      </c>
      <c r="AB2" s="5">
        <v>2255257.02</v>
      </c>
      <c r="AC2" s="5">
        <v>0</v>
      </c>
      <c r="AD2" s="5">
        <v>0</v>
      </c>
      <c r="AE2" s="5">
        <v>0</v>
      </c>
      <c r="AQ2" s="5">
        <v>182375</v>
      </c>
    </row>
    <row r="3" spans="1:53" x14ac:dyDescent="0.25">
      <c r="A3" s="13" t="s">
        <v>386</v>
      </c>
      <c r="C3" s="5">
        <v>1</v>
      </c>
      <c r="D3" s="5">
        <v>1</v>
      </c>
      <c r="E3" s="5">
        <v>52081900</v>
      </c>
      <c r="F3" s="5">
        <v>275340</v>
      </c>
      <c r="G3" s="5" t="s">
        <v>312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27</v>
      </c>
      <c r="M3" s="5">
        <v>18.8</v>
      </c>
      <c r="P3" s="5">
        <v>40</v>
      </c>
      <c r="Q3" s="5" t="s">
        <v>80</v>
      </c>
      <c r="R3" s="59">
        <v>133804</v>
      </c>
      <c r="S3" s="78" t="s">
        <v>359</v>
      </c>
      <c r="T3" s="59" t="s">
        <v>328</v>
      </c>
      <c r="U3" s="77"/>
      <c r="V3" s="5">
        <v>0</v>
      </c>
      <c r="Y3" s="5">
        <v>0</v>
      </c>
      <c r="Z3" s="5">
        <v>0</v>
      </c>
      <c r="AA3" s="5">
        <v>0</v>
      </c>
      <c r="AB3" s="5">
        <v>2255257.02</v>
      </c>
      <c r="AC3" s="5">
        <v>0</v>
      </c>
      <c r="AD3" s="5">
        <v>0</v>
      </c>
      <c r="AE3" s="5">
        <v>0</v>
      </c>
      <c r="AQ3" s="5">
        <v>182375</v>
      </c>
    </row>
    <row r="4" spans="1:53" x14ac:dyDescent="0.25">
      <c r="A4" s="13" t="s">
        <v>386</v>
      </c>
      <c r="C4" s="5">
        <v>2</v>
      </c>
      <c r="D4" s="5">
        <v>1</v>
      </c>
      <c r="E4" s="5">
        <v>54011090</v>
      </c>
      <c r="F4" s="5">
        <v>170528</v>
      </c>
      <c r="G4" s="5" t="s">
        <v>444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14</v>
      </c>
      <c r="M4" s="5">
        <v>0</v>
      </c>
      <c r="P4" s="5">
        <v>40</v>
      </c>
      <c r="Q4" s="5" t="s">
        <v>80</v>
      </c>
      <c r="R4" s="59">
        <v>90199</v>
      </c>
      <c r="S4" s="78" t="s">
        <v>456</v>
      </c>
      <c r="T4" s="59" t="s">
        <v>449</v>
      </c>
      <c r="U4" s="77"/>
      <c r="V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Q4" s="5">
        <v>182375</v>
      </c>
    </row>
    <row r="5" spans="1:53" x14ac:dyDescent="0.25">
      <c r="A5" s="13" t="s">
        <v>386</v>
      </c>
      <c r="C5" s="5">
        <v>3</v>
      </c>
      <c r="D5" s="5">
        <v>1</v>
      </c>
      <c r="E5" s="5" t="s">
        <v>443</v>
      </c>
      <c r="F5" s="5">
        <v>173758</v>
      </c>
      <c r="G5" s="5" t="s">
        <v>445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14</v>
      </c>
      <c r="M5" s="5">
        <v>0</v>
      </c>
      <c r="P5" s="5">
        <v>2710542</v>
      </c>
      <c r="Q5" s="5" t="s">
        <v>80</v>
      </c>
      <c r="R5" s="59"/>
      <c r="S5" s="78" t="s">
        <v>457</v>
      </c>
      <c r="T5" s="59" t="s">
        <v>450</v>
      </c>
      <c r="U5" s="77"/>
      <c r="V5" s="5">
        <v>0</v>
      </c>
      <c r="Y5" s="5">
        <v>0</v>
      </c>
      <c r="Z5" s="5">
        <v>0</v>
      </c>
      <c r="AA5" s="5">
        <v>0</v>
      </c>
      <c r="AB5" s="5" t="e">
        <v>#VALUE!</v>
      </c>
      <c r="AC5" s="5">
        <v>0</v>
      </c>
      <c r="AD5" s="5">
        <v>0</v>
      </c>
      <c r="AE5" s="5">
        <v>0</v>
      </c>
      <c r="AQ5" s="5">
        <v>182375</v>
      </c>
    </row>
    <row r="6" spans="1:53" x14ac:dyDescent="0.25">
      <c r="A6" s="13" t="s">
        <v>386</v>
      </c>
      <c r="C6" s="5">
        <v>4</v>
      </c>
      <c r="D6" s="5">
        <v>1</v>
      </c>
      <c r="E6" s="5">
        <v>54011090</v>
      </c>
      <c r="F6" s="5">
        <v>241659</v>
      </c>
      <c r="G6" s="5" t="s">
        <v>446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14</v>
      </c>
      <c r="M6" s="5">
        <v>0</v>
      </c>
      <c r="P6" s="5">
        <v>40</v>
      </c>
      <c r="Q6" s="5" t="s">
        <v>80</v>
      </c>
      <c r="R6" s="59">
        <v>41127</v>
      </c>
      <c r="S6" s="78" t="s">
        <v>458</v>
      </c>
      <c r="T6" s="59" t="s">
        <v>451</v>
      </c>
      <c r="U6" s="77"/>
      <c r="V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Q6" s="5">
        <v>182375</v>
      </c>
    </row>
    <row r="7" spans="1:53" x14ac:dyDescent="0.25">
      <c r="A7" s="13" t="s">
        <v>386</v>
      </c>
      <c r="C7" s="5">
        <v>5</v>
      </c>
      <c r="D7" s="5">
        <v>1</v>
      </c>
      <c r="E7" s="5" t="s">
        <v>443</v>
      </c>
      <c r="F7" s="5">
        <v>248283</v>
      </c>
      <c r="G7" s="5" t="s">
        <v>447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59</v>
      </c>
      <c r="M7" s="5">
        <v>0.02</v>
      </c>
      <c r="P7" s="5">
        <v>2683802</v>
      </c>
      <c r="Q7" s="5" t="s">
        <v>80</v>
      </c>
      <c r="R7" s="59"/>
      <c r="S7" s="78" t="s">
        <v>459</v>
      </c>
      <c r="T7" s="59" t="s">
        <v>452</v>
      </c>
      <c r="U7" s="77"/>
      <c r="V7" s="5">
        <v>0</v>
      </c>
      <c r="Y7" s="5">
        <v>0</v>
      </c>
      <c r="Z7" s="5">
        <v>0</v>
      </c>
      <c r="AA7" s="5">
        <v>0</v>
      </c>
      <c r="AB7" s="5" t="e">
        <v>#VALUE!</v>
      </c>
      <c r="AC7" s="5">
        <v>0</v>
      </c>
      <c r="AD7" s="5">
        <v>0</v>
      </c>
      <c r="AE7" s="5">
        <v>0</v>
      </c>
      <c r="AQ7" s="5">
        <v>182375</v>
      </c>
    </row>
    <row r="8" spans="1:53" x14ac:dyDescent="0.25">
      <c r="A8" s="13" t="s">
        <v>386</v>
      </c>
      <c r="C8" s="5">
        <v>6</v>
      </c>
      <c r="D8" s="5">
        <v>1</v>
      </c>
      <c r="F8" s="5">
        <v>248283</v>
      </c>
      <c r="G8" s="5" t="s">
        <v>313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59</v>
      </c>
      <c r="M8" s="5">
        <v>0.01</v>
      </c>
      <c r="P8" s="5">
        <v>40</v>
      </c>
      <c r="Q8" s="5" t="s">
        <v>80</v>
      </c>
      <c r="R8" s="59">
        <v>99989</v>
      </c>
      <c r="S8" s="78" t="s">
        <v>357</v>
      </c>
      <c r="T8" s="59" t="s">
        <v>329</v>
      </c>
      <c r="U8" s="77"/>
      <c r="V8" s="5">
        <v>0</v>
      </c>
      <c r="Y8" s="5">
        <v>0</v>
      </c>
      <c r="Z8" s="5">
        <v>0</v>
      </c>
      <c r="AA8" s="5">
        <v>0</v>
      </c>
      <c r="AB8" s="5">
        <v>305</v>
      </c>
      <c r="AC8" s="5">
        <v>0</v>
      </c>
      <c r="AD8" s="5">
        <v>0</v>
      </c>
      <c r="AE8" s="5">
        <v>0</v>
      </c>
      <c r="AQ8" s="5">
        <v>182375</v>
      </c>
    </row>
    <row r="9" spans="1:53" x14ac:dyDescent="0.25">
      <c r="A9" s="13" t="s">
        <v>386</v>
      </c>
      <c r="C9" s="5">
        <v>7</v>
      </c>
      <c r="D9" s="5">
        <v>1</v>
      </c>
      <c r="E9" s="5">
        <v>58062090</v>
      </c>
      <c r="F9" s="5">
        <v>248283</v>
      </c>
      <c r="G9" s="5" t="s">
        <v>313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59</v>
      </c>
      <c r="M9" s="5">
        <v>0.02</v>
      </c>
      <c r="P9" s="5">
        <v>40</v>
      </c>
      <c r="Q9" s="5" t="s">
        <v>80</v>
      </c>
      <c r="R9" s="59">
        <v>83336</v>
      </c>
      <c r="S9" s="78" t="s">
        <v>360</v>
      </c>
      <c r="T9" s="59" t="s">
        <v>330</v>
      </c>
      <c r="U9" s="77"/>
      <c r="V9" s="5">
        <v>0</v>
      </c>
      <c r="Y9" s="5">
        <v>0</v>
      </c>
      <c r="Z9" s="5">
        <v>0</v>
      </c>
      <c r="AA9" s="5">
        <v>0</v>
      </c>
      <c r="AB9" s="5">
        <v>640</v>
      </c>
      <c r="AC9" s="5">
        <v>0</v>
      </c>
      <c r="AD9" s="5">
        <v>0</v>
      </c>
      <c r="AE9" s="5">
        <v>0</v>
      </c>
      <c r="AQ9" s="5">
        <v>182375</v>
      </c>
    </row>
    <row r="10" spans="1:53" x14ac:dyDescent="0.25">
      <c r="A10" s="13" t="s">
        <v>386</v>
      </c>
      <c r="C10" s="5">
        <v>8</v>
      </c>
      <c r="D10" s="5">
        <v>1</v>
      </c>
      <c r="E10" s="5">
        <v>58062090</v>
      </c>
      <c r="F10" s="5">
        <v>248283</v>
      </c>
      <c r="G10" s="5" t="s">
        <v>313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59</v>
      </c>
      <c r="M10" s="5">
        <v>0.02</v>
      </c>
      <c r="P10" s="5">
        <v>40</v>
      </c>
      <c r="Q10" s="5" t="s">
        <v>80</v>
      </c>
      <c r="R10" s="59">
        <v>67455</v>
      </c>
      <c r="S10" s="78" t="s">
        <v>361</v>
      </c>
      <c r="T10" s="59" t="s">
        <v>331</v>
      </c>
      <c r="U10" s="77"/>
      <c r="V10" s="5">
        <v>0</v>
      </c>
      <c r="Y10" s="5">
        <v>0</v>
      </c>
      <c r="Z10" s="5">
        <v>0</v>
      </c>
      <c r="AA10" s="5">
        <v>0</v>
      </c>
      <c r="AB10" s="5">
        <v>640</v>
      </c>
      <c r="AC10" s="5">
        <v>0</v>
      </c>
      <c r="AD10" s="5">
        <v>0</v>
      </c>
      <c r="AE10" s="5">
        <v>0</v>
      </c>
      <c r="AQ10" s="5">
        <v>182375</v>
      </c>
    </row>
    <row r="11" spans="1:53" x14ac:dyDescent="0.25">
      <c r="A11" s="13" t="s">
        <v>386</v>
      </c>
      <c r="C11" s="5">
        <v>9</v>
      </c>
      <c r="D11" s="5">
        <v>1</v>
      </c>
      <c r="E11" s="5">
        <v>58062090</v>
      </c>
      <c r="F11" s="5">
        <v>248283</v>
      </c>
      <c r="G11" s="5" t="s">
        <v>314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59</v>
      </c>
      <c r="M11" s="5">
        <v>0.02</v>
      </c>
      <c r="P11" s="5">
        <v>40</v>
      </c>
      <c r="Q11" s="5" t="s">
        <v>80</v>
      </c>
      <c r="R11" s="59">
        <v>702</v>
      </c>
      <c r="S11" s="78" t="s">
        <v>362</v>
      </c>
      <c r="T11" s="59" t="s">
        <v>332</v>
      </c>
      <c r="U11" s="77"/>
      <c r="V11" s="5">
        <v>0</v>
      </c>
      <c r="Y11" s="5">
        <v>0</v>
      </c>
      <c r="Z11" s="5">
        <v>0</v>
      </c>
      <c r="AA11" s="5">
        <v>0</v>
      </c>
      <c r="AB11" s="5">
        <v>640</v>
      </c>
      <c r="AC11" s="5">
        <v>0</v>
      </c>
      <c r="AD11" s="5">
        <v>0</v>
      </c>
      <c r="AE11" s="5">
        <v>0</v>
      </c>
      <c r="AQ11" s="5">
        <v>182375</v>
      </c>
    </row>
    <row r="12" spans="1:53" x14ac:dyDescent="0.25">
      <c r="A12" s="13" t="s">
        <v>386</v>
      </c>
      <c r="C12" s="5">
        <v>10</v>
      </c>
      <c r="D12" s="5">
        <v>1</v>
      </c>
      <c r="E12" s="5" t="s">
        <v>443</v>
      </c>
      <c r="F12" s="5">
        <v>284496</v>
      </c>
      <c r="G12" s="5" t="s">
        <v>443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443</v>
      </c>
      <c r="M12" s="5">
        <v>0</v>
      </c>
      <c r="P12" s="5">
        <v>27</v>
      </c>
      <c r="Q12" s="5" t="s">
        <v>80</v>
      </c>
      <c r="R12" s="59">
        <v>495990</v>
      </c>
      <c r="S12" s="78" t="s">
        <v>443</v>
      </c>
      <c r="T12" s="59" t="s">
        <v>443</v>
      </c>
      <c r="U12" s="77"/>
      <c r="V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Q12" s="5">
        <v>182375</v>
      </c>
    </row>
    <row r="13" spans="1:53" x14ac:dyDescent="0.25">
      <c r="A13" s="13" t="s">
        <v>386</v>
      </c>
      <c r="C13" s="5">
        <v>11</v>
      </c>
      <c r="D13" s="5">
        <v>1</v>
      </c>
      <c r="E13" s="5">
        <v>48211090</v>
      </c>
      <c r="F13" s="5">
        <v>297274</v>
      </c>
      <c r="G13" s="5" t="s">
        <v>315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12</v>
      </c>
      <c r="M13" s="5">
        <v>400</v>
      </c>
      <c r="P13" s="5">
        <v>40</v>
      </c>
      <c r="Q13" s="5" t="s">
        <v>80</v>
      </c>
      <c r="R13" s="59">
        <v>630212</v>
      </c>
      <c r="S13" s="78" t="s">
        <v>363</v>
      </c>
      <c r="T13" s="59" t="s">
        <v>333</v>
      </c>
      <c r="U13" s="77"/>
      <c r="V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Q13" s="5">
        <v>182375</v>
      </c>
    </row>
    <row r="14" spans="1:53" x14ac:dyDescent="0.25">
      <c r="A14" s="13" t="s">
        <v>386</v>
      </c>
      <c r="C14" s="5">
        <v>12</v>
      </c>
      <c r="D14" s="5">
        <v>1</v>
      </c>
      <c r="E14" s="5">
        <v>48211090</v>
      </c>
      <c r="F14" s="5">
        <v>297275</v>
      </c>
      <c r="G14" s="5" t="s">
        <v>316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12</v>
      </c>
      <c r="M14" s="5">
        <v>60</v>
      </c>
      <c r="P14" s="5">
        <v>40</v>
      </c>
      <c r="Q14" s="5" t="s">
        <v>80</v>
      </c>
      <c r="R14" s="59">
        <v>630212</v>
      </c>
      <c r="S14" s="78" t="s">
        <v>363</v>
      </c>
      <c r="T14" s="59" t="s">
        <v>333</v>
      </c>
      <c r="U14" s="77"/>
      <c r="V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Q14" s="5">
        <v>182375</v>
      </c>
    </row>
    <row r="15" spans="1:53" x14ac:dyDescent="0.25">
      <c r="A15" s="13" t="s">
        <v>386</v>
      </c>
      <c r="C15" s="5">
        <v>13</v>
      </c>
      <c r="D15" s="5">
        <v>1</v>
      </c>
      <c r="E15" s="5">
        <v>48211090</v>
      </c>
      <c r="F15" s="5">
        <v>297276</v>
      </c>
      <c r="G15" s="5" t="s">
        <v>317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12</v>
      </c>
      <c r="M15" s="5">
        <v>140</v>
      </c>
      <c r="P15" s="5">
        <v>40</v>
      </c>
      <c r="Q15" s="5" t="s">
        <v>80</v>
      </c>
      <c r="R15" s="59">
        <v>630212</v>
      </c>
      <c r="S15" s="78" t="s">
        <v>363</v>
      </c>
      <c r="T15" s="59" t="s">
        <v>333</v>
      </c>
      <c r="U15" s="77"/>
      <c r="V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Q15" s="5">
        <v>182375</v>
      </c>
    </row>
    <row r="16" spans="1:53" x14ac:dyDescent="0.25">
      <c r="A16" s="13" t="s">
        <v>386</v>
      </c>
      <c r="C16" s="5">
        <v>14</v>
      </c>
      <c r="D16" s="5">
        <v>1</v>
      </c>
      <c r="E16" s="5">
        <v>48211090</v>
      </c>
      <c r="F16" s="5">
        <v>297277</v>
      </c>
      <c r="G16" s="5" t="s">
        <v>318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12</v>
      </c>
      <c r="M16" s="5">
        <v>100</v>
      </c>
      <c r="P16" s="5">
        <v>40</v>
      </c>
      <c r="Q16" s="5" t="s">
        <v>80</v>
      </c>
      <c r="R16" s="59">
        <v>630212</v>
      </c>
      <c r="S16" s="78" t="s">
        <v>363</v>
      </c>
      <c r="T16" s="59" t="s">
        <v>333</v>
      </c>
      <c r="U16" s="77"/>
      <c r="V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Q16" s="5">
        <v>182375</v>
      </c>
    </row>
    <row r="17" spans="1:43" x14ac:dyDescent="0.25">
      <c r="A17" s="13" t="s">
        <v>386</v>
      </c>
      <c r="C17" s="5">
        <v>15</v>
      </c>
      <c r="D17" s="5">
        <v>1</v>
      </c>
      <c r="E17" s="5">
        <v>48211090</v>
      </c>
      <c r="F17" s="5">
        <v>297278</v>
      </c>
      <c r="G17" s="5" t="s">
        <v>319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12</v>
      </c>
      <c r="M17" s="5">
        <v>100</v>
      </c>
      <c r="P17" s="5">
        <v>40</v>
      </c>
      <c r="Q17" s="5" t="s">
        <v>80</v>
      </c>
      <c r="R17" s="59">
        <v>630212</v>
      </c>
      <c r="S17" s="78" t="s">
        <v>363</v>
      </c>
      <c r="T17" s="59" t="s">
        <v>333</v>
      </c>
      <c r="U17" s="77"/>
      <c r="V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Q17" s="5">
        <v>182375</v>
      </c>
    </row>
    <row r="18" spans="1:43" x14ac:dyDescent="0.25">
      <c r="A18" s="13" t="s">
        <v>386</v>
      </c>
      <c r="C18" s="5">
        <v>16</v>
      </c>
      <c r="D18" s="5">
        <v>1</v>
      </c>
      <c r="E18" s="5">
        <v>52081900</v>
      </c>
      <c r="F18" s="5">
        <v>274799</v>
      </c>
      <c r="G18" s="5" t="s">
        <v>311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27</v>
      </c>
      <c r="M18" s="5">
        <v>11.6</v>
      </c>
      <c r="P18" s="5">
        <v>40</v>
      </c>
      <c r="Q18" s="5" t="s">
        <v>80</v>
      </c>
      <c r="R18" s="59">
        <v>97003</v>
      </c>
      <c r="S18" s="78" t="s">
        <v>358</v>
      </c>
      <c r="T18" s="59" t="s">
        <v>327</v>
      </c>
      <c r="U18" s="77"/>
      <c r="V18" s="5">
        <v>0</v>
      </c>
      <c r="Y18" s="5">
        <v>0</v>
      </c>
      <c r="Z18" s="5">
        <v>0</v>
      </c>
      <c r="AA18" s="5">
        <v>0</v>
      </c>
      <c r="AB18" s="5">
        <v>1391541.57</v>
      </c>
      <c r="AC18" s="5">
        <v>0</v>
      </c>
      <c r="AD18" s="5">
        <v>0</v>
      </c>
      <c r="AE18" s="5">
        <v>0</v>
      </c>
      <c r="AQ18" s="5">
        <v>182376</v>
      </c>
    </row>
    <row r="19" spans="1:43" x14ac:dyDescent="0.25">
      <c r="A19" s="13" t="s">
        <v>386</v>
      </c>
      <c r="C19" s="5">
        <v>1</v>
      </c>
      <c r="D19" s="5">
        <v>1</v>
      </c>
      <c r="E19" s="5">
        <v>52081900</v>
      </c>
      <c r="F19" s="5">
        <v>275340</v>
      </c>
      <c r="G19" s="5" t="s">
        <v>312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27</v>
      </c>
      <c r="M19" s="5">
        <v>11.6</v>
      </c>
      <c r="P19" s="5">
        <v>40</v>
      </c>
      <c r="Q19" s="5" t="s">
        <v>80</v>
      </c>
      <c r="R19" s="59">
        <v>133804</v>
      </c>
      <c r="S19" s="78" t="s">
        <v>359</v>
      </c>
      <c r="T19" s="59" t="s">
        <v>328</v>
      </c>
      <c r="U19" s="77"/>
      <c r="V19" s="5">
        <v>0</v>
      </c>
      <c r="Y19" s="5">
        <v>0</v>
      </c>
      <c r="Z19" s="5">
        <v>0</v>
      </c>
      <c r="AA19" s="5">
        <v>0</v>
      </c>
      <c r="AB19" s="5">
        <v>1391541.57</v>
      </c>
      <c r="AC19" s="5">
        <v>0</v>
      </c>
      <c r="AD19" s="5">
        <v>0</v>
      </c>
      <c r="AE19" s="5">
        <v>0</v>
      </c>
      <c r="AQ19" s="5">
        <v>182376</v>
      </c>
    </row>
    <row r="20" spans="1:43" x14ac:dyDescent="0.25">
      <c r="A20" s="13" t="s">
        <v>386</v>
      </c>
      <c r="C20" s="5">
        <v>2</v>
      </c>
      <c r="D20" s="5">
        <v>1</v>
      </c>
      <c r="E20" s="5">
        <v>54011090</v>
      </c>
      <c r="F20" s="5">
        <v>170528</v>
      </c>
      <c r="G20" s="5" t="s">
        <v>444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14</v>
      </c>
      <c r="M20" s="5">
        <v>0</v>
      </c>
      <c r="P20" s="5">
        <v>40</v>
      </c>
      <c r="Q20" s="5" t="s">
        <v>80</v>
      </c>
      <c r="R20" s="59">
        <v>90199</v>
      </c>
      <c r="S20" s="78" t="s">
        <v>456</v>
      </c>
      <c r="T20" s="59" t="s">
        <v>449</v>
      </c>
      <c r="U20" s="77"/>
      <c r="V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Q20" s="5">
        <v>182376</v>
      </c>
    </row>
    <row r="21" spans="1:43" x14ac:dyDescent="0.25">
      <c r="A21" s="13" t="s">
        <v>386</v>
      </c>
      <c r="C21" s="5">
        <v>3</v>
      </c>
      <c r="D21" s="5">
        <v>1</v>
      </c>
      <c r="E21" s="5" t="s">
        <v>443</v>
      </c>
      <c r="F21" s="5">
        <v>173758</v>
      </c>
      <c r="G21" s="5" t="s">
        <v>445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14</v>
      </c>
      <c r="M21" s="5">
        <v>0</v>
      </c>
      <c r="P21" s="5">
        <v>2710542</v>
      </c>
      <c r="Q21" s="5" t="s">
        <v>80</v>
      </c>
      <c r="R21" s="59"/>
      <c r="S21" s="78" t="s">
        <v>457</v>
      </c>
      <c r="T21" s="59" t="s">
        <v>450</v>
      </c>
      <c r="U21" s="77"/>
      <c r="V21" s="5">
        <v>0</v>
      </c>
      <c r="Y21" s="5">
        <v>0</v>
      </c>
      <c r="Z21" s="5">
        <v>0</v>
      </c>
      <c r="AA21" s="5">
        <v>0</v>
      </c>
      <c r="AB21" s="5" t="e">
        <v>#VALUE!</v>
      </c>
      <c r="AC21" s="5">
        <v>0</v>
      </c>
      <c r="AD21" s="5">
        <v>0</v>
      </c>
      <c r="AE21" s="5">
        <v>0</v>
      </c>
      <c r="AQ21" s="5">
        <v>182376</v>
      </c>
    </row>
    <row r="22" spans="1:43" x14ac:dyDescent="0.25">
      <c r="A22" s="13" t="s">
        <v>386</v>
      </c>
      <c r="C22" s="5">
        <v>4</v>
      </c>
      <c r="D22" s="5">
        <v>1</v>
      </c>
      <c r="E22" s="5">
        <v>54011090</v>
      </c>
      <c r="F22" s="5">
        <v>241659</v>
      </c>
      <c r="G22" s="5" t="s">
        <v>446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14</v>
      </c>
      <c r="M22" s="5">
        <v>0</v>
      </c>
      <c r="P22" s="5">
        <v>40</v>
      </c>
      <c r="Q22" s="5" t="s">
        <v>80</v>
      </c>
      <c r="R22" s="59">
        <v>41127</v>
      </c>
      <c r="S22" s="78" t="s">
        <v>458</v>
      </c>
      <c r="T22" s="59" t="s">
        <v>451</v>
      </c>
      <c r="U22" s="77"/>
      <c r="V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Q22" s="5">
        <v>182376</v>
      </c>
    </row>
    <row r="23" spans="1:43" x14ac:dyDescent="0.25">
      <c r="A23" s="13" t="s">
        <v>386</v>
      </c>
      <c r="C23" s="5">
        <v>5</v>
      </c>
      <c r="D23" s="5">
        <v>1</v>
      </c>
      <c r="E23" s="5">
        <v>58062090</v>
      </c>
      <c r="F23" s="5">
        <v>262938</v>
      </c>
      <c r="G23" s="5" t="s">
        <v>320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59</v>
      </c>
      <c r="M23" s="5">
        <v>0.79</v>
      </c>
      <c r="P23" s="5">
        <v>40</v>
      </c>
      <c r="Q23" s="5" t="s">
        <v>80</v>
      </c>
      <c r="R23" s="59">
        <v>83341</v>
      </c>
      <c r="S23" s="78" t="s">
        <v>360</v>
      </c>
      <c r="T23" s="59" t="s">
        <v>334</v>
      </c>
      <c r="U23" s="77"/>
      <c r="V23" s="5">
        <v>0</v>
      </c>
      <c r="Y23" s="5">
        <v>0</v>
      </c>
      <c r="Z23" s="5">
        <v>0</v>
      </c>
      <c r="AA23" s="5">
        <v>0</v>
      </c>
      <c r="AB23" s="5">
        <v>32390</v>
      </c>
      <c r="AC23" s="5">
        <v>0</v>
      </c>
      <c r="AD23" s="5">
        <v>0</v>
      </c>
      <c r="AE23" s="5">
        <v>0</v>
      </c>
      <c r="AQ23" s="5">
        <v>182376</v>
      </c>
    </row>
    <row r="24" spans="1:43" x14ac:dyDescent="0.25">
      <c r="A24" s="13" t="s">
        <v>386</v>
      </c>
      <c r="C24" s="5">
        <v>6</v>
      </c>
      <c r="D24" s="5">
        <v>1</v>
      </c>
      <c r="E24" s="5">
        <v>58061090</v>
      </c>
      <c r="F24" s="5">
        <v>262938</v>
      </c>
      <c r="G24" s="5" t="s">
        <v>320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59</v>
      </c>
      <c r="M24" s="5">
        <v>0.4</v>
      </c>
      <c r="P24" s="5">
        <v>40</v>
      </c>
      <c r="Q24" s="5" t="s">
        <v>80</v>
      </c>
      <c r="R24" s="59">
        <v>87226</v>
      </c>
      <c r="S24" s="78" t="s">
        <v>364</v>
      </c>
      <c r="T24" s="67" t="s">
        <v>335</v>
      </c>
      <c r="U24" s="77"/>
      <c r="V24" s="5">
        <v>0</v>
      </c>
      <c r="Y24" s="5">
        <v>0</v>
      </c>
      <c r="Z24" s="5">
        <v>0</v>
      </c>
      <c r="AA24" s="5">
        <v>0</v>
      </c>
      <c r="AB24" s="5">
        <v>16400</v>
      </c>
      <c r="AC24" s="5">
        <v>0</v>
      </c>
      <c r="AD24" s="5">
        <v>0</v>
      </c>
      <c r="AE24" s="5">
        <v>0</v>
      </c>
      <c r="AQ24" s="5">
        <v>182376</v>
      </c>
    </row>
    <row r="25" spans="1:43" x14ac:dyDescent="0.25">
      <c r="A25" s="13" t="s">
        <v>386</v>
      </c>
      <c r="C25" s="5">
        <v>7</v>
      </c>
      <c r="D25" s="5">
        <v>1</v>
      </c>
      <c r="E25" s="5">
        <v>58062090</v>
      </c>
      <c r="F25" s="5">
        <v>262938</v>
      </c>
      <c r="G25" s="5" t="s">
        <v>321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59</v>
      </c>
      <c r="M25" s="5">
        <v>0.78</v>
      </c>
      <c r="P25" s="5">
        <v>40</v>
      </c>
      <c r="Q25" s="5" t="s">
        <v>80</v>
      </c>
      <c r="R25" s="59">
        <v>605607</v>
      </c>
      <c r="S25" s="78" t="s">
        <v>365</v>
      </c>
      <c r="T25" s="59" t="s">
        <v>336</v>
      </c>
      <c r="U25" s="77"/>
      <c r="V25" s="5">
        <v>0</v>
      </c>
      <c r="Y25" s="5">
        <v>0</v>
      </c>
      <c r="Z25" s="5">
        <v>0</v>
      </c>
      <c r="AA25" s="5">
        <v>0</v>
      </c>
      <c r="AB25" s="5">
        <v>31980</v>
      </c>
      <c r="AC25" s="5">
        <v>0</v>
      </c>
      <c r="AD25" s="5">
        <v>0</v>
      </c>
      <c r="AE25" s="5">
        <v>0</v>
      </c>
      <c r="AQ25" s="5">
        <v>182376</v>
      </c>
    </row>
    <row r="26" spans="1:43" x14ac:dyDescent="0.25">
      <c r="A26" s="13" t="s">
        <v>386</v>
      </c>
      <c r="C26" s="5">
        <v>8</v>
      </c>
      <c r="D26" s="5">
        <v>1</v>
      </c>
      <c r="E26" s="5">
        <v>48211090</v>
      </c>
      <c r="F26" s="5">
        <v>297274</v>
      </c>
      <c r="G26" s="5" t="s">
        <v>315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12</v>
      </c>
      <c r="M26" s="5">
        <v>200</v>
      </c>
      <c r="P26" s="5">
        <v>40</v>
      </c>
      <c r="Q26" s="5" t="s">
        <v>80</v>
      </c>
      <c r="R26" s="59">
        <v>630212</v>
      </c>
      <c r="S26" s="78" t="s">
        <v>363</v>
      </c>
      <c r="T26" s="59" t="s">
        <v>333</v>
      </c>
      <c r="U26" s="77"/>
      <c r="V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Q26" s="5">
        <v>182376</v>
      </c>
    </row>
    <row r="27" spans="1:43" x14ac:dyDescent="0.25">
      <c r="A27" s="13" t="s">
        <v>386</v>
      </c>
      <c r="C27" s="5">
        <v>9</v>
      </c>
      <c r="D27" s="5">
        <v>1</v>
      </c>
      <c r="E27" s="5">
        <v>48211090</v>
      </c>
      <c r="F27" s="5">
        <v>297275</v>
      </c>
      <c r="G27" s="5" t="s">
        <v>316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12</v>
      </c>
      <c r="M27" s="5">
        <v>30</v>
      </c>
      <c r="P27" s="5">
        <v>40</v>
      </c>
      <c r="Q27" s="5" t="s">
        <v>80</v>
      </c>
      <c r="R27" s="59">
        <v>630212</v>
      </c>
      <c r="S27" s="78" t="s">
        <v>363</v>
      </c>
      <c r="T27" s="59" t="s">
        <v>333</v>
      </c>
      <c r="U27" s="77"/>
      <c r="V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Q27" s="5">
        <v>182376</v>
      </c>
    </row>
    <row r="28" spans="1:43" x14ac:dyDescent="0.25">
      <c r="A28" s="13" t="s">
        <v>386</v>
      </c>
      <c r="C28" s="5">
        <v>10</v>
      </c>
      <c r="D28" s="5">
        <v>1</v>
      </c>
      <c r="E28" s="5">
        <v>48211090</v>
      </c>
      <c r="F28" s="5">
        <v>297276</v>
      </c>
      <c r="G28" s="5" t="s">
        <v>317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12</v>
      </c>
      <c r="M28" s="5">
        <v>70</v>
      </c>
      <c r="P28" s="5">
        <v>40</v>
      </c>
      <c r="Q28" s="5" t="s">
        <v>80</v>
      </c>
      <c r="R28" s="59">
        <v>630212</v>
      </c>
      <c r="S28" s="78" t="s">
        <v>363</v>
      </c>
      <c r="T28" s="59" t="s">
        <v>333</v>
      </c>
      <c r="U28" s="77"/>
      <c r="V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Q28" s="5">
        <v>182376</v>
      </c>
    </row>
    <row r="29" spans="1:43" x14ac:dyDescent="0.25">
      <c r="A29" s="13" t="s">
        <v>386</v>
      </c>
      <c r="C29" s="5">
        <v>11</v>
      </c>
      <c r="D29" s="5">
        <v>1</v>
      </c>
      <c r="E29" s="5">
        <v>48211090</v>
      </c>
      <c r="F29" s="5">
        <v>297277</v>
      </c>
      <c r="G29" s="5" t="s">
        <v>318</v>
      </c>
      <c r="H29" s="5" t="s">
        <v>60</v>
      </c>
      <c r="I29" s="5" t="s">
        <v>60</v>
      </c>
      <c r="J29" s="5" t="s">
        <v>60</v>
      </c>
      <c r="K29" s="5" t="s">
        <v>60</v>
      </c>
      <c r="L29" s="5" t="s">
        <v>12</v>
      </c>
      <c r="M29" s="5">
        <v>50</v>
      </c>
      <c r="P29" s="5">
        <v>40</v>
      </c>
      <c r="Q29" s="5" t="s">
        <v>80</v>
      </c>
      <c r="R29" s="59">
        <v>630212</v>
      </c>
      <c r="S29" s="78" t="s">
        <v>363</v>
      </c>
      <c r="T29" s="59" t="s">
        <v>333</v>
      </c>
      <c r="U29" s="77"/>
      <c r="V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Q29" s="5">
        <v>182376</v>
      </c>
    </row>
    <row r="30" spans="1:43" x14ac:dyDescent="0.25">
      <c r="A30" s="13" t="s">
        <v>386</v>
      </c>
      <c r="C30" s="5">
        <v>12</v>
      </c>
      <c r="D30" s="5">
        <v>1</v>
      </c>
      <c r="E30" s="5">
        <v>48211090</v>
      </c>
      <c r="F30" s="5">
        <v>297278</v>
      </c>
      <c r="G30" s="5" t="s">
        <v>319</v>
      </c>
      <c r="H30" s="5" t="s">
        <v>60</v>
      </c>
      <c r="I30" s="5" t="s">
        <v>60</v>
      </c>
      <c r="J30" s="5" t="s">
        <v>60</v>
      </c>
      <c r="K30" s="5" t="s">
        <v>60</v>
      </c>
      <c r="L30" s="5" t="s">
        <v>12</v>
      </c>
      <c r="M30" s="5">
        <v>50</v>
      </c>
      <c r="P30" s="5">
        <v>40</v>
      </c>
      <c r="Q30" s="5" t="s">
        <v>80</v>
      </c>
      <c r="R30" s="59">
        <v>630212</v>
      </c>
      <c r="S30" s="78" t="s">
        <v>363</v>
      </c>
      <c r="T30" s="59" t="s">
        <v>333</v>
      </c>
      <c r="U30" s="77"/>
      <c r="V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Q30" s="5">
        <v>182376</v>
      </c>
    </row>
    <row r="31" spans="1:43" x14ac:dyDescent="0.25">
      <c r="A31" s="13" t="s">
        <v>386</v>
      </c>
      <c r="C31" s="5">
        <v>13</v>
      </c>
      <c r="D31" s="5">
        <v>1</v>
      </c>
      <c r="E31" s="5">
        <v>52081900</v>
      </c>
      <c r="F31" s="5">
        <v>274799</v>
      </c>
      <c r="G31" s="5" t="s">
        <v>311</v>
      </c>
      <c r="H31" s="5" t="s">
        <v>60</v>
      </c>
      <c r="I31" s="5" t="s">
        <v>60</v>
      </c>
      <c r="J31" s="5" t="s">
        <v>60</v>
      </c>
      <c r="K31" s="5" t="s">
        <v>60</v>
      </c>
      <c r="L31" s="5" t="s">
        <v>27</v>
      </c>
      <c r="M31" s="5">
        <v>12</v>
      </c>
      <c r="P31" s="5">
        <v>40</v>
      </c>
      <c r="Q31" s="5" t="s">
        <v>80</v>
      </c>
      <c r="R31" s="59">
        <v>97003</v>
      </c>
      <c r="S31" s="78" t="s">
        <v>358</v>
      </c>
      <c r="T31" s="59" t="s">
        <v>327</v>
      </c>
      <c r="U31" s="77"/>
      <c r="V31" s="5">
        <v>0</v>
      </c>
      <c r="Y31" s="5">
        <v>0</v>
      </c>
      <c r="Z31" s="5">
        <v>0</v>
      </c>
      <c r="AA31" s="5">
        <v>0</v>
      </c>
      <c r="AB31" s="5">
        <v>1439525.76</v>
      </c>
      <c r="AC31" s="5">
        <v>0</v>
      </c>
      <c r="AD31" s="5">
        <v>0</v>
      </c>
      <c r="AE31" s="5">
        <v>0</v>
      </c>
      <c r="AQ31" s="5">
        <v>182377</v>
      </c>
    </row>
    <row r="32" spans="1:43" x14ac:dyDescent="0.25">
      <c r="A32" s="13" t="s">
        <v>386</v>
      </c>
      <c r="C32" s="5">
        <v>1</v>
      </c>
      <c r="D32" s="5">
        <v>1</v>
      </c>
      <c r="E32" s="5">
        <v>52081900</v>
      </c>
      <c r="F32" s="5">
        <v>275340</v>
      </c>
      <c r="G32" s="5" t="s">
        <v>312</v>
      </c>
      <c r="H32" s="5" t="s">
        <v>60</v>
      </c>
      <c r="I32" s="5" t="s">
        <v>60</v>
      </c>
      <c r="J32" s="5" t="s">
        <v>60</v>
      </c>
      <c r="K32" s="5" t="s">
        <v>60</v>
      </c>
      <c r="L32" s="5" t="s">
        <v>27</v>
      </c>
      <c r="M32" s="5">
        <v>12</v>
      </c>
      <c r="P32" s="5">
        <v>40</v>
      </c>
      <c r="Q32" s="5" t="s">
        <v>80</v>
      </c>
      <c r="R32" s="59">
        <v>133804</v>
      </c>
      <c r="S32" s="78" t="s">
        <v>359</v>
      </c>
      <c r="T32" s="59" t="s">
        <v>328</v>
      </c>
      <c r="U32" s="77"/>
      <c r="V32" s="5">
        <v>0</v>
      </c>
      <c r="Y32" s="5">
        <v>0</v>
      </c>
      <c r="Z32" s="5">
        <v>0</v>
      </c>
      <c r="AA32" s="5">
        <v>0</v>
      </c>
      <c r="AB32" s="5">
        <v>1439525.76</v>
      </c>
      <c r="AC32" s="5">
        <v>0</v>
      </c>
      <c r="AD32" s="5">
        <v>0</v>
      </c>
      <c r="AE32" s="5">
        <v>0</v>
      </c>
      <c r="AQ32" s="5">
        <v>182377</v>
      </c>
    </row>
    <row r="33" spans="1:43" x14ac:dyDescent="0.25">
      <c r="A33" s="13" t="s">
        <v>386</v>
      </c>
      <c r="C33" s="5">
        <v>2</v>
      </c>
      <c r="D33" s="5">
        <v>1</v>
      </c>
      <c r="E33" s="5" t="s">
        <v>443</v>
      </c>
      <c r="F33" s="5">
        <v>173758</v>
      </c>
      <c r="G33" s="5" t="s">
        <v>445</v>
      </c>
      <c r="H33" s="5" t="s">
        <v>60</v>
      </c>
      <c r="I33" s="5" t="s">
        <v>60</v>
      </c>
      <c r="J33" s="5" t="s">
        <v>60</v>
      </c>
      <c r="K33" s="5" t="s">
        <v>60</v>
      </c>
      <c r="L33" s="5" t="s">
        <v>14</v>
      </c>
      <c r="M33" s="5">
        <v>0</v>
      </c>
      <c r="P33" s="5">
        <v>2710542</v>
      </c>
      <c r="Q33" s="5" t="s">
        <v>80</v>
      </c>
      <c r="R33" s="59"/>
      <c r="S33" s="78" t="s">
        <v>457</v>
      </c>
      <c r="T33" s="59" t="s">
        <v>450</v>
      </c>
      <c r="U33" s="77"/>
      <c r="V33" s="5">
        <v>0</v>
      </c>
      <c r="Y33" s="5">
        <v>0</v>
      </c>
      <c r="Z33" s="5">
        <v>0</v>
      </c>
      <c r="AA33" s="5">
        <v>0</v>
      </c>
      <c r="AB33" s="5" t="e">
        <v>#VALUE!</v>
      </c>
      <c r="AC33" s="5">
        <v>0</v>
      </c>
      <c r="AD33" s="5">
        <v>0</v>
      </c>
      <c r="AE33" s="5">
        <v>0</v>
      </c>
      <c r="AQ33" s="5">
        <v>182377</v>
      </c>
    </row>
    <row r="34" spans="1:43" x14ac:dyDescent="0.25">
      <c r="A34" s="13" t="s">
        <v>386</v>
      </c>
      <c r="C34" s="5">
        <v>3</v>
      </c>
      <c r="D34" s="5">
        <v>1</v>
      </c>
      <c r="E34" s="5">
        <v>54011090</v>
      </c>
      <c r="F34" s="5">
        <v>241659</v>
      </c>
      <c r="G34" s="5" t="s">
        <v>446</v>
      </c>
      <c r="H34" s="5" t="s">
        <v>60</v>
      </c>
      <c r="I34" s="5" t="s">
        <v>60</v>
      </c>
      <c r="J34" s="5" t="s">
        <v>60</v>
      </c>
      <c r="K34" s="5" t="s">
        <v>60</v>
      </c>
      <c r="L34" s="5" t="s">
        <v>14</v>
      </c>
      <c r="M34" s="5">
        <v>0</v>
      </c>
      <c r="P34" s="5">
        <v>40</v>
      </c>
      <c r="Q34" s="5" t="s">
        <v>80</v>
      </c>
      <c r="R34" s="59">
        <v>41127</v>
      </c>
      <c r="S34" s="78" t="s">
        <v>458</v>
      </c>
      <c r="T34" s="59" t="s">
        <v>451</v>
      </c>
      <c r="U34" s="77"/>
      <c r="V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Q34" s="5">
        <v>182377</v>
      </c>
    </row>
    <row r="35" spans="1:43" x14ac:dyDescent="0.25">
      <c r="A35" s="13" t="s">
        <v>386</v>
      </c>
      <c r="C35" s="5">
        <v>4</v>
      </c>
      <c r="D35" s="5">
        <v>1</v>
      </c>
      <c r="E35" s="5" t="s">
        <v>443</v>
      </c>
      <c r="F35" s="5">
        <v>262938</v>
      </c>
      <c r="G35" s="5" t="s">
        <v>447</v>
      </c>
      <c r="H35" s="5" t="s">
        <v>60</v>
      </c>
      <c r="I35" s="5" t="s">
        <v>60</v>
      </c>
      <c r="J35" s="5" t="s">
        <v>60</v>
      </c>
      <c r="K35" s="5" t="s">
        <v>60</v>
      </c>
      <c r="L35" s="5" t="s">
        <v>59</v>
      </c>
      <c r="M35" s="5">
        <v>0.01</v>
      </c>
      <c r="P35" s="5">
        <v>2730714</v>
      </c>
      <c r="Q35" s="5" t="s">
        <v>80</v>
      </c>
      <c r="R35" s="59"/>
      <c r="S35" s="78" t="s">
        <v>460</v>
      </c>
      <c r="T35" s="59" t="s">
        <v>453</v>
      </c>
      <c r="U35" s="77"/>
      <c r="V35" s="5">
        <v>0</v>
      </c>
      <c r="Y35" s="5">
        <v>0</v>
      </c>
      <c r="Z35" s="5">
        <v>0</v>
      </c>
      <c r="AA35" s="5">
        <v>0</v>
      </c>
      <c r="AB35" s="5" t="e">
        <v>#VALUE!</v>
      </c>
      <c r="AC35" s="5">
        <v>0</v>
      </c>
      <c r="AD35" s="5">
        <v>0</v>
      </c>
      <c r="AE35" s="5">
        <v>0</v>
      </c>
      <c r="AQ35" s="5">
        <v>182377</v>
      </c>
    </row>
    <row r="36" spans="1:43" x14ac:dyDescent="0.25">
      <c r="A36" s="13" t="s">
        <v>386</v>
      </c>
      <c r="C36" s="5">
        <v>5</v>
      </c>
      <c r="D36" s="5">
        <v>1</v>
      </c>
      <c r="E36" s="5" t="s">
        <v>443</v>
      </c>
      <c r="F36" s="5">
        <v>262938</v>
      </c>
      <c r="G36" s="5" t="s">
        <v>447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59</v>
      </c>
      <c r="M36" s="5">
        <v>0.01</v>
      </c>
      <c r="P36" s="5">
        <v>2730716</v>
      </c>
      <c r="Q36" s="5" t="s">
        <v>80</v>
      </c>
      <c r="R36" s="59"/>
      <c r="S36" s="78" t="s">
        <v>460</v>
      </c>
      <c r="T36" s="59" t="s">
        <v>453</v>
      </c>
      <c r="U36" s="77"/>
      <c r="V36" s="5">
        <v>0</v>
      </c>
      <c r="Y36" s="5">
        <v>0</v>
      </c>
      <c r="Z36" s="5">
        <v>0</v>
      </c>
      <c r="AA36" s="5">
        <v>0</v>
      </c>
      <c r="AB36" s="5" t="e">
        <v>#VALUE!</v>
      </c>
      <c r="AC36" s="5">
        <v>0</v>
      </c>
      <c r="AD36" s="5">
        <v>0</v>
      </c>
      <c r="AE36" s="5">
        <v>0</v>
      </c>
      <c r="AQ36" s="5">
        <v>182377</v>
      </c>
    </row>
    <row r="37" spans="1:43" x14ac:dyDescent="0.25">
      <c r="A37" s="13" t="s">
        <v>386</v>
      </c>
      <c r="C37" s="5">
        <v>6</v>
      </c>
      <c r="D37" s="5">
        <v>1</v>
      </c>
      <c r="F37" s="5">
        <v>262938</v>
      </c>
      <c r="G37" s="5" t="s">
        <v>322</v>
      </c>
      <c r="H37" s="5" t="s">
        <v>60</v>
      </c>
      <c r="I37" s="5" t="s">
        <v>60</v>
      </c>
      <c r="J37" s="5" t="s">
        <v>60</v>
      </c>
      <c r="K37" s="5" t="s">
        <v>60</v>
      </c>
      <c r="L37" s="5" t="s">
        <v>59</v>
      </c>
      <c r="M37" s="5">
        <v>0.01</v>
      </c>
      <c r="P37" s="5">
        <v>40</v>
      </c>
      <c r="Q37" s="5" t="s">
        <v>80</v>
      </c>
      <c r="R37" s="59">
        <v>4870</v>
      </c>
      <c r="S37" s="78" t="s">
        <v>366</v>
      </c>
      <c r="T37" s="59" t="s">
        <v>337</v>
      </c>
      <c r="U37" s="77"/>
      <c r="V37" s="5">
        <v>0</v>
      </c>
      <c r="Y37" s="5">
        <v>0</v>
      </c>
      <c r="Z37" s="5">
        <v>0</v>
      </c>
      <c r="AA37" s="5">
        <v>0</v>
      </c>
      <c r="AB37" s="5">
        <v>390</v>
      </c>
      <c r="AC37" s="5">
        <v>0</v>
      </c>
      <c r="AD37" s="5">
        <v>0</v>
      </c>
      <c r="AE37" s="5">
        <v>0</v>
      </c>
      <c r="AQ37" s="5">
        <v>182377</v>
      </c>
    </row>
    <row r="38" spans="1:43" x14ac:dyDescent="0.25">
      <c r="A38" s="13" t="s">
        <v>386</v>
      </c>
      <c r="C38" s="5">
        <v>7</v>
      </c>
      <c r="D38" s="5">
        <v>1</v>
      </c>
      <c r="E38" s="5">
        <v>58062090</v>
      </c>
      <c r="F38" s="5">
        <v>262938</v>
      </c>
      <c r="G38" s="5" t="s">
        <v>320</v>
      </c>
      <c r="H38" s="5" t="s">
        <v>60</v>
      </c>
      <c r="I38" s="5" t="s">
        <v>60</v>
      </c>
      <c r="J38" s="5" t="s">
        <v>60</v>
      </c>
      <c r="K38" s="5" t="s">
        <v>60</v>
      </c>
      <c r="L38" s="5" t="s">
        <v>59</v>
      </c>
      <c r="M38" s="5">
        <v>0.04</v>
      </c>
      <c r="P38" s="5">
        <v>40</v>
      </c>
      <c r="Q38" s="5" t="s">
        <v>80</v>
      </c>
      <c r="R38" s="59">
        <v>80458</v>
      </c>
      <c r="S38" s="78" t="s">
        <v>367</v>
      </c>
      <c r="T38" s="59" t="s">
        <v>338</v>
      </c>
      <c r="U38" s="77"/>
      <c r="V38" s="5">
        <v>0</v>
      </c>
      <c r="Y38" s="5">
        <v>0</v>
      </c>
      <c r="Z38" s="5">
        <v>0</v>
      </c>
      <c r="AA38" s="5">
        <v>0</v>
      </c>
      <c r="AB38" s="5">
        <v>1640</v>
      </c>
      <c r="AC38" s="5">
        <v>0</v>
      </c>
      <c r="AD38" s="5">
        <v>0</v>
      </c>
      <c r="AE38" s="5">
        <v>0</v>
      </c>
      <c r="AQ38" s="5">
        <v>182377</v>
      </c>
    </row>
    <row r="39" spans="1:43" x14ac:dyDescent="0.25">
      <c r="A39" s="13" t="s">
        <v>386</v>
      </c>
      <c r="C39" s="5">
        <v>8</v>
      </c>
      <c r="D39" s="5">
        <v>1</v>
      </c>
      <c r="E39" s="5">
        <v>58062090</v>
      </c>
      <c r="F39" s="5">
        <v>262938</v>
      </c>
      <c r="G39" s="5" t="s">
        <v>320</v>
      </c>
      <c r="H39" s="5" t="s">
        <v>60</v>
      </c>
      <c r="I39" s="5" t="s">
        <v>60</v>
      </c>
      <c r="J39" s="5" t="s">
        <v>60</v>
      </c>
      <c r="K39" s="5" t="s">
        <v>60</v>
      </c>
      <c r="L39" s="5" t="s">
        <v>59</v>
      </c>
      <c r="M39" s="5">
        <v>0</v>
      </c>
      <c r="P39" s="5">
        <v>40</v>
      </c>
      <c r="Q39" s="5" t="s">
        <v>80</v>
      </c>
      <c r="R39" s="59">
        <v>80463</v>
      </c>
      <c r="S39" s="78" t="s">
        <v>367</v>
      </c>
      <c r="T39" s="59" t="s">
        <v>454</v>
      </c>
      <c r="U39" s="77"/>
      <c r="V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Q39" s="5">
        <v>182377</v>
      </c>
    </row>
    <row r="40" spans="1:43" x14ac:dyDescent="0.25">
      <c r="A40" s="13" t="s">
        <v>386</v>
      </c>
      <c r="C40" s="5">
        <v>9</v>
      </c>
      <c r="D40" s="5">
        <v>1</v>
      </c>
      <c r="E40" s="5">
        <v>58062090</v>
      </c>
      <c r="F40" s="5">
        <v>262938</v>
      </c>
      <c r="G40" s="5" t="s">
        <v>320</v>
      </c>
      <c r="H40" s="5" t="s">
        <v>60</v>
      </c>
      <c r="I40" s="5" t="s">
        <v>60</v>
      </c>
      <c r="J40" s="5" t="s">
        <v>60</v>
      </c>
      <c r="K40" s="5" t="s">
        <v>60</v>
      </c>
      <c r="L40" s="5" t="s">
        <v>59</v>
      </c>
      <c r="M40" s="5">
        <v>0.03</v>
      </c>
      <c r="P40" s="5">
        <v>40</v>
      </c>
      <c r="Q40" s="5" t="s">
        <v>80</v>
      </c>
      <c r="R40" s="59">
        <v>82789</v>
      </c>
      <c r="S40" s="78" t="s">
        <v>368</v>
      </c>
      <c r="T40" s="59" t="s">
        <v>339</v>
      </c>
      <c r="U40" s="77"/>
      <c r="V40" s="5">
        <v>0</v>
      </c>
      <c r="Y40" s="5">
        <v>0</v>
      </c>
      <c r="Z40" s="5">
        <v>0</v>
      </c>
      <c r="AA40" s="5">
        <v>0</v>
      </c>
      <c r="AB40" s="5">
        <v>1230</v>
      </c>
      <c r="AC40" s="5">
        <v>0</v>
      </c>
      <c r="AD40" s="5">
        <v>0</v>
      </c>
      <c r="AE40" s="5">
        <v>0</v>
      </c>
      <c r="AQ40" s="5">
        <v>182377</v>
      </c>
    </row>
    <row r="41" spans="1:43" x14ac:dyDescent="0.25">
      <c r="A41" s="13" t="s">
        <v>386</v>
      </c>
      <c r="C41" s="5">
        <v>10</v>
      </c>
      <c r="D41" s="5">
        <v>1</v>
      </c>
      <c r="E41" s="5">
        <v>58062090</v>
      </c>
      <c r="F41" s="5">
        <v>262938</v>
      </c>
      <c r="G41" s="5" t="s">
        <v>320</v>
      </c>
      <c r="H41" s="5" t="s">
        <v>60</v>
      </c>
      <c r="I41" s="5" t="s">
        <v>60</v>
      </c>
      <c r="J41" s="5" t="s">
        <v>60</v>
      </c>
      <c r="K41" s="5" t="s">
        <v>60</v>
      </c>
      <c r="L41" s="5" t="s">
        <v>59</v>
      </c>
      <c r="M41" s="5">
        <v>0.02</v>
      </c>
      <c r="P41" s="5">
        <v>40</v>
      </c>
      <c r="Q41" s="5" t="s">
        <v>80</v>
      </c>
      <c r="R41" s="59">
        <v>83341</v>
      </c>
      <c r="S41" s="78" t="s">
        <v>360</v>
      </c>
      <c r="T41" s="59" t="s">
        <v>334</v>
      </c>
      <c r="U41" s="77"/>
      <c r="V41" s="5">
        <v>0</v>
      </c>
      <c r="Y41" s="5">
        <v>0</v>
      </c>
      <c r="Z41" s="5">
        <v>0</v>
      </c>
      <c r="AA41" s="5">
        <v>0</v>
      </c>
      <c r="AB41" s="5">
        <v>820</v>
      </c>
      <c r="AC41" s="5">
        <v>0</v>
      </c>
      <c r="AD41" s="5">
        <v>0</v>
      </c>
      <c r="AE41" s="5">
        <v>0</v>
      </c>
      <c r="AQ41" s="5">
        <v>182377</v>
      </c>
    </row>
    <row r="42" spans="1:43" x14ac:dyDescent="0.25">
      <c r="A42" s="13" t="s">
        <v>386</v>
      </c>
      <c r="C42" s="5">
        <v>11</v>
      </c>
      <c r="D42" s="5">
        <v>1</v>
      </c>
      <c r="E42" s="5">
        <v>58061090</v>
      </c>
      <c r="F42" s="5">
        <v>262938</v>
      </c>
      <c r="G42" s="5" t="s">
        <v>320</v>
      </c>
      <c r="H42" s="5" t="s">
        <v>60</v>
      </c>
      <c r="I42" s="5" t="s">
        <v>60</v>
      </c>
      <c r="J42" s="5" t="s">
        <v>60</v>
      </c>
      <c r="K42" s="5" t="s">
        <v>60</v>
      </c>
      <c r="L42" s="5" t="s">
        <v>59</v>
      </c>
      <c r="M42" s="5">
        <v>0.01</v>
      </c>
      <c r="P42" s="5">
        <v>40</v>
      </c>
      <c r="Q42" s="5" t="s">
        <v>80</v>
      </c>
      <c r="R42" s="59">
        <v>87226</v>
      </c>
      <c r="S42" s="78" t="s">
        <v>364</v>
      </c>
      <c r="T42" s="59" t="s">
        <v>335</v>
      </c>
      <c r="U42" s="77"/>
      <c r="V42" s="5">
        <v>0</v>
      </c>
      <c r="Y42" s="5">
        <v>0</v>
      </c>
      <c r="Z42" s="5">
        <v>0</v>
      </c>
      <c r="AA42" s="5">
        <v>0</v>
      </c>
      <c r="AB42" s="5">
        <v>410</v>
      </c>
      <c r="AC42" s="5">
        <v>0</v>
      </c>
      <c r="AD42" s="5">
        <v>0</v>
      </c>
      <c r="AE42" s="5">
        <v>0</v>
      </c>
      <c r="AQ42" s="5">
        <v>182377</v>
      </c>
    </row>
    <row r="43" spans="1:43" x14ac:dyDescent="0.25">
      <c r="A43" s="13" t="s">
        <v>386</v>
      </c>
      <c r="C43" s="5">
        <v>12</v>
      </c>
      <c r="D43" s="5">
        <v>1</v>
      </c>
      <c r="E43" s="5">
        <v>58062090</v>
      </c>
      <c r="F43" s="5">
        <v>262938</v>
      </c>
      <c r="G43" s="5" t="s">
        <v>320</v>
      </c>
      <c r="H43" s="5" t="s">
        <v>60</v>
      </c>
      <c r="I43" s="5" t="s">
        <v>60</v>
      </c>
      <c r="J43" s="5" t="s">
        <v>60</v>
      </c>
      <c r="K43" s="5" t="s">
        <v>60</v>
      </c>
      <c r="L43" s="5" t="s">
        <v>59</v>
      </c>
      <c r="M43" s="5">
        <v>0.01</v>
      </c>
      <c r="P43" s="5">
        <v>40</v>
      </c>
      <c r="Q43" s="5" t="s">
        <v>80</v>
      </c>
      <c r="R43" s="59">
        <v>90376</v>
      </c>
      <c r="S43" s="78" t="s">
        <v>369</v>
      </c>
      <c r="T43" s="59" t="s">
        <v>340</v>
      </c>
      <c r="U43" s="77"/>
      <c r="V43" s="5">
        <v>0</v>
      </c>
      <c r="Y43" s="5">
        <v>0</v>
      </c>
      <c r="Z43" s="5">
        <v>0</v>
      </c>
      <c r="AA43" s="5">
        <v>0</v>
      </c>
      <c r="AB43" s="5">
        <v>410</v>
      </c>
      <c r="AC43" s="5">
        <v>0</v>
      </c>
      <c r="AD43" s="5">
        <v>0</v>
      </c>
      <c r="AE43" s="5">
        <v>0</v>
      </c>
      <c r="AQ43" s="5">
        <v>182377</v>
      </c>
    </row>
    <row r="44" spans="1:43" x14ac:dyDescent="0.25">
      <c r="A44" s="13" t="s">
        <v>386</v>
      </c>
      <c r="C44" s="5">
        <v>13</v>
      </c>
      <c r="D44" s="5">
        <v>1</v>
      </c>
      <c r="E44" s="5">
        <v>58062090</v>
      </c>
      <c r="F44" s="5">
        <v>262938</v>
      </c>
      <c r="G44" s="5" t="s">
        <v>320</v>
      </c>
      <c r="H44" s="5" t="s">
        <v>60</v>
      </c>
      <c r="I44" s="5" t="s">
        <v>60</v>
      </c>
      <c r="J44" s="5" t="s">
        <v>60</v>
      </c>
      <c r="K44" s="5" t="s">
        <v>60</v>
      </c>
      <c r="L44" s="5" t="s">
        <v>59</v>
      </c>
      <c r="M44" s="5">
        <v>0.1</v>
      </c>
      <c r="P44" s="5">
        <v>40</v>
      </c>
      <c r="Q44" s="5" t="s">
        <v>80</v>
      </c>
      <c r="R44" s="59">
        <v>91623</v>
      </c>
      <c r="S44" s="78" t="s">
        <v>370</v>
      </c>
      <c r="T44" s="59" t="s">
        <v>341</v>
      </c>
      <c r="U44" s="77"/>
      <c r="V44" s="5">
        <v>0</v>
      </c>
      <c r="Y44" s="5">
        <v>0</v>
      </c>
      <c r="Z44" s="5">
        <v>0</v>
      </c>
      <c r="AA44" s="5">
        <v>0</v>
      </c>
      <c r="AB44" s="5">
        <v>4100</v>
      </c>
      <c r="AC44" s="5">
        <v>0</v>
      </c>
      <c r="AD44" s="5">
        <v>0</v>
      </c>
      <c r="AE44" s="5">
        <v>0</v>
      </c>
      <c r="AQ44" s="5">
        <v>182377</v>
      </c>
    </row>
    <row r="45" spans="1:43" x14ac:dyDescent="0.25">
      <c r="A45" s="13" t="s">
        <v>386</v>
      </c>
      <c r="C45" s="5">
        <v>14</v>
      </c>
      <c r="D45" s="5">
        <v>1</v>
      </c>
      <c r="E45" s="5">
        <v>58062090</v>
      </c>
      <c r="F45" s="5">
        <v>262938</v>
      </c>
      <c r="G45" s="5" t="s">
        <v>320</v>
      </c>
      <c r="H45" s="5" t="s">
        <v>60</v>
      </c>
      <c r="I45" s="5" t="s">
        <v>60</v>
      </c>
      <c r="J45" s="5" t="s">
        <v>60</v>
      </c>
      <c r="K45" s="5" t="s">
        <v>60</v>
      </c>
      <c r="L45" s="5" t="s">
        <v>59</v>
      </c>
      <c r="M45" s="5">
        <v>0.1</v>
      </c>
      <c r="P45" s="5">
        <v>40</v>
      </c>
      <c r="Q45" s="5" t="s">
        <v>80</v>
      </c>
      <c r="R45" s="59">
        <v>95386</v>
      </c>
      <c r="S45" s="78" t="s">
        <v>371</v>
      </c>
      <c r="T45" s="59" t="s">
        <v>342</v>
      </c>
      <c r="U45" s="77"/>
      <c r="V45" s="5">
        <v>0</v>
      </c>
      <c r="Y45" s="5">
        <v>0</v>
      </c>
      <c r="Z45" s="5">
        <v>0</v>
      </c>
      <c r="AA45" s="5">
        <v>0</v>
      </c>
      <c r="AB45" s="5">
        <v>4100</v>
      </c>
      <c r="AC45" s="5">
        <v>0</v>
      </c>
      <c r="AD45" s="5">
        <v>0</v>
      </c>
      <c r="AE45" s="5">
        <v>0</v>
      </c>
      <c r="AQ45" s="5">
        <v>182377</v>
      </c>
    </row>
    <row r="46" spans="1:43" x14ac:dyDescent="0.25">
      <c r="A46" s="13" t="s">
        <v>386</v>
      </c>
      <c r="C46" s="5">
        <v>15</v>
      </c>
      <c r="D46" s="5">
        <v>1</v>
      </c>
      <c r="E46" s="5">
        <v>58062090</v>
      </c>
      <c r="F46" s="5">
        <v>262938</v>
      </c>
      <c r="G46" s="5" t="s">
        <v>320</v>
      </c>
      <c r="H46" s="5" t="s">
        <v>60</v>
      </c>
      <c r="I46" s="5" t="s">
        <v>60</v>
      </c>
      <c r="J46" s="5" t="s">
        <v>60</v>
      </c>
      <c r="K46" s="5" t="s">
        <v>60</v>
      </c>
      <c r="L46" s="5" t="s">
        <v>59</v>
      </c>
      <c r="M46" s="5">
        <v>0.1</v>
      </c>
      <c r="P46" s="5">
        <v>40</v>
      </c>
      <c r="Q46" s="5" t="s">
        <v>80</v>
      </c>
      <c r="R46" s="59">
        <v>53382</v>
      </c>
      <c r="S46" s="78" t="s">
        <v>372</v>
      </c>
      <c r="T46" s="59" t="s">
        <v>343</v>
      </c>
      <c r="U46" s="77"/>
      <c r="V46" s="5">
        <v>0</v>
      </c>
      <c r="Y46" s="5">
        <v>0</v>
      </c>
      <c r="Z46" s="5">
        <v>0</v>
      </c>
      <c r="AA46" s="5">
        <v>0</v>
      </c>
      <c r="AB46" s="5">
        <v>4100</v>
      </c>
      <c r="AC46" s="5">
        <v>0</v>
      </c>
      <c r="AD46" s="5">
        <v>0</v>
      </c>
      <c r="AE46" s="5">
        <v>0</v>
      </c>
      <c r="AQ46" s="5">
        <v>182377</v>
      </c>
    </row>
    <row r="47" spans="1:43" x14ac:dyDescent="0.25">
      <c r="A47" s="13" t="s">
        <v>386</v>
      </c>
      <c r="C47" s="5">
        <v>16</v>
      </c>
      <c r="D47" s="5">
        <v>1</v>
      </c>
      <c r="E47" s="5">
        <v>58062090</v>
      </c>
      <c r="F47" s="5">
        <v>262938</v>
      </c>
      <c r="G47" s="5" t="s">
        <v>321</v>
      </c>
      <c r="H47" s="5" t="s">
        <v>60</v>
      </c>
      <c r="I47" s="5" t="s">
        <v>60</v>
      </c>
      <c r="J47" s="5" t="s">
        <v>60</v>
      </c>
      <c r="K47" s="5" t="s">
        <v>60</v>
      </c>
      <c r="L47" s="5" t="s">
        <v>59</v>
      </c>
      <c r="M47" s="5">
        <v>0.65</v>
      </c>
      <c r="P47" s="5">
        <v>40</v>
      </c>
      <c r="Q47" s="5" t="s">
        <v>80</v>
      </c>
      <c r="R47" s="59">
        <v>39735</v>
      </c>
      <c r="S47" s="78" t="s">
        <v>373</v>
      </c>
      <c r="T47" s="59" t="s">
        <v>344</v>
      </c>
      <c r="U47" s="77"/>
      <c r="V47" s="5">
        <v>0</v>
      </c>
      <c r="Y47" s="5">
        <v>0</v>
      </c>
      <c r="Z47" s="5">
        <v>0</v>
      </c>
      <c r="AA47" s="5">
        <v>0</v>
      </c>
      <c r="AB47" s="5">
        <v>26650</v>
      </c>
      <c r="AC47" s="5">
        <v>0</v>
      </c>
      <c r="AD47" s="5">
        <v>0</v>
      </c>
      <c r="AE47" s="5">
        <v>0</v>
      </c>
      <c r="AQ47" s="5">
        <v>182377</v>
      </c>
    </row>
    <row r="48" spans="1:43" x14ac:dyDescent="0.25">
      <c r="A48" s="13" t="s">
        <v>386</v>
      </c>
      <c r="C48" s="5">
        <v>17</v>
      </c>
      <c r="D48" s="5">
        <v>1</v>
      </c>
      <c r="E48" s="5">
        <v>58062090</v>
      </c>
      <c r="F48" s="5">
        <v>262938</v>
      </c>
      <c r="G48" s="5" t="s">
        <v>321</v>
      </c>
      <c r="H48" s="5" t="s">
        <v>60</v>
      </c>
      <c r="I48" s="5" t="s">
        <v>60</v>
      </c>
      <c r="J48" s="5" t="s">
        <v>60</v>
      </c>
      <c r="K48" s="5" t="s">
        <v>60</v>
      </c>
      <c r="L48" s="5" t="s">
        <v>59</v>
      </c>
      <c r="M48" s="5">
        <v>0.02</v>
      </c>
      <c r="P48" s="5">
        <v>40</v>
      </c>
      <c r="Q48" s="5" t="s">
        <v>80</v>
      </c>
      <c r="R48" s="59">
        <v>915376</v>
      </c>
      <c r="S48" s="78" t="s">
        <v>374</v>
      </c>
      <c r="T48" s="59" t="s">
        <v>345</v>
      </c>
      <c r="U48" s="77"/>
      <c r="V48" s="5">
        <v>0</v>
      </c>
      <c r="Y48" s="5">
        <v>0</v>
      </c>
      <c r="Z48" s="5">
        <v>0</v>
      </c>
      <c r="AA48" s="5">
        <v>0</v>
      </c>
      <c r="AB48" s="5">
        <v>820</v>
      </c>
      <c r="AC48" s="5">
        <v>0</v>
      </c>
      <c r="AD48" s="5">
        <v>0</v>
      </c>
      <c r="AE48" s="5">
        <v>0</v>
      </c>
      <c r="AQ48" s="5">
        <v>182377</v>
      </c>
    </row>
    <row r="49" spans="1:43" x14ac:dyDescent="0.25">
      <c r="A49" s="13" t="s">
        <v>386</v>
      </c>
      <c r="C49" s="5">
        <v>18</v>
      </c>
      <c r="D49" s="5">
        <v>1</v>
      </c>
      <c r="E49" s="5">
        <v>58062090</v>
      </c>
      <c r="F49" s="5">
        <v>262938</v>
      </c>
      <c r="G49" s="5" t="s">
        <v>321</v>
      </c>
      <c r="H49" s="5" t="s">
        <v>60</v>
      </c>
      <c r="I49" s="5" t="s">
        <v>60</v>
      </c>
      <c r="J49" s="5" t="s">
        <v>60</v>
      </c>
      <c r="K49" s="5" t="s">
        <v>60</v>
      </c>
      <c r="L49" s="5" t="s">
        <v>59</v>
      </c>
      <c r="M49" s="5">
        <v>0.45</v>
      </c>
      <c r="P49" s="5">
        <v>40</v>
      </c>
      <c r="Q49" s="5" t="s">
        <v>80</v>
      </c>
      <c r="R49" s="59">
        <v>915630</v>
      </c>
      <c r="S49" s="78" t="s">
        <v>375</v>
      </c>
      <c r="T49" s="59" t="s">
        <v>346</v>
      </c>
      <c r="U49" s="77"/>
      <c r="V49" s="5">
        <v>0</v>
      </c>
      <c r="Y49" s="5">
        <v>0</v>
      </c>
      <c r="Z49" s="5">
        <v>0</v>
      </c>
      <c r="AA49" s="5">
        <v>0</v>
      </c>
      <c r="AB49" s="5">
        <v>18450</v>
      </c>
      <c r="AC49" s="5">
        <v>0</v>
      </c>
      <c r="AD49" s="5">
        <v>0</v>
      </c>
      <c r="AE49" s="5">
        <v>0</v>
      </c>
      <c r="AQ49" s="5">
        <v>182377</v>
      </c>
    </row>
    <row r="50" spans="1:43" x14ac:dyDescent="0.25">
      <c r="A50" s="13" t="s">
        <v>386</v>
      </c>
      <c r="C50" s="5">
        <v>19</v>
      </c>
      <c r="D50" s="5">
        <v>1</v>
      </c>
      <c r="E50" s="5">
        <v>48211090</v>
      </c>
      <c r="F50" s="5">
        <v>297274</v>
      </c>
      <c r="G50" s="5" t="s">
        <v>315</v>
      </c>
      <c r="H50" s="5" t="s">
        <v>60</v>
      </c>
      <c r="I50" s="5" t="s">
        <v>60</v>
      </c>
      <c r="J50" s="5" t="s">
        <v>60</v>
      </c>
      <c r="K50" s="5" t="s">
        <v>60</v>
      </c>
      <c r="L50" s="5" t="s">
        <v>12</v>
      </c>
      <c r="M50" s="5">
        <v>300</v>
      </c>
      <c r="P50" s="5">
        <v>40</v>
      </c>
      <c r="Q50" s="5" t="s">
        <v>80</v>
      </c>
      <c r="R50" s="59">
        <v>630212</v>
      </c>
      <c r="S50" s="78" t="s">
        <v>363</v>
      </c>
      <c r="T50" s="59" t="s">
        <v>333</v>
      </c>
      <c r="U50" s="77"/>
      <c r="V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Q50" s="5">
        <v>182377</v>
      </c>
    </row>
    <row r="51" spans="1:43" x14ac:dyDescent="0.25">
      <c r="A51" s="13" t="s">
        <v>386</v>
      </c>
      <c r="C51" s="5">
        <v>20</v>
      </c>
      <c r="D51" s="5">
        <v>1</v>
      </c>
      <c r="E51" s="5">
        <v>48211090</v>
      </c>
      <c r="F51" s="5">
        <v>297275</v>
      </c>
      <c r="G51" s="5" t="s">
        <v>316</v>
      </c>
      <c r="H51" s="5" t="s">
        <v>60</v>
      </c>
      <c r="I51" s="5" t="s">
        <v>60</v>
      </c>
      <c r="J51" s="5" t="s">
        <v>60</v>
      </c>
      <c r="K51" s="5" t="s">
        <v>60</v>
      </c>
      <c r="L51" s="5" t="s">
        <v>12</v>
      </c>
      <c r="M51" s="5">
        <v>46</v>
      </c>
      <c r="P51" s="5">
        <v>40</v>
      </c>
      <c r="Q51" s="5" t="s">
        <v>80</v>
      </c>
      <c r="R51" s="59">
        <v>630212</v>
      </c>
      <c r="S51" s="78" t="s">
        <v>363</v>
      </c>
      <c r="T51" s="59" t="s">
        <v>333</v>
      </c>
      <c r="U51" s="77"/>
      <c r="V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Q51" s="5">
        <v>182377</v>
      </c>
    </row>
    <row r="52" spans="1:43" x14ac:dyDescent="0.25">
      <c r="A52" s="13" t="s">
        <v>386</v>
      </c>
      <c r="C52" s="5">
        <v>21</v>
      </c>
      <c r="D52" s="5">
        <v>1</v>
      </c>
      <c r="E52" s="5">
        <v>48211090</v>
      </c>
      <c r="F52" s="5">
        <v>297276</v>
      </c>
      <c r="G52" s="5" t="s">
        <v>317</v>
      </c>
      <c r="H52" s="5" t="s">
        <v>60</v>
      </c>
      <c r="I52" s="5" t="s">
        <v>60</v>
      </c>
      <c r="J52" s="5" t="s">
        <v>60</v>
      </c>
      <c r="K52" s="5" t="s">
        <v>60</v>
      </c>
      <c r="L52" s="5" t="s">
        <v>12</v>
      </c>
      <c r="M52" s="5">
        <v>104</v>
      </c>
      <c r="P52" s="5">
        <v>40</v>
      </c>
      <c r="Q52" s="5" t="s">
        <v>80</v>
      </c>
      <c r="R52" s="59">
        <v>630212</v>
      </c>
      <c r="S52" s="78" t="s">
        <v>363</v>
      </c>
      <c r="T52" s="59" t="s">
        <v>333</v>
      </c>
      <c r="U52" s="77"/>
      <c r="V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Q52" s="5">
        <v>182377</v>
      </c>
    </row>
    <row r="53" spans="1:43" x14ac:dyDescent="0.25">
      <c r="A53" s="13" t="s">
        <v>386</v>
      </c>
      <c r="C53" s="5">
        <v>22</v>
      </c>
      <c r="D53" s="5">
        <v>1</v>
      </c>
      <c r="E53" s="5">
        <v>48211090</v>
      </c>
      <c r="F53" s="5">
        <v>297277</v>
      </c>
      <c r="G53" s="5" t="s">
        <v>318</v>
      </c>
      <c r="H53" s="5" t="s">
        <v>60</v>
      </c>
      <c r="I53" s="5" t="s">
        <v>60</v>
      </c>
      <c r="J53" s="5" t="s">
        <v>60</v>
      </c>
      <c r="K53" s="5" t="s">
        <v>60</v>
      </c>
      <c r="L53" s="5" t="s">
        <v>12</v>
      </c>
      <c r="M53" s="5">
        <v>76</v>
      </c>
      <c r="P53" s="5">
        <v>40</v>
      </c>
      <c r="Q53" s="5" t="s">
        <v>80</v>
      </c>
      <c r="R53" s="59">
        <v>630212</v>
      </c>
      <c r="S53" s="78" t="s">
        <v>363</v>
      </c>
      <c r="T53" s="59" t="s">
        <v>333</v>
      </c>
      <c r="U53" s="77"/>
      <c r="V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Q53" s="5">
        <v>182377</v>
      </c>
    </row>
    <row r="54" spans="1:43" x14ac:dyDescent="0.25">
      <c r="A54" s="13" t="s">
        <v>386</v>
      </c>
      <c r="C54" s="5">
        <v>23</v>
      </c>
      <c r="D54" s="5">
        <v>1</v>
      </c>
      <c r="E54" s="5">
        <v>48211090</v>
      </c>
      <c r="F54" s="5">
        <v>297278</v>
      </c>
      <c r="G54" s="5" t="s">
        <v>319</v>
      </c>
      <c r="H54" s="5" t="s">
        <v>60</v>
      </c>
      <c r="I54" s="5" t="s">
        <v>60</v>
      </c>
      <c r="J54" s="5" t="s">
        <v>60</v>
      </c>
      <c r="K54" s="5" t="s">
        <v>60</v>
      </c>
      <c r="L54" s="5" t="s">
        <v>12</v>
      </c>
      <c r="M54" s="5">
        <v>74</v>
      </c>
      <c r="P54" s="5">
        <v>40</v>
      </c>
      <c r="Q54" s="5" t="s">
        <v>80</v>
      </c>
      <c r="R54" s="59">
        <v>630212</v>
      </c>
      <c r="S54" s="78" t="s">
        <v>363</v>
      </c>
      <c r="T54" s="59" t="s">
        <v>333</v>
      </c>
      <c r="U54" s="77"/>
      <c r="V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Q54" s="5">
        <v>182377</v>
      </c>
    </row>
    <row r="55" spans="1:43" x14ac:dyDescent="0.25">
      <c r="A55" s="13" t="s">
        <v>386</v>
      </c>
      <c r="C55" s="5">
        <v>24</v>
      </c>
      <c r="D55" s="5">
        <v>1</v>
      </c>
      <c r="E55" s="5">
        <v>52081900</v>
      </c>
      <c r="F55" s="5">
        <v>274799</v>
      </c>
      <c r="G55" s="5" t="s">
        <v>311</v>
      </c>
      <c r="H55" s="5" t="s">
        <v>60</v>
      </c>
      <c r="I55" s="5" t="s">
        <v>60</v>
      </c>
      <c r="J55" s="5" t="s">
        <v>60</v>
      </c>
      <c r="K55" s="5" t="s">
        <v>60</v>
      </c>
      <c r="L55" s="5" t="s">
        <v>27</v>
      </c>
      <c r="M55" s="5">
        <v>13.35</v>
      </c>
      <c r="P55" s="5">
        <v>40</v>
      </c>
      <c r="Q55" s="5" t="s">
        <v>80</v>
      </c>
      <c r="R55" s="59">
        <v>97003</v>
      </c>
      <c r="S55" s="78" t="s">
        <v>358</v>
      </c>
      <c r="T55" s="59" t="s">
        <v>327</v>
      </c>
      <c r="U55" s="77"/>
      <c r="V55" s="5">
        <v>0</v>
      </c>
      <c r="Y55" s="5">
        <v>0</v>
      </c>
      <c r="Z55" s="5">
        <v>0</v>
      </c>
      <c r="AA55" s="5">
        <v>0</v>
      </c>
      <c r="AB55" s="5">
        <v>1601472.41</v>
      </c>
      <c r="AC55" s="5">
        <v>0</v>
      </c>
      <c r="AD55" s="5">
        <v>0</v>
      </c>
      <c r="AE55" s="5">
        <v>0</v>
      </c>
      <c r="AQ55" s="5">
        <v>182378</v>
      </c>
    </row>
    <row r="56" spans="1:43" x14ac:dyDescent="0.25">
      <c r="A56" s="13" t="s">
        <v>386</v>
      </c>
      <c r="C56" s="5">
        <v>1</v>
      </c>
      <c r="D56" s="5">
        <v>1</v>
      </c>
      <c r="E56" s="5">
        <v>52081900</v>
      </c>
      <c r="F56" s="5">
        <v>275340</v>
      </c>
      <c r="G56" s="5" t="s">
        <v>312</v>
      </c>
      <c r="H56" s="5" t="s">
        <v>60</v>
      </c>
      <c r="I56" s="5" t="s">
        <v>60</v>
      </c>
      <c r="J56" s="5" t="s">
        <v>60</v>
      </c>
      <c r="K56" s="5" t="s">
        <v>60</v>
      </c>
      <c r="L56" s="5" t="s">
        <v>27</v>
      </c>
      <c r="M56" s="5">
        <v>13.35</v>
      </c>
      <c r="P56" s="5">
        <v>40</v>
      </c>
      <c r="Q56" s="5" t="s">
        <v>80</v>
      </c>
      <c r="R56" s="59">
        <v>125626</v>
      </c>
      <c r="S56" s="78" t="s">
        <v>376</v>
      </c>
      <c r="T56" s="59" t="s">
        <v>347</v>
      </c>
      <c r="U56" s="77"/>
      <c r="V56" s="5">
        <v>0</v>
      </c>
      <c r="Y56" s="5">
        <v>0</v>
      </c>
      <c r="Z56" s="5">
        <v>0</v>
      </c>
      <c r="AA56" s="5">
        <v>0</v>
      </c>
      <c r="AB56" s="5">
        <v>1601472.41</v>
      </c>
      <c r="AC56" s="5">
        <v>0</v>
      </c>
      <c r="AD56" s="5">
        <v>0</v>
      </c>
      <c r="AE56" s="5">
        <v>0</v>
      </c>
      <c r="AQ56" s="5">
        <v>182378</v>
      </c>
    </row>
    <row r="57" spans="1:43" x14ac:dyDescent="0.25">
      <c r="A57" s="13" t="s">
        <v>386</v>
      </c>
      <c r="C57" s="5">
        <v>2</v>
      </c>
      <c r="D57" s="5">
        <v>1</v>
      </c>
      <c r="E57" s="5">
        <v>56039200</v>
      </c>
      <c r="F57" s="5">
        <v>267890</v>
      </c>
      <c r="G57" s="5" t="s">
        <v>323</v>
      </c>
      <c r="H57" s="5" t="s">
        <v>60</v>
      </c>
      <c r="I57" s="5" t="s">
        <v>60</v>
      </c>
      <c r="J57" s="5" t="s">
        <v>60</v>
      </c>
      <c r="K57" s="5" t="s">
        <v>60</v>
      </c>
      <c r="L57" s="5" t="s">
        <v>11</v>
      </c>
      <c r="M57" s="5">
        <v>8.4</v>
      </c>
      <c r="P57" s="5">
        <v>40</v>
      </c>
      <c r="Q57" s="5" t="s">
        <v>80</v>
      </c>
      <c r="R57" s="59">
        <v>604646</v>
      </c>
      <c r="S57" s="59" t="s">
        <v>377</v>
      </c>
      <c r="T57" s="59" t="s">
        <v>348</v>
      </c>
      <c r="V57" s="5">
        <v>0</v>
      </c>
      <c r="Y57" s="5">
        <v>0</v>
      </c>
      <c r="Z57" s="5">
        <v>0</v>
      </c>
      <c r="AA57" s="5">
        <v>0</v>
      </c>
      <c r="AB57" s="5">
        <v>24832.16</v>
      </c>
      <c r="AC57" s="5">
        <v>0</v>
      </c>
      <c r="AD57" s="5">
        <v>0</v>
      </c>
      <c r="AE57" s="5">
        <v>0</v>
      </c>
      <c r="AQ57" s="5">
        <v>182378</v>
      </c>
    </row>
    <row r="58" spans="1:43" x14ac:dyDescent="0.25">
      <c r="A58" s="13" t="s">
        <v>386</v>
      </c>
      <c r="C58" s="5">
        <v>3</v>
      </c>
      <c r="D58" s="5">
        <v>1</v>
      </c>
      <c r="E58" s="5" t="s">
        <v>443</v>
      </c>
      <c r="F58" s="5">
        <v>173758</v>
      </c>
      <c r="G58" s="5" t="s">
        <v>445</v>
      </c>
      <c r="H58" s="5" t="s">
        <v>60</v>
      </c>
      <c r="I58" s="5" t="s">
        <v>60</v>
      </c>
      <c r="J58" s="5" t="s">
        <v>60</v>
      </c>
      <c r="K58" s="5" t="s">
        <v>60</v>
      </c>
      <c r="L58" s="5" t="s">
        <v>14</v>
      </c>
      <c r="M58" s="5">
        <v>0</v>
      </c>
      <c r="P58" s="5">
        <v>2710542</v>
      </c>
      <c r="Q58" s="5" t="s">
        <v>80</v>
      </c>
      <c r="R58" s="59"/>
      <c r="S58" s="59" t="s">
        <v>457</v>
      </c>
      <c r="T58" s="59" t="s">
        <v>450</v>
      </c>
      <c r="V58" s="5">
        <v>0</v>
      </c>
      <c r="Y58" s="5">
        <v>0</v>
      </c>
      <c r="Z58" s="5">
        <v>0</v>
      </c>
      <c r="AA58" s="5">
        <v>0</v>
      </c>
      <c r="AB58" s="5" t="e">
        <v>#VALUE!</v>
      </c>
      <c r="AC58" s="5">
        <v>0</v>
      </c>
      <c r="AD58" s="5">
        <v>0</v>
      </c>
      <c r="AE58" s="5">
        <v>0</v>
      </c>
      <c r="AQ58" s="5">
        <v>182378</v>
      </c>
    </row>
    <row r="59" spans="1:43" x14ac:dyDescent="0.25">
      <c r="A59" s="13" t="s">
        <v>386</v>
      </c>
      <c r="C59" s="5">
        <v>4</v>
      </c>
      <c r="D59" s="5">
        <v>1</v>
      </c>
      <c r="E59" s="5">
        <v>54011090</v>
      </c>
      <c r="F59" s="5">
        <v>241659</v>
      </c>
      <c r="G59" s="5" t="s">
        <v>446</v>
      </c>
      <c r="H59" s="5" t="s">
        <v>60</v>
      </c>
      <c r="I59" s="5" t="s">
        <v>60</v>
      </c>
      <c r="J59" s="5" t="s">
        <v>60</v>
      </c>
      <c r="K59" s="5" t="s">
        <v>60</v>
      </c>
      <c r="L59" s="5" t="s">
        <v>14</v>
      </c>
      <c r="M59" s="5">
        <v>0</v>
      </c>
      <c r="P59" s="5">
        <v>40</v>
      </c>
      <c r="Q59" s="5" t="s">
        <v>80</v>
      </c>
      <c r="R59" s="59">
        <v>41127</v>
      </c>
      <c r="S59" s="59" t="s">
        <v>458</v>
      </c>
      <c r="T59" s="59" t="s">
        <v>451</v>
      </c>
      <c r="V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Q59" s="5">
        <v>182378</v>
      </c>
    </row>
    <row r="60" spans="1:43" x14ac:dyDescent="0.25">
      <c r="A60" s="13" t="s">
        <v>386</v>
      </c>
      <c r="C60" s="5">
        <v>5</v>
      </c>
      <c r="D60" s="5">
        <v>1</v>
      </c>
      <c r="F60" s="5">
        <v>270819</v>
      </c>
      <c r="G60" s="5" t="s">
        <v>324</v>
      </c>
      <c r="H60" s="5" t="s">
        <v>60</v>
      </c>
      <c r="I60" s="5" t="s">
        <v>60</v>
      </c>
      <c r="J60" s="5" t="s">
        <v>60</v>
      </c>
      <c r="K60" s="5" t="s">
        <v>60</v>
      </c>
      <c r="L60" s="5" t="s">
        <v>12</v>
      </c>
      <c r="M60" s="5">
        <v>553</v>
      </c>
      <c r="P60" s="5">
        <v>40</v>
      </c>
      <c r="Q60" s="5" t="s">
        <v>80</v>
      </c>
      <c r="R60" s="59">
        <v>115656</v>
      </c>
      <c r="S60" s="59" t="s">
        <v>378</v>
      </c>
      <c r="T60" s="59" t="s">
        <v>349</v>
      </c>
      <c r="V60" s="5">
        <v>0</v>
      </c>
      <c r="Y60" s="5">
        <v>0</v>
      </c>
      <c r="Z60" s="5">
        <v>0</v>
      </c>
      <c r="AA60" s="5">
        <v>0</v>
      </c>
      <c r="AB60" s="5">
        <v>52535</v>
      </c>
      <c r="AC60" s="5">
        <v>0</v>
      </c>
      <c r="AD60" s="5">
        <v>0</v>
      </c>
      <c r="AE60" s="5">
        <v>0</v>
      </c>
      <c r="AQ60" s="5">
        <v>182378</v>
      </c>
    </row>
    <row r="61" spans="1:43" x14ac:dyDescent="0.25">
      <c r="A61" s="13" t="s">
        <v>386</v>
      </c>
      <c r="C61" s="5">
        <v>6</v>
      </c>
      <c r="D61" s="5">
        <v>1</v>
      </c>
      <c r="E61" s="5">
        <v>96062100</v>
      </c>
      <c r="F61" s="5">
        <v>270819</v>
      </c>
      <c r="G61" s="5" t="s">
        <v>324</v>
      </c>
      <c r="H61" s="5" t="s">
        <v>60</v>
      </c>
      <c r="I61" s="5" t="s">
        <v>60</v>
      </c>
      <c r="J61" s="5" t="s">
        <v>60</v>
      </c>
      <c r="K61" s="5" t="s">
        <v>60</v>
      </c>
      <c r="L61" s="5" t="s">
        <v>12</v>
      </c>
      <c r="M61" s="5">
        <v>1009</v>
      </c>
      <c r="P61" s="5">
        <v>40</v>
      </c>
      <c r="Q61" s="5" t="s">
        <v>80</v>
      </c>
      <c r="R61" s="59">
        <v>118945</v>
      </c>
      <c r="S61" s="59" t="s">
        <v>379</v>
      </c>
      <c r="T61" s="59" t="s">
        <v>350</v>
      </c>
      <c r="V61" s="5">
        <v>0</v>
      </c>
      <c r="Y61" s="5">
        <v>0</v>
      </c>
      <c r="Z61" s="5">
        <v>0</v>
      </c>
      <c r="AA61" s="5">
        <v>0</v>
      </c>
      <c r="AB61" s="5">
        <v>95855</v>
      </c>
      <c r="AC61" s="5">
        <v>0</v>
      </c>
      <c r="AD61" s="5">
        <v>0</v>
      </c>
      <c r="AE61" s="5">
        <v>0</v>
      </c>
      <c r="AQ61" s="5">
        <v>182378</v>
      </c>
    </row>
    <row r="62" spans="1:43" x14ac:dyDescent="0.25">
      <c r="A62" s="13" t="s">
        <v>386</v>
      </c>
      <c r="C62" s="5">
        <v>7</v>
      </c>
      <c r="D62" s="5">
        <v>1</v>
      </c>
      <c r="E62" s="5">
        <v>96062100</v>
      </c>
      <c r="F62" s="5">
        <v>270819</v>
      </c>
      <c r="G62" s="5" t="s">
        <v>324</v>
      </c>
      <c r="H62" s="5" t="s">
        <v>60</v>
      </c>
      <c r="I62" s="5" t="s">
        <v>60</v>
      </c>
      <c r="J62" s="5" t="s">
        <v>60</v>
      </c>
      <c r="K62" s="5" t="s">
        <v>60</v>
      </c>
      <c r="L62" s="5" t="s">
        <v>12</v>
      </c>
      <c r="M62" s="5">
        <v>538</v>
      </c>
      <c r="P62" s="5">
        <v>40</v>
      </c>
      <c r="Q62" s="5" t="s">
        <v>80</v>
      </c>
      <c r="R62" s="59">
        <v>131949</v>
      </c>
      <c r="S62" s="59" t="s">
        <v>380</v>
      </c>
      <c r="T62" s="59" t="s">
        <v>351</v>
      </c>
      <c r="V62" s="5">
        <v>0</v>
      </c>
      <c r="Y62" s="5">
        <v>0</v>
      </c>
      <c r="Z62" s="5">
        <v>0</v>
      </c>
      <c r="AA62" s="5">
        <v>0</v>
      </c>
      <c r="AB62" s="5">
        <v>51110</v>
      </c>
      <c r="AC62" s="5">
        <v>0</v>
      </c>
      <c r="AD62" s="5">
        <v>0</v>
      </c>
      <c r="AE62" s="5">
        <v>0</v>
      </c>
      <c r="AQ62" s="5">
        <v>182378</v>
      </c>
    </row>
    <row r="63" spans="1:43" x14ac:dyDescent="0.25">
      <c r="A63" s="13" t="s">
        <v>386</v>
      </c>
      <c r="C63" s="5">
        <v>8</v>
      </c>
      <c r="D63" s="5">
        <v>1</v>
      </c>
      <c r="E63" s="5">
        <v>39191020</v>
      </c>
      <c r="F63" s="5">
        <v>273158</v>
      </c>
      <c r="G63" s="5" t="s">
        <v>325</v>
      </c>
      <c r="H63" s="5" t="s">
        <v>60</v>
      </c>
      <c r="I63" s="5" t="s">
        <v>60</v>
      </c>
      <c r="J63" s="5" t="s">
        <v>60</v>
      </c>
      <c r="K63" s="5" t="s">
        <v>60</v>
      </c>
      <c r="L63" s="5" t="s">
        <v>27</v>
      </c>
      <c r="M63" s="5">
        <v>64.739999999999995</v>
      </c>
      <c r="P63" s="5">
        <v>40</v>
      </c>
      <c r="Q63" s="5" t="s">
        <v>80</v>
      </c>
      <c r="R63" s="59">
        <v>37729</v>
      </c>
      <c r="S63" s="59" t="s">
        <v>381</v>
      </c>
      <c r="T63" s="59" t="s">
        <v>352</v>
      </c>
      <c r="V63" s="5">
        <v>0</v>
      </c>
      <c r="Y63" s="5">
        <v>0</v>
      </c>
      <c r="Z63" s="5">
        <v>0</v>
      </c>
      <c r="AA63" s="5">
        <v>0</v>
      </c>
      <c r="AB63" s="5">
        <v>9711000</v>
      </c>
      <c r="AC63" s="5">
        <v>0</v>
      </c>
      <c r="AD63" s="5">
        <v>0</v>
      </c>
      <c r="AE63" s="5">
        <v>0</v>
      </c>
      <c r="AQ63" s="5">
        <v>182378</v>
      </c>
    </row>
    <row r="64" spans="1:43" x14ac:dyDescent="0.25">
      <c r="A64" s="13" t="s">
        <v>386</v>
      </c>
      <c r="C64" s="5">
        <v>9</v>
      </c>
      <c r="D64" s="5">
        <v>1</v>
      </c>
      <c r="E64" s="5">
        <v>48211090</v>
      </c>
      <c r="F64" s="5">
        <v>297274</v>
      </c>
      <c r="G64" s="5" t="s">
        <v>315</v>
      </c>
      <c r="H64" s="5" t="s">
        <v>60</v>
      </c>
      <c r="I64" s="5" t="s">
        <v>60</v>
      </c>
      <c r="J64" s="5" t="s">
        <v>60</v>
      </c>
      <c r="K64" s="5" t="s">
        <v>60</v>
      </c>
      <c r="L64" s="5" t="s">
        <v>12</v>
      </c>
      <c r="M64" s="5">
        <v>300</v>
      </c>
      <c r="P64" s="5">
        <v>40</v>
      </c>
      <c r="Q64" s="5" t="s">
        <v>80</v>
      </c>
      <c r="R64" s="59">
        <v>630212</v>
      </c>
      <c r="S64" s="59" t="s">
        <v>363</v>
      </c>
      <c r="T64" s="59" t="s">
        <v>333</v>
      </c>
      <c r="V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Q64" s="5">
        <v>182378</v>
      </c>
    </row>
    <row r="65" spans="1:43" x14ac:dyDescent="0.25">
      <c r="A65" s="13" t="s">
        <v>386</v>
      </c>
      <c r="C65" s="5">
        <v>10</v>
      </c>
      <c r="D65" s="5">
        <v>1</v>
      </c>
      <c r="E65" s="5">
        <v>48211090</v>
      </c>
      <c r="F65" s="5">
        <v>297275</v>
      </c>
      <c r="G65" s="5" t="s">
        <v>316</v>
      </c>
      <c r="H65" s="5" t="s">
        <v>60</v>
      </c>
      <c r="I65" s="5" t="s">
        <v>60</v>
      </c>
      <c r="J65" s="5" t="s">
        <v>60</v>
      </c>
      <c r="K65" s="5" t="s">
        <v>60</v>
      </c>
      <c r="L65" s="5" t="s">
        <v>12</v>
      </c>
      <c r="M65" s="5">
        <v>46</v>
      </c>
      <c r="P65" s="5">
        <v>40</v>
      </c>
      <c r="Q65" s="5" t="s">
        <v>80</v>
      </c>
      <c r="R65" s="59">
        <v>630212</v>
      </c>
      <c r="S65" s="59" t="s">
        <v>363</v>
      </c>
      <c r="T65" s="59" t="s">
        <v>333</v>
      </c>
      <c r="V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Q65" s="5">
        <v>182378</v>
      </c>
    </row>
    <row r="66" spans="1:43" x14ac:dyDescent="0.25">
      <c r="A66" s="13" t="s">
        <v>386</v>
      </c>
      <c r="C66" s="5">
        <v>11</v>
      </c>
      <c r="D66" s="5">
        <v>1</v>
      </c>
      <c r="E66" s="5">
        <v>48211090</v>
      </c>
      <c r="F66" s="5">
        <v>297276</v>
      </c>
      <c r="G66" s="5" t="s">
        <v>317</v>
      </c>
      <c r="H66" s="5" t="s">
        <v>60</v>
      </c>
      <c r="I66" s="5" t="s">
        <v>60</v>
      </c>
      <c r="J66" s="5" t="s">
        <v>60</v>
      </c>
      <c r="K66" s="5" t="s">
        <v>60</v>
      </c>
      <c r="L66" s="5" t="s">
        <v>12</v>
      </c>
      <c r="M66" s="5">
        <v>104</v>
      </c>
      <c r="P66" s="5">
        <v>40</v>
      </c>
      <c r="Q66" s="5" t="s">
        <v>80</v>
      </c>
      <c r="R66" s="59">
        <v>630212</v>
      </c>
      <c r="S66" s="59" t="s">
        <v>363</v>
      </c>
      <c r="T66" s="59" t="s">
        <v>333</v>
      </c>
      <c r="V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Q66" s="5">
        <v>182378</v>
      </c>
    </row>
    <row r="67" spans="1:43" x14ac:dyDescent="0.25">
      <c r="A67" s="13" t="s">
        <v>386</v>
      </c>
      <c r="C67" s="5">
        <v>12</v>
      </c>
      <c r="D67" s="5">
        <v>1</v>
      </c>
      <c r="E67" s="5">
        <v>48211090</v>
      </c>
      <c r="F67" s="5">
        <v>297277</v>
      </c>
      <c r="G67" s="5" t="s">
        <v>318</v>
      </c>
      <c r="H67" s="5" t="s">
        <v>60</v>
      </c>
      <c r="I67" s="5" t="s">
        <v>60</v>
      </c>
      <c r="J67" s="5" t="s">
        <v>60</v>
      </c>
      <c r="K67" s="5" t="s">
        <v>60</v>
      </c>
      <c r="L67" s="5" t="s">
        <v>12</v>
      </c>
      <c r="M67" s="5">
        <v>76</v>
      </c>
      <c r="P67" s="5">
        <v>40</v>
      </c>
      <c r="Q67" s="5" t="s">
        <v>80</v>
      </c>
      <c r="R67" s="59">
        <v>630212</v>
      </c>
      <c r="S67" s="59" t="s">
        <v>363</v>
      </c>
      <c r="T67" s="59" t="s">
        <v>333</v>
      </c>
      <c r="V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Q67" s="5">
        <v>182378</v>
      </c>
    </row>
    <row r="68" spans="1:43" x14ac:dyDescent="0.25">
      <c r="A68" s="13" t="s">
        <v>386</v>
      </c>
      <c r="C68" s="5">
        <v>13</v>
      </c>
      <c r="D68" s="5">
        <v>1</v>
      </c>
      <c r="E68" s="5">
        <v>48211090</v>
      </c>
      <c r="F68" s="5">
        <v>297278</v>
      </c>
      <c r="G68" s="5" t="s">
        <v>319</v>
      </c>
      <c r="H68" s="5" t="s">
        <v>60</v>
      </c>
      <c r="I68" s="5" t="s">
        <v>60</v>
      </c>
      <c r="J68" s="5" t="s">
        <v>60</v>
      </c>
      <c r="K68" s="5" t="s">
        <v>60</v>
      </c>
      <c r="L68" s="5" t="s">
        <v>12</v>
      </c>
      <c r="M68" s="5">
        <v>74</v>
      </c>
      <c r="P68" s="5">
        <v>40</v>
      </c>
      <c r="Q68" s="5" t="s">
        <v>80</v>
      </c>
      <c r="R68" s="59">
        <v>630212</v>
      </c>
      <c r="S68" s="59" t="s">
        <v>363</v>
      </c>
      <c r="T68" s="59" t="s">
        <v>333</v>
      </c>
      <c r="V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Q68" s="5">
        <v>182378</v>
      </c>
    </row>
    <row r="69" spans="1:43" x14ac:dyDescent="0.25">
      <c r="A69" s="13" t="s">
        <v>386</v>
      </c>
      <c r="C69" s="5">
        <v>14</v>
      </c>
      <c r="D69" s="5">
        <v>1</v>
      </c>
      <c r="E69" s="5">
        <v>52081900</v>
      </c>
      <c r="F69" s="5">
        <v>274799</v>
      </c>
      <c r="G69" s="5" t="s">
        <v>311</v>
      </c>
      <c r="H69" s="5" t="s">
        <v>60</v>
      </c>
      <c r="I69" s="5" t="s">
        <v>60</v>
      </c>
      <c r="J69" s="5" t="s">
        <v>60</v>
      </c>
      <c r="K69" s="5" t="s">
        <v>60</v>
      </c>
      <c r="L69" s="5" t="s">
        <v>27</v>
      </c>
      <c r="M69" s="5">
        <v>7.5</v>
      </c>
      <c r="P69" s="5">
        <v>40</v>
      </c>
      <c r="Q69" s="5" t="s">
        <v>80</v>
      </c>
      <c r="R69" s="59">
        <v>97003</v>
      </c>
      <c r="S69" s="59" t="s">
        <v>358</v>
      </c>
      <c r="T69" s="59" t="s">
        <v>327</v>
      </c>
      <c r="V69" s="5">
        <v>0</v>
      </c>
      <c r="Y69" s="5">
        <v>0</v>
      </c>
      <c r="Z69" s="5">
        <v>0</v>
      </c>
      <c r="AA69" s="5">
        <v>0</v>
      </c>
      <c r="AB69" s="5">
        <v>899703.6</v>
      </c>
      <c r="AC69" s="5">
        <v>0</v>
      </c>
      <c r="AD69" s="5">
        <v>0</v>
      </c>
      <c r="AE69" s="5">
        <v>0</v>
      </c>
      <c r="AQ69" s="5">
        <v>182379</v>
      </c>
    </row>
    <row r="70" spans="1:43" x14ac:dyDescent="0.25">
      <c r="A70" s="13" t="s">
        <v>386</v>
      </c>
      <c r="C70" s="5">
        <v>1</v>
      </c>
      <c r="D70" s="5">
        <v>1</v>
      </c>
      <c r="E70" s="5">
        <v>52081900</v>
      </c>
      <c r="F70" s="5">
        <v>275340</v>
      </c>
      <c r="G70" s="5" t="s">
        <v>312</v>
      </c>
      <c r="H70" s="5" t="s">
        <v>60</v>
      </c>
      <c r="I70" s="5" t="s">
        <v>60</v>
      </c>
      <c r="J70" s="5" t="s">
        <v>60</v>
      </c>
      <c r="K70" s="5" t="s">
        <v>60</v>
      </c>
      <c r="L70" s="5" t="s">
        <v>27</v>
      </c>
      <c r="M70" s="5">
        <v>7.5</v>
      </c>
      <c r="P70" s="5">
        <v>40</v>
      </c>
      <c r="Q70" s="5" t="s">
        <v>80</v>
      </c>
      <c r="R70" s="59">
        <v>125626</v>
      </c>
      <c r="S70" s="59" t="s">
        <v>376</v>
      </c>
      <c r="T70" s="59" t="s">
        <v>347</v>
      </c>
      <c r="V70" s="5">
        <v>0</v>
      </c>
      <c r="Y70" s="5">
        <v>0</v>
      </c>
      <c r="Z70" s="5">
        <v>0</v>
      </c>
      <c r="AA70" s="5">
        <v>0</v>
      </c>
      <c r="AB70" s="5">
        <v>899703.6</v>
      </c>
      <c r="AC70" s="5">
        <v>0</v>
      </c>
      <c r="AD70" s="5">
        <v>0</v>
      </c>
      <c r="AE70" s="5">
        <v>0</v>
      </c>
      <c r="AQ70" s="5">
        <v>182379</v>
      </c>
    </row>
    <row r="71" spans="1:43" x14ac:dyDescent="0.25">
      <c r="A71" s="13" t="s">
        <v>386</v>
      </c>
      <c r="C71" s="5">
        <v>2</v>
      </c>
      <c r="D71" s="5">
        <v>1</v>
      </c>
      <c r="E71" s="5">
        <v>56039200</v>
      </c>
      <c r="F71" s="5">
        <v>267890</v>
      </c>
      <c r="G71" s="5" t="s">
        <v>323</v>
      </c>
      <c r="H71" s="5" t="s">
        <v>60</v>
      </c>
      <c r="I71" s="5" t="s">
        <v>60</v>
      </c>
      <c r="J71" s="5" t="s">
        <v>60</v>
      </c>
      <c r="K71" s="5" t="s">
        <v>60</v>
      </c>
      <c r="L71" s="5" t="s">
        <v>11</v>
      </c>
      <c r="M71" s="5">
        <v>9.1999999999999993</v>
      </c>
      <c r="P71" s="5">
        <v>40</v>
      </c>
      <c r="Q71" s="5" t="s">
        <v>80</v>
      </c>
      <c r="R71" s="59">
        <v>604646</v>
      </c>
      <c r="S71" s="59" t="s">
        <v>377</v>
      </c>
      <c r="T71" s="59" t="s">
        <v>348</v>
      </c>
      <c r="V71" s="5">
        <v>0</v>
      </c>
      <c r="Y71" s="5">
        <v>0</v>
      </c>
      <c r="Z71" s="5">
        <v>0</v>
      </c>
      <c r="AA71" s="5">
        <v>0</v>
      </c>
      <c r="AB71" s="5">
        <v>27197.13</v>
      </c>
      <c r="AC71" s="5">
        <v>0</v>
      </c>
      <c r="AD71" s="5">
        <v>0</v>
      </c>
      <c r="AE71" s="5">
        <v>0</v>
      </c>
      <c r="AQ71" s="5">
        <v>182379</v>
      </c>
    </row>
    <row r="72" spans="1:43" x14ac:dyDescent="0.25">
      <c r="A72" s="13" t="s">
        <v>386</v>
      </c>
      <c r="C72" s="5">
        <v>3</v>
      </c>
      <c r="D72" s="5">
        <v>1</v>
      </c>
      <c r="E72" s="5" t="s">
        <v>443</v>
      </c>
      <c r="F72" s="5">
        <v>173758</v>
      </c>
      <c r="G72" s="5" t="s">
        <v>445</v>
      </c>
      <c r="H72" s="5" t="s">
        <v>60</v>
      </c>
      <c r="I72" s="5" t="s">
        <v>60</v>
      </c>
      <c r="J72" s="5" t="s">
        <v>60</v>
      </c>
      <c r="K72" s="5" t="s">
        <v>60</v>
      </c>
      <c r="L72" s="5" t="s">
        <v>14</v>
      </c>
      <c r="M72" s="5">
        <v>0</v>
      </c>
      <c r="P72" s="5">
        <v>2710542</v>
      </c>
      <c r="Q72" s="5" t="s">
        <v>80</v>
      </c>
      <c r="R72" s="59"/>
      <c r="S72" s="59" t="s">
        <v>457</v>
      </c>
      <c r="T72" s="59" t="s">
        <v>450</v>
      </c>
      <c r="V72" s="5">
        <v>0</v>
      </c>
      <c r="Y72" s="5">
        <v>0</v>
      </c>
      <c r="Z72" s="5">
        <v>0</v>
      </c>
      <c r="AA72" s="5">
        <v>0</v>
      </c>
      <c r="AB72" s="5" t="e">
        <v>#VALUE!</v>
      </c>
      <c r="AC72" s="5">
        <v>0</v>
      </c>
      <c r="AD72" s="5">
        <v>0</v>
      </c>
      <c r="AE72" s="5">
        <v>0</v>
      </c>
      <c r="AQ72" s="5">
        <v>182379</v>
      </c>
    </row>
    <row r="73" spans="1:43" x14ac:dyDescent="0.25">
      <c r="A73" s="13" t="s">
        <v>386</v>
      </c>
      <c r="C73" s="5">
        <v>4</v>
      </c>
      <c r="D73" s="5">
        <v>1</v>
      </c>
      <c r="E73" s="5">
        <v>54011090</v>
      </c>
      <c r="F73" s="5">
        <v>241659</v>
      </c>
      <c r="G73" s="5" t="s">
        <v>446</v>
      </c>
      <c r="H73" s="5" t="s">
        <v>60</v>
      </c>
      <c r="I73" s="5" t="s">
        <v>60</v>
      </c>
      <c r="J73" s="5" t="s">
        <v>60</v>
      </c>
      <c r="K73" s="5" t="s">
        <v>60</v>
      </c>
      <c r="L73" s="5" t="s">
        <v>14</v>
      </c>
      <c r="M73" s="5">
        <v>0</v>
      </c>
      <c r="P73" s="5">
        <v>40</v>
      </c>
      <c r="Q73" s="5" t="s">
        <v>80</v>
      </c>
      <c r="R73" s="59">
        <v>41127</v>
      </c>
      <c r="S73" s="59" t="s">
        <v>458</v>
      </c>
      <c r="T73" s="59" t="s">
        <v>451</v>
      </c>
      <c r="V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Q73" s="5">
        <v>182379</v>
      </c>
    </row>
    <row r="74" spans="1:43" x14ac:dyDescent="0.25">
      <c r="A74" s="13" t="s">
        <v>386</v>
      </c>
      <c r="C74" s="5">
        <v>5</v>
      </c>
      <c r="D74" s="5">
        <v>1</v>
      </c>
      <c r="E74" s="5">
        <v>96062100</v>
      </c>
      <c r="F74" s="5">
        <v>270819</v>
      </c>
      <c r="G74" s="5" t="s">
        <v>324</v>
      </c>
      <c r="H74" s="5" t="s">
        <v>60</v>
      </c>
      <c r="I74" s="5" t="s">
        <v>60</v>
      </c>
      <c r="J74" s="5" t="s">
        <v>60</v>
      </c>
      <c r="K74" s="5" t="s">
        <v>60</v>
      </c>
      <c r="L74" s="5" t="s">
        <v>12</v>
      </c>
      <c r="M74" s="5">
        <v>600</v>
      </c>
      <c r="P74" s="5">
        <v>40</v>
      </c>
      <c r="Q74" s="5" t="s">
        <v>80</v>
      </c>
      <c r="R74" s="59">
        <v>115656</v>
      </c>
      <c r="S74" s="59" t="s">
        <v>378</v>
      </c>
      <c r="T74" s="59" t="s">
        <v>349</v>
      </c>
      <c r="V74" s="5">
        <v>0</v>
      </c>
      <c r="Y74" s="5">
        <v>0</v>
      </c>
      <c r="Z74" s="5">
        <v>0</v>
      </c>
      <c r="AA74" s="5">
        <v>0</v>
      </c>
      <c r="AB74" s="5">
        <v>57000</v>
      </c>
      <c r="AC74" s="5">
        <v>0</v>
      </c>
      <c r="AD74" s="5">
        <v>0</v>
      </c>
      <c r="AE74" s="5">
        <v>0</v>
      </c>
      <c r="AQ74" s="5">
        <v>182379</v>
      </c>
    </row>
    <row r="75" spans="1:43" x14ac:dyDescent="0.25">
      <c r="A75" s="13" t="s">
        <v>386</v>
      </c>
      <c r="C75" s="5">
        <v>6</v>
      </c>
      <c r="D75" s="5">
        <v>1</v>
      </c>
      <c r="F75" s="5">
        <v>270819</v>
      </c>
      <c r="G75" s="5" t="s">
        <v>448</v>
      </c>
      <c r="H75" s="5" t="s">
        <v>60</v>
      </c>
      <c r="I75" s="5" t="s">
        <v>60</v>
      </c>
      <c r="J75" s="5" t="s">
        <v>60</v>
      </c>
      <c r="K75" s="5" t="s">
        <v>60</v>
      </c>
      <c r="L75" s="5" t="s">
        <v>12</v>
      </c>
      <c r="M75" s="5">
        <v>0</v>
      </c>
      <c r="P75" s="5">
        <v>40</v>
      </c>
      <c r="Q75" s="5" t="s">
        <v>80</v>
      </c>
      <c r="R75" s="59">
        <v>7444</v>
      </c>
      <c r="S75" s="59" t="s">
        <v>461</v>
      </c>
      <c r="T75" s="59" t="s">
        <v>455</v>
      </c>
      <c r="V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Q75" s="5">
        <v>182379</v>
      </c>
    </row>
    <row r="76" spans="1:43" x14ac:dyDescent="0.25">
      <c r="A76" s="13" t="s">
        <v>386</v>
      </c>
      <c r="C76" s="5">
        <v>7</v>
      </c>
      <c r="D76" s="5">
        <v>1</v>
      </c>
      <c r="E76" s="5">
        <v>39191020</v>
      </c>
      <c r="F76" s="5">
        <v>273158</v>
      </c>
      <c r="G76" s="5" t="s">
        <v>325</v>
      </c>
      <c r="H76" s="5" t="s">
        <v>60</v>
      </c>
      <c r="I76" s="5" t="s">
        <v>60</v>
      </c>
      <c r="J76" s="5" t="s">
        <v>60</v>
      </c>
      <c r="K76" s="5" t="s">
        <v>60</v>
      </c>
      <c r="L76" s="5" t="s">
        <v>27</v>
      </c>
      <c r="M76" s="5">
        <v>43.16</v>
      </c>
      <c r="P76" s="5">
        <v>40</v>
      </c>
      <c r="Q76" s="5" t="s">
        <v>80</v>
      </c>
      <c r="R76" s="59">
        <v>37729</v>
      </c>
      <c r="S76" s="59" t="s">
        <v>381</v>
      </c>
      <c r="T76" s="59" t="s">
        <v>352</v>
      </c>
      <c r="V76" s="5">
        <v>0</v>
      </c>
      <c r="Y76" s="5">
        <v>0</v>
      </c>
      <c r="Z76" s="5">
        <v>0</v>
      </c>
      <c r="AA76" s="5">
        <v>0</v>
      </c>
      <c r="AB76" s="5">
        <v>6474000</v>
      </c>
      <c r="AC76" s="5">
        <v>0</v>
      </c>
      <c r="AD76" s="5">
        <v>0</v>
      </c>
      <c r="AE76" s="5">
        <v>0</v>
      </c>
      <c r="AQ76" s="5">
        <v>182379</v>
      </c>
    </row>
    <row r="77" spans="1:43" x14ac:dyDescent="0.25">
      <c r="A77" s="13" t="s">
        <v>386</v>
      </c>
      <c r="C77" s="5">
        <v>8</v>
      </c>
      <c r="D77" s="5">
        <v>1</v>
      </c>
      <c r="E77" s="5">
        <v>48211090</v>
      </c>
      <c r="F77" s="5">
        <v>297274</v>
      </c>
      <c r="G77" s="5" t="s">
        <v>315</v>
      </c>
      <c r="H77" s="5" t="s">
        <v>60</v>
      </c>
      <c r="I77" s="5" t="s">
        <v>60</v>
      </c>
      <c r="J77" s="5" t="s">
        <v>60</v>
      </c>
      <c r="K77" s="5" t="s">
        <v>60</v>
      </c>
      <c r="L77" s="5" t="s">
        <v>12</v>
      </c>
      <c r="M77" s="5">
        <v>200</v>
      </c>
      <c r="P77" s="5">
        <v>40</v>
      </c>
      <c r="Q77" s="5" t="s">
        <v>80</v>
      </c>
      <c r="R77" s="59">
        <v>630212</v>
      </c>
      <c r="S77" s="59" t="s">
        <v>363</v>
      </c>
      <c r="T77" s="59" t="s">
        <v>333</v>
      </c>
      <c r="V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Q77" s="5">
        <v>182379</v>
      </c>
    </row>
    <row r="78" spans="1:43" x14ac:dyDescent="0.25">
      <c r="A78" s="13" t="s">
        <v>386</v>
      </c>
      <c r="C78" s="5">
        <v>9</v>
      </c>
      <c r="D78" s="5">
        <v>1</v>
      </c>
      <c r="E78" s="5">
        <v>48211090</v>
      </c>
      <c r="F78" s="5">
        <v>297275</v>
      </c>
      <c r="G78" s="5" t="s">
        <v>316</v>
      </c>
      <c r="H78" s="5" t="s">
        <v>60</v>
      </c>
      <c r="I78" s="5" t="s">
        <v>60</v>
      </c>
      <c r="J78" s="5" t="s">
        <v>60</v>
      </c>
      <c r="K78" s="5" t="s">
        <v>60</v>
      </c>
      <c r="L78" s="5" t="s">
        <v>12</v>
      </c>
      <c r="M78" s="5">
        <v>30</v>
      </c>
      <c r="P78" s="5">
        <v>40</v>
      </c>
      <c r="Q78" s="5" t="s">
        <v>80</v>
      </c>
      <c r="R78" s="59">
        <v>630212</v>
      </c>
      <c r="S78" s="59" t="s">
        <v>363</v>
      </c>
      <c r="T78" s="59" t="s">
        <v>333</v>
      </c>
      <c r="V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Q78" s="5">
        <v>182379</v>
      </c>
    </row>
    <row r="79" spans="1:43" x14ac:dyDescent="0.25">
      <c r="A79" s="13" t="s">
        <v>386</v>
      </c>
      <c r="C79" s="5">
        <v>10</v>
      </c>
      <c r="D79" s="5">
        <v>1</v>
      </c>
      <c r="E79" s="5">
        <v>48211090</v>
      </c>
      <c r="F79" s="5">
        <v>297276</v>
      </c>
      <c r="G79" s="5" t="s">
        <v>317</v>
      </c>
      <c r="H79" s="5" t="s">
        <v>60</v>
      </c>
      <c r="I79" s="5" t="s">
        <v>60</v>
      </c>
      <c r="J79" s="5" t="s">
        <v>60</v>
      </c>
      <c r="K79" s="5" t="s">
        <v>60</v>
      </c>
      <c r="L79" s="5" t="s">
        <v>12</v>
      </c>
      <c r="M79" s="5">
        <v>70</v>
      </c>
      <c r="P79" s="5">
        <v>40</v>
      </c>
      <c r="Q79" s="5" t="s">
        <v>80</v>
      </c>
      <c r="R79" s="59">
        <v>630212</v>
      </c>
      <c r="S79" s="59" t="s">
        <v>363</v>
      </c>
      <c r="T79" s="59" t="s">
        <v>333</v>
      </c>
      <c r="V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Q79" s="5">
        <v>182379</v>
      </c>
    </row>
    <row r="80" spans="1:43" x14ac:dyDescent="0.25">
      <c r="A80" s="13" t="s">
        <v>386</v>
      </c>
      <c r="C80" s="5">
        <v>11</v>
      </c>
      <c r="D80" s="5">
        <v>1</v>
      </c>
      <c r="E80" s="5">
        <v>48211090</v>
      </c>
      <c r="F80" s="5">
        <v>297277</v>
      </c>
      <c r="G80" s="5" t="s">
        <v>318</v>
      </c>
      <c r="H80" s="5" t="s">
        <v>60</v>
      </c>
      <c r="I80" s="5" t="s">
        <v>60</v>
      </c>
      <c r="J80" s="5" t="s">
        <v>60</v>
      </c>
      <c r="K80" s="5" t="s">
        <v>60</v>
      </c>
      <c r="L80" s="5" t="s">
        <v>12</v>
      </c>
      <c r="M80" s="5">
        <v>50</v>
      </c>
      <c r="P80" s="5">
        <v>40</v>
      </c>
      <c r="Q80" s="5" t="s">
        <v>80</v>
      </c>
      <c r="R80" s="59">
        <v>630212</v>
      </c>
      <c r="S80" s="59" t="s">
        <v>363</v>
      </c>
      <c r="T80" s="59" t="s">
        <v>333</v>
      </c>
      <c r="V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Q80" s="5">
        <v>182379</v>
      </c>
    </row>
    <row r="81" spans="1:43" x14ac:dyDescent="0.25">
      <c r="A81" s="13" t="s">
        <v>386</v>
      </c>
      <c r="C81" s="5">
        <v>12</v>
      </c>
      <c r="D81" s="5">
        <v>1</v>
      </c>
      <c r="E81" s="5">
        <v>48211090</v>
      </c>
      <c r="F81" s="5">
        <v>297278</v>
      </c>
      <c r="G81" s="5" t="s">
        <v>319</v>
      </c>
      <c r="H81" s="5" t="s">
        <v>60</v>
      </c>
      <c r="I81" s="5" t="s">
        <v>60</v>
      </c>
      <c r="J81" s="5" t="s">
        <v>60</v>
      </c>
      <c r="K81" s="5" t="s">
        <v>60</v>
      </c>
      <c r="L81" s="5" t="s">
        <v>12</v>
      </c>
      <c r="M81" s="5">
        <v>50</v>
      </c>
      <c r="P81" s="5">
        <v>40</v>
      </c>
      <c r="Q81" s="5" t="s">
        <v>80</v>
      </c>
      <c r="R81" s="59">
        <v>630212</v>
      </c>
      <c r="S81" s="59" t="s">
        <v>363</v>
      </c>
      <c r="T81" s="59" t="s">
        <v>333</v>
      </c>
      <c r="V81" s="5">
        <v>0</v>
      </c>
      <c r="Y81" s="5">
        <v>0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Q81" s="5">
        <v>182379</v>
      </c>
    </row>
    <row r="82" spans="1:43" x14ac:dyDescent="0.25">
      <c r="A82" s="13" t="s">
        <v>386</v>
      </c>
      <c r="C82" s="5">
        <v>13</v>
      </c>
      <c r="D82" s="5">
        <v>1</v>
      </c>
      <c r="E82" s="5">
        <v>52081900</v>
      </c>
      <c r="F82" s="5">
        <v>274799</v>
      </c>
      <c r="G82" s="5" t="s">
        <v>311</v>
      </c>
      <c r="H82" s="5" t="s">
        <v>60</v>
      </c>
      <c r="I82" s="5" t="s">
        <v>60</v>
      </c>
      <c r="J82" s="5" t="s">
        <v>60</v>
      </c>
      <c r="K82" s="5" t="s">
        <v>60</v>
      </c>
      <c r="L82" s="5" t="s">
        <v>27</v>
      </c>
      <c r="M82" s="5">
        <v>19.2</v>
      </c>
      <c r="P82" s="5">
        <v>40</v>
      </c>
      <c r="Q82" s="5" t="s">
        <v>80</v>
      </c>
      <c r="R82" s="59">
        <v>97003</v>
      </c>
      <c r="S82" s="59" t="s">
        <v>358</v>
      </c>
      <c r="T82" s="59" t="s">
        <v>327</v>
      </c>
      <c r="V82" s="5">
        <v>0</v>
      </c>
      <c r="Y82" s="5">
        <v>0</v>
      </c>
      <c r="Z82" s="5">
        <v>0</v>
      </c>
      <c r="AA82" s="5">
        <v>0</v>
      </c>
      <c r="AB82" s="5">
        <v>2303241.2200000002</v>
      </c>
      <c r="AC82" s="5">
        <v>0</v>
      </c>
      <c r="AD82" s="5">
        <v>0</v>
      </c>
      <c r="AE82" s="5">
        <v>0</v>
      </c>
      <c r="AQ82" s="5">
        <v>182380</v>
      </c>
    </row>
    <row r="83" spans="1:43" x14ac:dyDescent="0.25">
      <c r="A83" s="13" t="s">
        <v>386</v>
      </c>
      <c r="C83" s="5">
        <v>1</v>
      </c>
      <c r="D83" s="5">
        <v>1</v>
      </c>
      <c r="E83" s="5">
        <v>52081900</v>
      </c>
      <c r="F83" s="5">
        <v>275340</v>
      </c>
      <c r="G83" s="5" t="s">
        <v>312</v>
      </c>
      <c r="H83" s="5" t="s">
        <v>60</v>
      </c>
      <c r="I83" s="5" t="s">
        <v>60</v>
      </c>
      <c r="J83" s="5" t="s">
        <v>60</v>
      </c>
      <c r="K83" s="5" t="s">
        <v>60</v>
      </c>
      <c r="L83" s="5" t="s">
        <v>27</v>
      </c>
      <c r="M83" s="5">
        <v>19.2</v>
      </c>
      <c r="P83" s="5">
        <v>40</v>
      </c>
      <c r="Q83" s="5" t="s">
        <v>80</v>
      </c>
      <c r="R83" s="59">
        <v>126822</v>
      </c>
      <c r="S83" s="59" t="s">
        <v>382</v>
      </c>
      <c r="T83" s="59" t="s">
        <v>353</v>
      </c>
      <c r="V83" s="5">
        <v>0</v>
      </c>
      <c r="Y83" s="5">
        <v>0</v>
      </c>
      <c r="Z83" s="5">
        <v>0</v>
      </c>
      <c r="AA83" s="5">
        <v>0</v>
      </c>
      <c r="AB83" s="5">
        <v>2303241.2200000002</v>
      </c>
      <c r="AC83" s="5">
        <v>0</v>
      </c>
      <c r="AD83" s="5">
        <v>0</v>
      </c>
      <c r="AE83" s="5">
        <v>0</v>
      </c>
      <c r="AQ83" s="5">
        <v>182380</v>
      </c>
    </row>
    <row r="84" spans="1:43" x14ac:dyDescent="0.25">
      <c r="A84" s="13" t="s">
        <v>386</v>
      </c>
      <c r="C84" s="5">
        <v>2</v>
      </c>
      <c r="D84" s="5">
        <v>1</v>
      </c>
      <c r="E84" s="5">
        <v>56039200</v>
      </c>
      <c r="F84" s="5">
        <v>267890</v>
      </c>
      <c r="G84" s="5" t="s">
        <v>323</v>
      </c>
      <c r="H84" s="5" t="s">
        <v>60</v>
      </c>
      <c r="I84" s="5" t="s">
        <v>60</v>
      </c>
      <c r="J84" s="5" t="s">
        <v>60</v>
      </c>
      <c r="K84" s="5" t="s">
        <v>60</v>
      </c>
      <c r="L84" s="5" t="s">
        <v>11</v>
      </c>
      <c r="M84" s="5">
        <v>8</v>
      </c>
      <c r="P84" s="5">
        <v>40</v>
      </c>
      <c r="Q84" s="5" t="s">
        <v>80</v>
      </c>
      <c r="R84" s="59">
        <v>604646</v>
      </c>
      <c r="S84" s="59" t="s">
        <v>377</v>
      </c>
      <c r="T84" s="59" t="s">
        <v>348</v>
      </c>
      <c r="V84" s="5">
        <v>0</v>
      </c>
      <c r="Y84" s="5">
        <v>0</v>
      </c>
      <c r="Z84" s="5">
        <v>0</v>
      </c>
      <c r="AA84" s="5">
        <v>0</v>
      </c>
      <c r="AB84" s="5">
        <v>23649.68</v>
      </c>
      <c r="AC84" s="5">
        <v>0</v>
      </c>
      <c r="AD84" s="5">
        <v>0</v>
      </c>
      <c r="AE84" s="5">
        <v>0</v>
      </c>
      <c r="AQ84" s="5">
        <v>182380</v>
      </c>
    </row>
    <row r="85" spans="1:43" x14ac:dyDescent="0.25">
      <c r="A85" s="13" t="s">
        <v>386</v>
      </c>
      <c r="C85" s="5">
        <v>3</v>
      </c>
      <c r="D85" s="5">
        <v>1</v>
      </c>
      <c r="E85" s="5" t="s">
        <v>443</v>
      </c>
      <c r="F85" s="5">
        <v>173758</v>
      </c>
      <c r="G85" s="5" t="s">
        <v>445</v>
      </c>
      <c r="H85" s="5" t="s">
        <v>60</v>
      </c>
      <c r="I85" s="5" t="s">
        <v>60</v>
      </c>
      <c r="J85" s="5" t="s">
        <v>60</v>
      </c>
      <c r="K85" s="5" t="s">
        <v>60</v>
      </c>
      <c r="L85" s="5" t="s">
        <v>14</v>
      </c>
      <c r="M85" s="5">
        <v>0</v>
      </c>
      <c r="P85" s="5">
        <v>2710542</v>
      </c>
      <c r="Q85" s="5" t="s">
        <v>80</v>
      </c>
      <c r="R85" s="59"/>
      <c r="S85" s="59" t="s">
        <v>457</v>
      </c>
      <c r="T85" s="59" t="s">
        <v>450</v>
      </c>
      <c r="V85" s="5">
        <v>0</v>
      </c>
      <c r="Y85" s="5">
        <v>0</v>
      </c>
      <c r="Z85" s="5">
        <v>0</v>
      </c>
      <c r="AA85" s="5">
        <v>0</v>
      </c>
      <c r="AB85" s="5" t="e">
        <v>#VALUE!</v>
      </c>
      <c r="AC85" s="5">
        <v>0</v>
      </c>
      <c r="AD85" s="5">
        <v>0</v>
      </c>
      <c r="AE85" s="5">
        <v>0</v>
      </c>
      <c r="AQ85" s="5">
        <v>182380</v>
      </c>
    </row>
    <row r="86" spans="1:43" x14ac:dyDescent="0.25">
      <c r="A86" s="13" t="s">
        <v>386</v>
      </c>
      <c r="C86" s="5">
        <v>4</v>
      </c>
      <c r="D86" s="5">
        <v>1</v>
      </c>
      <c r="E86" s="5">
        <v>54011090</v>
      </c>
      <c r="F86" s="5">
        <v>241659</v>
      </c>
      <c r="G86" s="5" t="s">
        <v>446</v>
      </c>
      <c r="H86" s="5" t="s">
        <v>60</v>
      </c>
      <c r="I86" s="5" t="s">
        <v>60</v>
      </c>
      <c r="J86" s="5" t="s">
        <v>60</v>
      </c>
      <c r="K86" s="5" t="s">
        <v>60</v>
      </c>
      <c r="L86" s="5" t="s">
        <v>14</v>
      </c>
      <c r="M86" s="5">
        <v>0</v>
      </c>
      <c r="P86" s="5">
        <v>40</v>
      </c>
      <c r="Q86" s="5" t="s">
        <v>80</v>
      </c>
      <c r="R86" s="59">
        <v>41127</v>
      </c>
      <c r="S86" s="59" t="s">
        <v>458</v>
      </c>
      <c r="T86" s="59" t="s">
        <v>451</v>
      </c>
      <c r="V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Q86" s="5">
        <v>182380</v>
      </c>
    </row>
    <row r="87" spans="1:43" x14ac:dyDescent="0.25">
      <c r="A87" s="13" t="s">
        <v>386</v>
      </c>
      <c r="C87" s="5">
        <v>5</v>
      </c>
      <c r="D87" s="5">
        <v>1</v>
      </c>
      <c r="E87" s="5">
        <v>39191020</v>
      </c>
      <c r="F87" s="5">
        <v>273158</v>
      </c>
      <c r="G87" s="5" t="s">
        <v>325</v>
      </c>
      <c r="H87" s="5" t="s">
        <v>60</v>
      </c>
      <c r="I87" s="5" t="s">
        <v>60</v>
      </c>
      <c r="J87" s="5" t="s">
        <v>60</v>
      </c>
      <c r="K87" s="5" t="s">
        <v>60</v>
      </c>
      <c r="L87" s="5" t="s">
        <v>27</v>
      </c>
      <c r="M87" s="5">
        <v>86.32</v>
      </c>
      <c r="P87" s="5">
        <v>40</v>
      </c>
      <c r="Q87" s="5" t="s">
        <v>80</v>
      </c>
      <c r="R87" s="59">
        <v>76625</v>
      </c>
      <c r="S87" s="59" t="s">
        <v>383</v>
      </c>
      <c r="T87" s="59" t="s">
        <v>354</v>
      </c>
      <c r="V87" s="5">
        <v>0</v>
      </c>
      <c r="Y87" s="5">
        <v>0</v>
      </c>
      <c r="Z87" s="5">
        <v>0</v>
      </c>
      <c r="AA87" s="5">
        <v>0</v>
      </c>
      <c r="AB87" s="5">
        <v>12948000</v>
      </c>
      <c r="AC87" s="5">
        <v>0</v>
      </c>
      <c r="AD87" s="5">
        <v>0</v>
      </c>
      <c r="AE87" s="5">
        <v>0</v>
      </c>
      <c r="AQ87" s="5">
        <v>182380</v>
      </c>
    </row>
    <row r="88" spans="1:43" x14ac:dyDescent="0.25">
      <c r="A88" s="13" t="s">
        <v>386</v>
      </c>
      <c r="C88" s="5">
        <v>6</v>
      </c>
      <c r="D88" s="5">
        <v>1</v>
      </c>
      <c r="E88" s="5">
        <v>48211090</v>
      </c>
      <c r="F88" s="5">
        <v>297274</v>
      </c>
      <c r="G88" s="5" t="s">
        <v>315</v>
      </c>
      <c r="H88" s="5" t="s">
        <v>60</v>
      </c>
      <c r="I88" s="5" t="s">
        <v>60</v>
      </c>
      <c r="J88" s="5" t="s">
        <v>60</v>
      </c>
      <c r="K88" s="5" t="s">
        <v>60</v>
      </c>
      <c r="L88" s="5" t="s">
        <v>12</v>
      </c>
      <c r="M88" s="5">
        <v>400</v>
      </c>
      <c r="P88" s="5">
        <v>40</v>
      </c>
      <c r="Q88" s="5" t="s">
        <v>80</v>
      </c>
      <c r="R88" s="59">
        <v>630212</v>
      </c>
      <c r="S88" s="59" t="s">
        <v>363</v>
      </c>
      <c r="T88" s="59" t="s">
        <v>333</v>
      </c>
      <c r="V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Q88" s="5">
        <v>182380</v>
      </c>
    </row>
    <row r="89" spans="1:43" x14ac:dyDescent="0.25">
      <c r="A89" s="13" t="s">
        <v>386</v>
      </c>
      <c r="C89" s="5">
        <v>7</v>
      </c>
      <c r="D89" s="5">
        <v>1</v>
      </c>
      <c r="E89" s="5">
        <v>48211090</v>
      </c>
      <c r="F89" s="5">
        <v>297275</v>
      </c>
      <c r="G89" s="5" t="s">
        <v>316</v>
      </c>
      <c r="H89" s="5" t="s">
        <v>60</v>
      </c>
      <c r="I89" s="5" t="s">
        <v>60</v>
      </c>
      <c r="J89" s="5" t="s">
        <v>60</v>
      </c>
      <c r="K89" s="5" t="s">
        <v>60</v>
      </c>
      <c r="L89" s="5" t="s">
        <v>12</v>
      </c>
      <c r="M89" s="5">
        <v>60</v>
      </c>
      <c r="P89" s="5">
        <v>40</v>
      </c>
      <c r="Q89" s="5" t="s">
        <v>80</v>
      </c>
      <c r="R89" s="59">
        <v>630212</v>
      </c>
      <c r="S89" s="59" t="s">
        <v>363</v>
      </c>
      <c r="T89" s="59" t="s">
        <v>333</v>
      </c>
      <c r="V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Q89" s="5">
        <v>182380</v>
      </c>
    </row>
    <row r="90" spans="1:43" x14ac:dyDescent="0.25">
      <c r="A90" s="13" t="s">
        <v>386</v>
      </c>
      <c r="C90" s="5">
        <v>8</v>
      </c>
      <c r="D90" s="5">
        <v>1</v>
      </c>
      <c r="E90" s="5">
        <v>48211090</v>
      </c>
      <c r="F90" s="5">
        <v>297276</v>
      </c>
      <c r="G90" s="5" t="s">
        <v>317</v>
      </c>
      <c r="H90" s="5" t="s">
        <v>60</v>
      </c>
      <c r="I90" s="5" t="s">
        <v>60</v>
      </c>
      <c r="J90" s="5" t="s">
        <v>60</v>
      </c>
      <c r="K90" s="5" t="s">
        <v>60</v>
      </c>
      <c r="L90" s="5" t="s">
        <v>12</v>
      </c>
      <c r="M90" s="5">
        <v>140</v>
      </c>
      <c r="P90" s="5">
        <v>40</v>
      </c>
      <c r="Q90" s="5" t="s">
        <v>80</v>
      </c>
      <c r="R90" s="59">
        <v>630212</v>
      </c>
      <c r="S90" s="59" t="s">
        <v>363</v>
      </c>
      <c r="T90" s="59" t="s">
        <v>333</v>
      </c>
      <c r="V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Q90" s="5">
        <v>182380</v>
      </c>
    </row>
    <row r="91" spans="1:43" x14ac:dyDescent="0.25">
      <c r="A91" s="13" t="s">
        <v>386</v>
      </c>
      <c r="C91" s="5">
        <v>9</v>
      </c>
      <c r="D91" s="5">
        <v>1</v>
      </c>
      <c r="E91" s="5">
        <v>48211090</v>
      </c>
      <c r="F91" s="5">
        <v>297277</v>
      </c>
      <c r="G91" s="5" t="s">
        <v>318</v>
      </c>
      <c r="H91" s="5" t="s">
        <v>60</v>
      </c>
      <c r="I91" s="5" t="s">
        <v>60</v>
      </c>
      <c r="J91" s="5" t="s">
        <v>60</v>
      </c>
      <c r="K91" s="5" t="s">
        <v>60</v>
      </c>
      <c r="L91" s="5" t="s">
        <v>12</v>
      </c>
      <c r="M91" s="5">
        <v>100</v>
      </c>
      <c r="P91" s="5">
        <v>40</v>
      </c>
      <c r="Q91" s="5" t="s">
        <v>80</v>
      </c>
      <c r="R91" s="59">
        <v>630212</v>
      </c>
      <c r="S91" s="59" t="s">
        <v>363</v>
      </c>
      <c r="T91" s="59" t="s">
        <v>333</v>
      </c>
      <c r="V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Q91" s="5">
        <v>182380</v>
      </c>
    </row>
    <row r="92" spans="1:43" x14ac:dyDescent="0.25">
      <c r="A92" s="13" t="s">
        <v>386</v>
      </c>
      <c r="C92" s="5">
        <v>10</v>
      </c>
      <c r="D92" s="5">
        <v>1</v>
      </c>
      <c r="E92" s="5">
        <v>48211090</v>
      </c>
      <c r="F92" s="5">
        <v>297278</v>
      </c>
      <c r="G92" s="5" t="s">
        <v>319</v>
      </c>
      <c r="H92" s="5" t="s">
        <v>60</v>
      </c>
      <c r="I92" s="5" t="s">
        <v>60</v>
      </c>
      <c r="J92" s="5" t="s">
        <v>60</v>
      </c>
      <c r="K92" s="5" t="s">
        <v>60</v>
      </c>
      <c r="L92" s="5" t="s">
        <v>12</v>
      </c>
      <c r="M92" s="5">
        <v>100</v>
      </c>
      <c r="P92" s="5">
        <v>40</v>
      </c>
      <c r="Q92" s="5" t="s">
        <v>80</v>
      </c>
      <c r="R92" s="59">
        <v>630212</v>
      </c>
      <c r="S92" s="59" t="s">
        <v>363</v>
      </c>
      <c r="T92" s="59" t="s">
        <v>333</v>
      </c>
      <c r="V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Q92" s="5">
        <v>182380</v>
      </c>
    </row>
    <row r="93" spans="1:43" x14ac:dyDescent="0.25">
      <c r="A93" s="13" t="s">
        <v>386</v>
      </c>
      <c r="C93" s="5">
        <v>11</v>
      </c>
      <c r="D93" s="5">
        <v>1</v>
      </c>
      <c r="E93" s="5">
        <v>96062100</v>
      </c>
      <c r="F93" s="5">
        <v>297279</v>
      </c>
      <c r="G93" s="5" t="s">
        <v>326</v>
      </c>
      <c r="H93" s="5" t="s">
        <v>60</v>
      </c>
      <c r="I93" s="5" t="s">
        <v>60</v>
      </c>
      <c r="J93" s="5" t="s">
        <v>60</v>
      </c>
      <c r="K93" s="5" t="s">
        <v>60</v>
      </c>
      <c r="L93" s="5" t="s">
        <v>12</v>
      </c>
      <c r="M93" s="5">
        <v>1600</v>
      </c>
      <c r="P93" s="5">
        <v>40</v>
      </c>
      <c r="Q93" s="5" t="s">
        <v>80</v>
      </c>
      <c r="R93" s="59">
        <v>630212</v>
      </c>
      <c r="S93" s="59" t="s">
        <v>363</v>
      </c>
      <c r="T93" s="59" t="s">
        <v>333</v>
      </c>
      <c r="V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Q93" s="5">
        <v>182380</v>
      </c>
    </row>
    <row r="94" spans="1:43" x14ac:dyDescent="0.25">
      <c r="R94" s="59"/>
    </row>
    <row r="95" spans="1:43" x14ac:dyDescent="0.25">
      <c r="R95" s="59"/>
    </row>
    <row r="96" spans="1:43" x14ac:dyDescent="0.25">
      <c r="R96" s="59"/>
    </row>
    <row r="97" spans="18:18" x14ac:dyDescent="0.25">
      <c r="R97" s="59"/>
    </row>
    <row r="98" spans="18:18" x14ac:dyDescent="0.25">
      <c r="R98" s="59"/>
    </row>
    <row r="99" spans="18:18" x14ac:dyDescent="0.25">
      <c r="R99" s="59"/>
    </row>
    <row r="100" spans="18:18" x14ac:dyDescent="0.25">
      <c r="R100" s="59"/>
    </row>
    <row r="101" spans="18:18" x14ac:dyDescent="0.25">
      <c r="R101" s="59"/>
    </row>
    <row r="102" spans="18:18" x14ac:dyDescent="0.25">
      <c r="R102" s="59"/>
    </row>
    <row r="103" spans="18:18" x14ac:dyDescent="0.25">
      <c r="R103" s="59"/>
    </row>
    <row r="104" spans="18:18" x14ac:dyDescent="0.25">
      <c r="R104" s="59"/>
    </row>
    <row r="105" spans="18:18" x14ac:dyDescent="0.25">
      <c r="R105" s="59"/>
    </row>
    <row r="106" spans="18:18" x14ac:dyDescent="0.25">
      <c r="R106" s="59"/>
    </row>
    <row r="107" spans="18:18" x14ac:dyDescent="0.25">
      <c r="R107" s="59"/>
    </row>
    <row r="108" spans="18:18" x14ac:dyDescent="0.25">
      <c r="R108" s="59"/>
    </row>
    <row r="109" spans="18:18" x14ac:dyDescent="0.25">
      <c r="R109" s="59"/>
    </row>
    <row r="110" spans="18:18" x14ac:dyDescent="0.25">
      <c r="R110" s="59"/>
    </row>
    <row r="111" spans="18:18" x14ac:dyDescent="0.25">
      <c r="R111" s="59"/>
    </row>
    <row r="112" spans="18:18" x14ac:dyDescent="0.25">
      <c r="R112" s="59"/>
    </row>
    <row r="113" spans="18:18" x14ac:dyDescent="0.25">
      <c r="R113" s="59"/>
    </row>
    <row r="114" spans="18:18" x14ac:dyDescent="0.25">
      <c r="R114" s="59"/>
    </row>
    <row r="115" spans="18:18" x14ac:dyDescent="0.25">
      <c r="R115" s="59"/>
    </row>
    <row r="116" spans="18:18" x14ac:dyDescent="0.25">
      <c r="R116" s="59"/>
    </row>
    <row r="117" spans="18:18" x14ac:dyDescent="0.25">
      <c r="R117" s="59"/>
    </row>
    <row r="118" spans="18:18" x14ac:dyDescent="0.25">
      <c r="R118" s="59"/>
    </row>
    <row r="119" spans="18:18" x14ac:dyDescent="0.25">
      <c r="R119" s="59"/>
    </row>
    <row r="120" spans="18:18" x14ac:dyDescent="0.25">
      <c r="R120" s="59"/>
    </row>
    <row r="121" spans="18:18" x14ac:dyDescent="0.25">
      <c r="R121" s="59"/>
    </row>
    <row r="122" spans="18:18" x14ac:dyDescent="0.25">
      <c r="R122" s="59"/>
    </row>
    <row r="123" spans="18:18" x14ac:dyDescent="0.25">
      <c r="R123" s="59"/>
    </row>
    <row r="124" spans="18:18" x14ac:dyDescent="0.25">
      <c r="R124" s="59"/>
    </row>
    <row r="125" spans="18:18" x14ac:dyDescent="0.25">
      <c r="R125" s="59"/>
    </row>
    <row r="126" spans="18:18" x14ac:dyDescent="0.25">
      <c r="R126" s="59"/>
    </row>
    <row r="127" spans="18:18" x14ac:dyDescent="0.25">
      <c r="R127" s="59"/>
    </row>
    <row r="128" spans="18:18" x14ac:dyDescent="0.25">
      <c r="R128" s="59"/>
    </row>
    <row r="129" spans="18:18" x14ac:dyDescent="0.25">
      <c r="R129" s="59"/>
    </row>
    <row r="130" spans="18:18" x14ac:dyDescent="0.25">
      <c r="R130" s="59"/>
    </row>
    <row r="131" spans="18:18" x14ac:dyDescent="0.25">
      <c r="R131" s="59"/>
    </row>
    <row r="132" spans="18:18" x14ac:dyDescent="0.25">
      <c r="R132" s="59"/>
    </row>
    <row r="133" spans="18:18" x14ac:dyDescent="0.25">
      <c r="R133" s="59"/>
    </row>
    <row r="134" spans="18:18" x14ac:dyDescent="0.25">
      <c r="R134" s="59"/>
    </row>
    <row r="135" spans="18:18" x14ac:dyDescent="0.25">
      <c r="R135" s="59"/>
    </row>
    <row r="136" spans="18:18" x14ac:dyDescent="0.25">
      <c r="R136" s="59"/>
    </row>
    <row r="137" spans="18:18" x14ac:dyDescent="0.25">
      <c r="R137" s="59"/>
    </row>
    <row r="138" spans="18:18" x14ac:dyDescent="0.25">
      <c r="R138" s="59"/>
    </row>
    <row r="139" spans="18:18" x14ac:dyDescent="0.25">
      <c r="R139" s="59"/>
    </row>
    <row r="140" spans="18:18" x14ac:dyDescent="0.25">
      <c r="R140" s="59"/>
    </row>
    <row r="141" spans="18:18" x14ac:dyDescent="0.25">
      <c r="R141" s="59"/>
    </row>
    <row r="142" spans="18:18" x14ac:dyDescent="0.25">
      <c r="R142" s="59"/>
    </row>
    <row r="143" spans="18:18" x14ac:dyDescent="0.25">
      <c r="R143" s="59"/>
    </row>
    <row r="144" spans="18:18" x14ac:dyDescent="0.25">
      <c r="R144" s="59"/>
    </row>
    <row r="145" spans="18:18" x14ac:dyDescent="0.25">
      <c r="R145" s="59"/>
    </row>
    <row r="146" spans="18:18" x14ac:dyDescent="0.25">
      <c r="R146" s="59"/>
    </row>
    <row r="147" spans="18:18" x14ac:dyDescent="0.25">
      <c r="R147" s="59"/>
    </row>
    <row r="148" spans="18:18" x14ac:dyDescent="0.25">
      <c r="R148" s="59"/>
    </row>
    <row r="149" spans="18:18" x14ac:dyDescent="0.25">
      <c r="R149" s="59"/>
    </row>
    <row r="150" spans="18:18" x14ac:dyDescent="0.25">
      <c r="R150" s="59"/>
    </row>
    <row r="151" spans="18:18" x14ac:dyDescent="0.25">
      <c r="R151" s="59"/>
    </row>
    <row r="152" spans="18:18" x14ac:dyDescent="0.25">
      <c r="R152" s="59"/>
    </row>
    <row r="153" spans="18:18" x14ac:dyDescent="0.25">
      <c r="R153" s="59"/>
    </row>
    <row r="154" spans="18:18" x14ac:dyDescent="0.25">
      <c r="R154" s="59"/>
    </row>
    <row r="155" spans="18:18" x14ac:dyDescent="0.25">
      <c r="R155" s="59"/>
    </row>
    <row r="156" spans="18:18" x14ac:dyDescent="0.25">
      <c r="R156" s="59"/>
    </row>
    <row r="157" spans="18:18" x14ac:dyDescent="0.25">
      <c r="R157" s="59"/>
    </row>
    <row r="158" spans="18:18" x14ac:dyDescent="0.25">
      <c r="R158" s="59"/>
    </row>
    <row r="159" spans="18:18" x14ac:dyDescent="0.25">
      <c r="R159" s="59"/>
    </row>
    <row r="160" spans="18:18" x14ac:dyDescent="0.25">
      <c r="R160" s="59"/>
    </row>
    <row r="161" spans="18:18" x14ac:dyDescent="0.25">
      <c r="R161" s="59"/>
    </row>
    <row r="162" spans="18:18" x14ac:dyDescent="0.25">
      <c r="R162" s="59"/>
    </row>
    <row r="163" spans="18:18" x14ac:dyDescent="0.25">
      <c r="R163" s="59"/>
    </row>
    <row r="164" spans="18:18" x14ac:dyDescent="0.25">
      <c r="R164" s="59"/>
    </row>
    <row r="165" spans="18:18" x14ac:dyDescent="0.25">
      <c r="R165" s="59"/>
    </row>
    <row r="166" spans="18:18" x14ac:dyDescent="0.25">
      <c r="R166" s="59"/>
    </row>
    <row r="167" spans="18:18" x14ac:dyDescent="0.25">
      <c r="R167" s="59"/>
    </row>
    <row r="168" spans="18:18" x14ac:dyDescent="0.25">
      <c r="R168" s="59"/>
    </row>
    <row r="169" spans="18:18" x14ac:dyDescent="0.25">
      <c r="R169" s="59"/>
    </row>
    <row r="170" spans="18:18" x14ac:dyDescent="0.25">
      <c r="R170" s="59"/>
    </row>
    <row r="171" spans="18:18" x14ac:dyDescent="0.25">
      <c r="R171" s="59"/>
    </row>
    <row r="172" spans="18:18" x14ac:dyDescent="0.25">
      <c r="R172" s="59"/>
    </row>
    <row r="173" spans="18:18" x14ac:dyDescent="0.25">
      <c r="R173" s="59"/>
    </row>
    <row r="174" spans="18:18" x14ac:dyDescent="0.25">
      <c r="R174" s="59"/>
    </row>
    <row r="175" spans="18:18" x14ac:dyDescent="0.25">
      <c r="R175" s="59"/>
    </row>
    <row r="176" spans="18:18" x14ac:dyDescent="0.25">
      <c r="R176" s="59"/>
    </row>
    <row r="177" spans="18:18" x14ac:dyDescent="0.25">
      <c r="R177" s="59"/>
    </row>
    <row r="178" spans="18:18" x14ac:dyDescent="0.25">
      <c r="R178" s="59"/>
    </row>
    <row r="179" spans="18:18" x14ac:dyDescent="0.25">
      <c r="R179" s="59"/>
    </row>
    <row r="180" spans="18:18" x14ac:dyDescent="0.25">
      <c r="R180" s="59"/>
    </row>
    <row r="181" spans="18:18" x14ac:dyDescent="0.25">
      <c r="R181" s="59"/>
    </row>
    <row r="182" spans="18:18" x14ac:dyDescent="0.25">
      <c r="R182" s="59"/>
    </row>
    <row r="183" spans="18:18" x14ac:dyDescent="0.25">
      <c r="R183" s="59"/>
    </row>
    <row r="184" spans="18:18" x14ac:dyDescent="0.25">
      <c r="R184" s="59"/>
    </row>
    <row r="185" spans="18:18" x14ac:dyDescent="0.25">
      <c r="R185" s="59"/>
    </row>
    <row r="186" spans="18:18" x14ac:dyDescent="0.25">
      <c r="R186" s="59"/>
    </row>
    <row r="187" spans="18:18" x14ac:dyDescent="0.25">
      <c r="R187" s="59"/>
    </row>
    <row r="188" spans="18:18" x14ac:dyDescent="0.25">
      <c r="R188" s="59"/>
    </row>
    <row r="189" spans="18:18" x14ac:dyDescent="0.25">
      <c r="R189" s="59"/>
    </row>
    <row r="190" spans="18:18" x14ac:dyDescent="0.25">
      <c r="R190" s="59"/>
    </row>
    <row r="191" spans="18:18" x14ac:dyDescent="0.25">
      <c r="R191" s="59"/>
    </row>
    <row r="192" spans="18:18" x14ac:dyDescent="0.25">
      <c r="R192" s="59"/>
    </row>
    <row r="193" spans="18:18" x14ac:dyDescent="0.25">
      <c r="R193" s="59"/>
    </row>
    <row r="194" spans="18:18" x14ac:dyDescent="0.25">
      <c r="R194" s="59"/>
    </row>
    <row r="195" spans="18:18" x14ac:dyDescent="0.25">
      <c r="R195" s="59"/>
    </row>
    <row r="196" spans="18:18" x14ac:dyDescent="0.25">
      <c r="R196" s="59"/>
    </row>
    <row r="197" spans="18:18" x14ac:dyDescent="0.25">
      <c r="R197" s="59"/>
    </row>
    <row r="198" spans="18:18" x14ac:dyDescent="0.25">
      <c r="R198" s="59"/>
    </row>
    <row r="199" spans="18:18" x14ac:dyDescent="0.25">
      <c r="R199" s="59"/>
    </row>
    <row r="200" spans="18:18" x14ac:dyDescent="0.25">
      <c r="R200" s="59"/>
    </row>
    <row r="201" spans="18:18" x14ac:dyDescent="0.25">
      <c r="R201" s="59"/>
    </row>
    <row r="202" spans="18:18" x14ac:dyDescent="0.25">
      <c r="R202" s="59"/>
    </row>
    <row r="203" spans="18:18" x14ac:dyDescent="0.25">
      <c r="R203" s="59"/>
    </row>
    <row r="204" spans="18:18" x14ac:dyDescent="0.25">
      <c r="R204" s="59"/>
    </row>
    <row r="205" spans="18:18" x14ac:dyDescent="0.25">
      <c r="R205" s="59"/>
    </row>
    <row r="206" spans="18:18" x14ac:dyDescent="0.25">
      <c r="R206" s="59"/>
    </row>
    <row r="207" spans="18:18" x14ac:dyDescent="0.25">
      <c r="R207" s="59"/>
    </row>
    <row r="208" spans="18:18" x14ac:dyDescent="0.25">
      <c r="R208" s="59"/>
    </row>
    <row r="209" spans="18:18" x14ac:dyDescent="0.25">
      <c r="R209" s="59"/>
    </row>
    <row r="210" spans="18:18" x14ac:dyDescent="0.25">
      <c r="R210" s="59"/>
    </row>
    <row r="211" spans="18:18" x14ac:dyDescent="0.25">
      <c r="R211" s="59"/>
    </row>
    <row r="212" spans="18:18" x14ac:dyDescent="0.25">
      <c r="R212" s="59"/>
    </row>
    <row r="213" spans="18:18" x14ac:dyDescent="0.25">
      <c r="R213" s="59"/>
    </row>
    <row r="214" spans="18:18" x14ac:dyDescent="0.25">
      <c r="R214" s="59"/>
    </row>
    <row r="215" spans="18:18" x14ac:dyDescent="0.25">
      <c r="R215" s="59"/>
    </row>
    <row r="216" spans="18:18" x14ac:dyDescent="0.25">
      <c r="R216" s="59"/>
    </row>
    <row r="217" spans="18:18" x14ac:dyDescent="0.25">
      <c r="R217" s="59"/>
    </row>
    <row r="218" spans="18:18" x14ac:dyDescent="0.25">
      <c r="R218" s="59"/>
    </row>
    <row r="219" spans="18:18" x14ac:dyDescent="0.25">
      <c r="R219" s="59"/>
    </row>
    <row r="220" spans="18:18" x14ac:dyDescent="0.25">
      <c r="R220" s="59"/>
    </row>
    <row r="221" spans="18:18" x14ac:dyDescent="0.25">
      <c r="R221" s="59"/>
    </row>
    <row r="222" spans="18:18" x14ac:dyDescent="0.25">
      <c r="R222" s="59"/>
    </row>
    <row r="223" spans="18:18" x14ac:dyDescent="0.25">
      <c r="R223" s="59"/>
    </row>
    <row r="224" spans="18:18" x14ac:dyDescent="0.25">
      <c r="R224" s="59"/>
    </row>
    <row r="225" spans="18:18" x14ac:dyDescent="0.25">
      <c r="R225" s="59"/>
    </row>
    <row r="226" spans="18:18" x14ac:dyDescent="0.25">
      <c r="R226" s="59"/>
    </row>
    <row r="227" spans="18:18" x14ac:dyDescent="0.25">
      <c r="R227" s="59"/>
    </row>
    <row r="228" spans="18:18" x14ac:dyDescent="0.25">
      <c r="R228" s="59"/>
    </row>
    <row r="229" spans="18:18" x14ac:dyDescent="0.25">
      <c r="R229" s="59"/>
    </row>
    <row r="230" spans="18:18" x14ac:dyDescent="0.25">
      <c r="R230" s="59"/>
    </row>
    <row r="231" spans="18:18" x14ac:dyDescent="0.25">
      <c r="R231" s="59"/>
    </row>
    <row r="232" spans="18:18" x14ac:dyDescent="0.25">
      <c r="R232" s="59"/>
    </row>
    <row r="233" spans="18:18" x14ac:dyDescent="0.25">
      <c r="R233" s="59"/>
    </row>
    <row r="234" spans="18:18" x14ac:dyDescent="0.25">
      <c r="R234" s="59"/>
    </row>
    <row r="235" spans="18:18" x14ac:dyDescent="0.25">
      <c r="R235" s="59"/>
    </row>
    <row r="236" spans="18:18" x14ac:dyDescent="0.25">
      <c r="R236" s="59"/>
    </row>
    <row r="237" spans="18:18" x14ac:dyDescent="0.25">
      <c r="R237" s="59"/>
    </row>
    <row r="238" spans="18:18" x14ac:dyDescent="0.25">
      <c r="R238" s="59"/>
    </row>
    <row r="239" spans="18:18" x14ac:dyDescent="0.25">
      <c r="R239" s="59"/>
    </row>
    <row r="240" spans="18:18" x14ac:dyDescent="0.25">
      <c r="R240" s="59"/>
    </row>
    <row r="241" spans="18:18" x14ac:dyDescent="0.25">
      <c r="R241" s="59"/>
    </row>
    <row r="242" spans="18:18" x14ac:dyDescent="0.25">
      <c r="R242" s="59"/>
    </row>
    <row r="243" spans="18:18" x14ac:dyDescent="0.25">
      <c r="R243" s="59"/>
    </row>
    <row r="244" spans="18:18" x14ac:dyDescent="0.25">
      <c r="R244" s="59"/>
    </row>
    <row r="245" spans="18:18" x14ac:dyDescent="0.25">
      <c r="R245" s="59"/>
    </row>
    <row r="246" spans="18:18" x14ac:dyDescent="0.25">
      <c r="R246" s="59"/>
    </row>
    <row r="247" spans="18:18" x14ac:dyDescent="0.25">
      <c r="R247" s="59"/>
    </row>
    <row r="248" spans="18:18" x14ac:dyDescent="0.25">
      <c r="R248" s="59"/>
    </row>
    <row r="249" spans="18:18" x14ac:dyDescent="0.25">
      <c r="R249" s="59"/>
    </row>
    <row r="250" spans="18:18" x14ac:dyDescent="0.25">
      <c r="R250" s="59"/>
    </row>
    <row r="251" spans="18:18" x14ac:dyDescent="0.25">
      <c r="R251" s="59"/>
    </row>
    <row r="252" spans="18:18" x14ac:dyDescent="0.25">
      <c r="R252" s="59"/>
    </row>
    <row r="253" spans="18:18" x14ac:dyDescent="0.25">
      <c r="R253" s="59"/>
    </row>
    <row r="254" spans="18:18" x14ac:dyDescent="0.25">
      <c r="R254" s="59"/>
    </row>
    <row r="255" spans="18:18" x14ac:dyDescent="0.25">
      <c r="R255" s="59"/>
    </row>
    <row r="256" spans="18:18" x14ac:dyDescent="0.25">
      <c r="R256" s="59"/>
    </row>
    <row r="257" spans="18:18" x14ac:dyDescent="0.25">
      <c r="R257" s="59"/>
    </row>
    <row r="258" spans="18:18" x14ac:dyDescent="0.25">
      <c r="R258" s="59"/>
    </row>
    <row r="259" spans="18:18" x14ac:dyDescent="0.25">
      <c r="R259" s="59"/>
    </row>
    <row r="260" spans="18:18" x14ac:dyDescent="0.25">
      <c r="R260" s="59"/>
    </row>
    <row r="261" spans="18:18" x14ac:dyDescent="0.25">
      <c r="R261" s="59"/>
    </row>
    <row r="262" spans="18:18" x14ac:dyDescent="0.25">
      <c r="R262" s="59"/>
    </row>
    <row r="263" spans="18:18" x14ac:dyDescent="0.25">
      <c r="R263" s="59"/>
    </row>
    <row r="264" spans="18:18" x14ac:dyDescent="0.25">
      <c r="R264" s="59"/>
    </row>
    <row r="265" spans="18:18" x14ac:dyDescent="0.25">
      <c r="R265" s="59"/>
    </row>
    <row r="266" spans="18:18" x14ac:dyDescent="0.25">
      <c r="R266" s="59"/>
    </row>
    <row r="267" spans="18:18" x14ac:dyDescent="0.25">
      <c r="R267" s="59"/>
    </row>
    <row r="268" spans="18:18" x14ac:dyDescent="0.25">
      <c r="R268" s="59"/>
    </row>
    <row r="269" spans="18:18" x14ac:dyDescent="0.25">
      <c r="R269" s="59"/>
    </row>
    <row r="270" spans="18:18" x14ac:dyDescent="0.25">
      <c r="R270" s="59"/>
    </row>
    <row r="271" spans="18:18" x14ac:dyDescent="0.25">
      <c r="R271" s="59"/>
    </row>
    <row r="272" spans="18:18" x14ac:dyDescent="0.25">
      <c r="R272" s="59"/>
    </row>
    <row r="273" spans="18:18" x14ac:dyDescent="0.25">
      <c r="R273" s="59"/>
    </row>
    <row r="274" spans="18:18" x14ac:dyDescent="0.25">
      <c r="R274" s="59"/>
    </row>
    <row r="275" spans="18:18" x14ac:dyDescent="0.25">
      <c r="R275" s="59"/>
    </row>
    <row r="276" spans="18:18" x14ac:dyDescent="0.25">
      <c r="R276" s="59"/>
    </row>
    <row r="277" spans="18:18" x14ac:dyDescent="0.25">
      <c r="R277" s="59"/>
    </row>
    <row r="278" spans="18:18" x14ac:dyDescent="0.25">
      <c r="R278" s="59"/>
    </row>
    <row r="279" spans="18:18" x14ac:dyDescent="0.25">
      <c r="R279" s="59"/>
    </row>
    <row r="280" spans="18:18" x14ac:dyDescent="0.25">
      <c r="R280" s="59"/>
    </row>
    <row r="281" spans="18:18" x14ac:dyDescent="0.25">
      <c r="R281" s="59"/>
    </row>
    <row r="282" spans="18:18" x14ac:dyDescent="0.25">
      <c r="R282" s="59"/>
    </row>
    <row r="283" spans="18:18" x14ac:dyDescent="0.25">
      <c r="R283" s="59"/>
    </row>
    <row r="284" spans="18:18" x14ac:dyDescent="0.25">
      <c r="R284" s="59"/>
    </row>
    <row r="285" spans="18:18" x14ac:dyDescent="0.25">
      <c r="R285" s="59"/>
    </row>
    <row r="286" spans="18:18" x14ac:dyDescent="0.25">
      <c r="R286" s="59"/>
    </row>
    <row r="287" spans="18:18" x14ac:dyDescent="0.25">
      <c r="R287" s="59"/>
    </row>
    <row r="288" spans="18:18" x14ac:dyDescent="0.25">
      <c r="R288" s="59"/>
    </row>
    <row r="289" spans="18:18" x14ac:dyDescent="0.25">
      <c r="R289" s="59"/>
    </row>
    <row r="290" spans="18:18" x14ac:dyDescent="0.25">
      <c r="R290" s="59"/>
    </row>
    <row r="291" spans="18:18" x14ac:dyDescent="0.25">
      <c r="R291" s="59"/>
    </row>
    <row r="292" spans="18:18" x14ac:dyDescent="0.25">
      <c r="R292" s="59"/>
    </row>
    <row r="293" spans="18:18" x14ac:dyDescent="0.25">
      <c r="R293" s="59"/>
    </row>
    <row r="294" spans="18:18" x14ac:dyDescent="0.25">
      <c r="R294" s="59"/>
    </row>
    <row r="295" spans="18:18" x14ac:dyDescent="0.25">
      <c r="R295" s="59"/>
    </row>
    <row r="296" spans="18:18" x14ac:dyDescent="0.25">
      <c r="R296" s="59"/>
    </row>
    <row r="297" spans="18:18" x14ac:dyDescent="0.25">
      <c r="R297" s="59"/>
    </row>
    <row r="298" spans="18:18" x14ac:dyDescent="0.25">
      <c r="R298" s="59"/>
    </row>
    <row r="299" spans="18:18" x14ac:dyDescent="0.25">
      <c r="R299" s="59"/>
    </row>
    <row r="300" spans="18:18" x14ac:dyDescent="0.25">
      <c r="R300" s="59"/>
    </row>
    <row r="301" spans="18:18" x14ac:dyDescent="0.25">
      <c r="R301" s="59"/>
    </row>
    <row r="302" spans="18:18" x14ac:dyDescent="0.25">
      <c r="R302" s="59"/>
    </row>
    <row r="303" spans="18:18" x14ac:dyDescent="0.25">
      <c r="R303" s="59"/>
    </row>
    <row r="304" spans="18:18" x14ac:dyDescent="0.25">
      <c r="R304" s="59"/>
    </row>
    <row r="305" spans="18:18" x14ac:dyDescent="0.25">
      <c r="R305" s="59"/>
    </row>
    <row r="306" spans="18:18" x14ac:dyDescent="0.25">
      <c r="R306" s="59"/>
    </row>
    <row r="307" spans="18:18" x14ac:dyDescent="0.25">
      <c r="R307" s="59"/>
    </row>
    <row r="308" spans="18:18" x14ac:dyDescent="0.25">
      <c r="R308" s="59"/>
    </row>
    <row r="309" spans="18:18" x14ac:dyDescent="0.25">
      <c r="R309" s="59"/>
    </row>
    <row r="310" spans="18:18" x14ac:dyDescent="0.25">
      <c r="R310" s="59"/>
    </row>
    <row r="311" spans="18:18" x14ac:dyDescent="0.25">
      <c r="R311" s="59"/>
    </row>
    <row r="312" spans="18:18" x14ac:dyDescent="0.25">
      <c r="R312" s="59"/>
    </row>
    <row r="313" spans="18:18" x14ac:dyDescent="0.25">
      <c r="R313" s="59"/>
    </row>
    <row r="314" spans="18:18" x14ac:dyDescent="0.25">
      <c r="R314" s="59"/>
    </row>
    <row r="315" spans="18:18" x14ac:dyDescent="0.25">
      <c r="R315" s="59"/>
    </row>
    <row r="316" spans="18:18" x14ac:dyDescent="0.25">
      <c r="R316" s="59"/>
    </row>
    <row r="317" spans="18:18" x14ac:dyDescent="0.25">
      <c r="R317" s="59"/>
    </row>
    <row r="318" spans="18:18" x14ac:dyDescent="0.25">
      <c r="R318" s="59"/>
    </row>
    <row r="319" spans="18:18" x14ac:dyDescent="0.25">
      <c r="R319" s="59"/>
    </row>
    <row r="320" spans="18:18" x14ac:dyDescent="0.25">
      <c r="R320" s="59"/>
    </row>
    <row r="321" spans="18:18" x14ac:dyDescent="0.25">
      <c r="R321" s="59"/>
    </row>
    <row r="322" spans="18:18" x14ac:dyDescent="0.25">
      <c r="R322" s="59"/>
    </row>
    <row r="323" spans="18:18" x14ac:dyDescent="0.25">
      <c r="R323" s="59"/>
    </row>
    <row r="324" spans="18:18" x14ac:dyDescent="0.25">
      <c r="R324" s="59"/>
    </row>
    <row r="325" spans="18:18" x14ac:dyDescent="0.25">
      <c r="R325" s="59"/>
    </row>
    <row r="326" spans="18:18" x14ac:dyDescent="0.25">
      <c r="R326" s="59"/>
    </row>
    <row r="327" spans="18:18" x14ac:dyDescent="0.25">
      <c r="R327" s="59"/>
    </row>
    <row r="328" spans="18:18" x14ac:dyDescent="0.25">
      <c r="R328" s="59"/>
    </row>
    <row r="329" spans="18:18" x14ac:dyDescent="0.25">
      <c r="R329" s="59"/>
    </row>
    <row r="330" spans="18:18" x14ac:dyDescent="0.25">
      <c r="R330" s="59"/>
    </row>
    <row r="331" spans="18:18" x14ac:dyDescent="0.25">
      <c r="R331" s="59"/>
    </row>
    <row r="332" spans="18:18" x14ac:dyDescent="0.25">
      <c r="R332" s="59"/>
    </row>
    <row r="333" spans="18:18" x14ac:dyDescent="0.25">
      <c r="R333" s="59"/>
    </row>
    <row r="334" spans="18:18" x14ac:dyDescent="0.25">
      <c r="R334" s="59"/>
    </row>
    <row r="335" spans="18:18" x14ac:dyDescent="0.25">
      <c r="R335" s="59"/>
    </row>
    <row r="336" spans="18:18" x14ac:dyDescent="0.25">
      <c r="R336" s="59"/>
    </row>
    <row r="337" spans="18:18" x14ac:dyDescent="0.25">
      <c r="R337" s="59"/>
    </row>
    <row r="338" spans="18:18" x14ac:dyDescent="0.25">
      <c r="R338" s="59"/>
    </row>
    <row r="339" spans="18:18" x14ac:dyDescent="0.25">
      <c r="R339" s="59"/>
    </row>
    <row r="340" spans="18:18" x14ac:dyDescent="0.25">
      <c r="R340" s="59"/>
    </row>
    <row r="341" spans="18:18" x14ac:dyDescent="0.25">
      <c r="R341" s="59"/>
    </row>
    <row r="342" spans="18:18" x14ac:dyDescent="0.25">
      <c r="R342" s="59"/>
    </row>
    <row r="343" spans="18:18" x14ac:dyDescent="0.25">
      <c r="R343" s="59"/>
    </row>
    <row r="344" spans="18:18" x14ac:dyDescent="0.25">
      <c r="R344" s="59"/>
    </row>
    <row r="345" spans="18:18" x14ac:dyDescent="0.25">
      <c r="R345" s="59"/>
    </row>
    <row r="346" spans="18:18" x14ac:dyDescent="0.25">
      <c r="R346" s="59"/>
    </row>
    <row r="347" spans="18:18" x14ac:dyDescent="0.25">
      <c r="R347" s="59"/>
    </row>
    <row r="348" spans="18:18" x14ac:dyDescent="0.25">
      <c r="R348" s="59"/>
    </row>
    <row r="349" spans="18:18" x14ac:dyDescent="0.25">
      <c r="R349" s="59"/>
    </row>
    <row r="350" spans="18:18" x14ac:dyDescent="0.25">
      <c r="R350" s="59"/>
    </row>
    <row r="351" spans="18:18" x14ac:dyDescent="0.25">
      <c r="R351" s="59"/>
    </row>
    <row r="352" spans="18:18" x14ac:dyDescent="0.25">
      <c r="R352" s="59"/>
    </row>
    <row r="353" spans="18:18" x14ac:dyDescent="0.25">
      <c r="R353" s="59"/>
    </row>
    <row r="354" spans="18:18" x14ac:dyDescent="0.25">
      <c r="R354" s="59"/>
    </row>
    <row r="355" spans="18:18" x14ac:dyDescent="0.25">
      <c r="R355" s="59"/>
    </row>
    <row r="356" spans="18:18" x14ac:dyDescent="0.25">
      <c r="R356" s="59"/>
    </row>
    <row r="357" spans="18:18" x14ac:dyDescent="0.25">
      <c r="R357" s="59"/>
    </row>
    <row r="358" spans="18:18" x14ac:dyDescent="0.25">
      <c r="R358" s="59"/>
    </row>
    <row r="359" spans="18:18" x14ac:dyDescent="0.25">
      <c r="R359" s="59"/>
    </row>
    <row r="360" spans="18:18" x14ac:dyDescent="0.25">
      <c r="R360" s="59"/>
    </row>
    <row r="361" spans="18:18" x14ac:dyDescent="0.25">
      <c r="R361" s="59"/>
    </row>
    <row r="362" spans="18:18" x14ac:dyDescent="0.25">
      <c r="R362" s="59"/>
    </row>
    <row r="363" spans="18:18" x14ac:dyDescent="0.25">
      <c r="R363" s="59"/>
    </row>
    <row r="364" spans="18:18" x14ac:dyDescent="0.25">
      <c r="R364" s="59"/>
    </row>
    <row r="365" spans="18:18" x14ac:dyDescent="0.25">
      <c r="R365" s="59"/>
    </row>
    <row r="366" spans="18:18" x14ac:dyDescent="0.25">
      <c r="R366" s="59"/>
    </row>
    <row r="367" spans="18:18" x14ac:dyDescent="0.25">
      <c r="R367" s="59"/>
    </row>
    <row r="368" spans="18:18" x14ac:dyDescent="0.25">
      <c r="R368" s="59"/>
    </row>
    <row r="369" spans="18:18" x14ac:dyDescent="0.25">
      <c r="R369" s="59"/>
    </row>
    <row r="370" spans="18:18" x14ac:dyDescent="0.25">
      <c r="R370" s="59"/>
    </row>
    <row r="371" spans="18:18" x14ac:dyDescent="0.25">
      <c r="R371" s="59"/>
    </row>
    <row r="372" spans="18:18" x14ac:dyDescent="0.25">
      <c r="R372" s="59"/>
    </row>
    <row r="373" spans="18:18" x14ac:dyDescent="0.25">
      <c r="R373" s="59"/>
    </row>
    <row r="374" spans="18:18" x14ac:dyDescent="0.25">
      <c r="R374" s="59"/>
    </row>
    <row r="375" spans="18:18" x14ac:dyDescent="0.25">
      <c r="R375" s="59"/>
    </row>
    <row r="376" spans="18:18" x14ac:dyDescent="0.25">
      <c r="R376" s="59"/>
    </row>
    <row r="377" spans="18:18" x14ac:dyDescent="0.25">
      <c r="R377" s="59"/>
    </row>
    <row r="378" spans="18:18" x14ac:dyDescent="0.25">
      <c r="R378" s="59"/>
    </row>
    <row r="379" spans="18:18" x14ac:dyDescent="0.25">
      <c r="R379" s="59"/>
    </row>
    <row r="380" spans="18:18" x14ac:dyDescent="0.25">
      <c r="R380" s="59"/>
    </row>
    <row r="381" spans="18:18" x14ac:dyDescent="0.25">
      <c r="R381" s="59"/>
    </row>
    <row r="382" spans="18:18" x14ac:dyDescent="0.25">
      <c r="R382" s="59"/>
    </row>
    <row r="383" spans="18:18" x14ac:dyDescent="0.25">
      <c r="R383" s="59"/>
    </row>
    <row r="384" spans="18:18" x14ac:dyDescent="0.25">
      <c r="R384" s="59"/>
    </row>
    <row r="385" spans="18:18" x14ac:dyDescent="0.25">
      <c r="R385" s="59"/>
    </row>
    <row r="386" spans="18:18" x14ac:dyDescent="0.25">
      <c r="R386" s="59"/>
    </row>
    <row r="387" spans="18:18" x14ac:dyDescent="0.25">
      <c r="R387" s="59"/>
    </row>
    <row r="388" spans="18:18" x14ac:dyDescent="0.25">
      <c r="R388" s="59"/>
    </row>
    <row r="389" spans="18:18" x14ac:dyDescent="0.25">
      <c r="R389" s="59"/>
    </row>
    <row r="390" spans="18:18" x14ac:dyDescent="0.25">
      <c r="R390" s="59"/>
    </row>
    <row r="391" spans="18:18" x14ac:dyDescent="0.25">
      <c r="R391" s="59"/>
    </row>
    <row r="392" spans="18:18" x14ac:dyDescent="0.25">
      <c r="R392" s="59"/>
    </row>
    <row r="393" spans="18:18" x14ac:dyDescent="0.25">
      <c r="R393" s="59"/>
    </row>
    <row r="394" spans="18:18" x14ac:dyDescent="0.25">
      <c r="R394" s="59"/>
    </row>
    <row r="395" spans="18:18" x14ac:dyDescent="0.25">
      <c r="R395" s="59"/>
    </row>
    <row r="396" spans="18:18" x14ac:dyDescent="0.25">
      <c r="R396" s="59"/>
    </row>
    <row r="397" spans="18:18" x14ac:dyDescent="0.25">
      <c r="R397" s="59"/>
    </row>
    <row r="398" spans="18:18" x14ac:dyDescent="0.25">
      <c r="R398" s="59"/>
    </row>
    <row r="399" spans="18:18" x14ac:dyDescent="0.25">
      <c r="R399" s="59"/>
    </row>
    <row r="400" spans="18:18" x14ac:dyDescent="0.25">
      <c r="R400" s="59"/>
    </row>
    <row r="401" spans="18:18" x14ac:dyDescent="0.25">
      <c r="R401" s="59"/>
    </row>
    <row r="402" spans="18:18" x14ac:dyDescent="0.25">
      <c r="R402" s="59"/>
    </row>
    <row r="403" spans="18:18" x14ac:dyDescent="0.25">
      <c r="R403" s="59"/>
    </row>
    <row r="404" spans="18:18" x14ac:dyDescent="0.25">
      <c r="R404" s="59"/>
    </row>
    <row r="405" spans="18:18" x14ac:dyDescent="0.25">
      <c r="R405" s="59"/>
    </row>
    <row r="406" spans="18:18" x14ac:dyDescent="0.25">
      <c r="R406" s="59"/>
    </row>
    <row r="407" spans="18:18" x14ac:dyDescent="0.25">
      <c r="R407" s="59"/>
    </row>
    <row r="408" spans="18:18" x14ac:dyDescent="0.25">
      <c r="R408" s="59"/>
    </row>
    <row r="409" spans="18:18" x14ac:dyDescent="0.25">
      <c r="R409" s="59"/>
    </row>
    <row r="410" spans="18:18" x14ac:dyDescent="0.25">
      <c r="R410" s="59"/>
    </row>
    <row r="411" spans="18:18" x14ac:dyDescent="0.25">
      <c r="R411" s="59"/>
    </row>
    <row r="412" spans="18:18" x14ac:dyDescent="0.25">
      <c r="R412" s="59"/>
    </row>
    <row r="413" spans="18:18" x14ac:dyDescent="0.25">
      <c r="R413" s="59"/>
    </row>
    <row r="414" spans="18:18" x14ac:dyDescent="0.25">
      <c r="R414" s="59"/>
    </row>
    <row r="415" spans="18:18" x14ac:dyDescent="0.25">
      <c r="R415" s="59"/>
    </row>
    <row r="416" spans="18:18" x14ac:dyDescent="0.25">
      <c r="R416" s="59"/>
    </row>
    <row r="417" spans="18:18" x14ac:dyDescent="0.25">
      <c r="R417" s="59"/>
    </row>
    <row r="418" spans="18:18" x14ac:dyDescent="0.25">
      <c r="R418" s="59"/>
    </row>
    <row r="419" spans="18:18" x14ac:dyDescent="0.25">
      <c r="R419" s="59"/>
    </row>
    <row r="420" spans="18:18" x14ac:dyDescent="0.25">
      <c r="R420" s="59"/>
    </row>
    <row r="421" spans="18:18" x14ac:dyDescent="0.25">
      <c r="R421" s="59"/>
    </row>
    <row r="422" spans="18:18" x14ac:dyDescent="0.25">
      <c r="R422" s="59"/>
    </row>
    <row r="423" spans="18:18" x14ac:dyDescent="0.25">
      <c r="R423" s="59"/>
    </row>
    <row r="424" spans="18:18" x14ac:dyDescent="0.25">
      <c r="R424" s="59"/>
    </row>
    <row r="425" spans="18:18" x14ac:dyDescent="0.25">
      <c r="R425" s="59"/>
    </row>
    <row r="426" spans="18:18" x14ac:dyDescent="0.25">
      <c r="R426" s="59"/>
    </row>
    <row r="427" spans="18:18" x14ac:dyDescent="0.25">
      <c r="R427" s="59"/>
    </row>
    <row r="428" spans="18:18" x14ac:dyDescent="0.25">
      <c r="R428" s="59"/>
    </row>
    <row r="429" spans="18:18" x14ac:dyDescent="0.25">
      <c r="R429" s="59"/>
    </row>
    <row r="430" spans="18:18" x14ac:dyDescent="0.25">
      <c r="R430" s="59"/>
    </row>
    <row r="431" spans="18:18" x14ac:dyDescent="0.25">
      <c r="R431" s="59"/>
    </row>
    <row r="432" spans="18:18" x14ac:dyDescent="0.25">
      <c r="R432" s="59"/>
    </row>
    <row r="433" spans="18:18" x14ac:dyDescent="0.25">
      <c r="R433" s="59"/>
    </row>
    <row r="434" spans="18:18" x14ac:dyDescent="0.25">
      <c r="R434" s="59"/>
    </row>
    <row r="435" spans="18:18" x14ac:dyDescent="0.25">
      <c r="R435" s="59"/>
    </row>
    <row r="436" spans="18:18" x14ac:dyDescent="0.25">
      <c r="R436" s="59"/>
    </row>
    <row r="437" spans="18:18" x14ac:dyDescent="0.25">
      <c r="R437" s="59"/>
    </row>
    <row r="438" spans="18:18" x14ac:dyDescent="0.25">
      <c r="R438" s="59"/>
    </row>
    <row r="439" spans="18:18" x14ac:dyDescent="0.25">
      <c r="R439" s="59"/>
    </row>
    <row r="440" spans="18:18" x14ac:dyDescent="0.25">
      <c r="R440" s="59"/>
    </row>
    <row r="441" spans="18:18" x14ac:dyDescent="0.25">
      <c r="R441" s="59"/>
    </row>
    <row r="442" spans="18:18" x14ac:dyDescent="0.25">
      <c r="R442" s="59"/>
    </row>
    <row r="443" spans="18:18" x14ac:dyDescent="0.25">
      <c r="R443" s="59"/>
    </row>
    <row r="444" spans="18:18" x14ac:dyDescent="0.25">
      <c r="R444" s="59"/>
    </row>
    <row r="445" spans="18:18" x14ac:dyDescent="0.25">
      <c r="R445" s="59"/>
    </row>
    <row r="446" spans="18:18" x14ac:dyDescent="0.25">
      <c r="R446" s="59"/>
    </row>
    <row r="447" spans="18:18" x14ac:dyDescent="0.25">
      <c r="R447" s="59"/>
    </row>
    <row r="448" spans="18:18" x14ac:dyDescent="0.25">
      <c r="R448" s="59"/>
    </row>
    <row r="449" spans="18:18" x14ac:dyDescent="0.25">
      <c r="R449" s="59"/>
    </row>
    <row r="450" spans="18:18" x14ac:dyDescent="0.25">
      <c r="R450" s="59"/>
    </row>
    <row r="451" spans="18:18" x14ac:dyDescent="0.25">
      <c r="R451" s="59"/>
    </row>
    <row r="452" spans="18:18" x14ac:dyDescent="0.25">
      <c r="R452" s="59"/>
    </row>
    <row r="453" spans="18:18" x14ac:dyDescent="0.25">
      <c r="R453" s="59"/>
    </row>
    <row r="454" spans="18:18" x14ac:dyDescent="0.25">
      <c r="R454" s="59"/>
    </row>
    <row r="455" spans="18:18" x14ac:dyDescent="0.25">
      <c r="R455" s="59"/>
    </row>
    <row r="456" spans="18:18" x14ac:dyDescent="0.25">
      <c r="R456" s="59"/>
    </row>
    <row r="457" spans="18:18" x14ac:dyDescent="0.25">
      <c r="R457" s="59"/>
    </row>
    <row r="458" spans="18:18" x14ac:dyDescent="0.25">
      <c r="R458" s="59"/>
    </row>
    <row r="459" spans="18:18" x14ac:dyDescent="0.25">
      <c r="R459" s="59"/>
    </row>
    <row r="460" spans="18:18" x14ac:dyDescent="0.25">
      <c r="R460" s="59"/>
    </row>
    <row r="461" spans="18:18" x14ac:dyDescent="0.25">
      <c r="R461" s="59"/>
    </row>
    <row r="462" spans="18:18" x14ac:dyDescent="0.25">
      <c r="R462" s="59"/>
    </row>
    <row r="463" spans="18:18" x14ac:dyDescent="0.25">
      <c r="R463" s="59"/>
    </row>
    <row r="464" spans="18:18" x14ac:dyDescent="0.25">
      <c r="R464" s="59"/>
    </row>
    <row r="465" spans="18:18" x14ac:dyDescent="0.25">
      <c r="R465" s="59"/>
    </row>
    <row r="466" spans="18:18" x14ac:dyDescent="0.25">
      <c r="R466" s="59"/>
    </row>
    <row r="467" spans="18:18" x14ac:dyDescent="0.25">
      <c r="R467" s="59"/>
    </row>
    <row r="468" spans="18:18" x14ac:dyDescent="0.25">
      <c r="R468" s="59"/>
    </row>
    <row r="469" spans="18:18" x14ac:dyDescent="0.25">
      <c r="R469" s="59"/>
    </row>
    <row r="470" spans="18:18" x14ac:dyDescent="0.25">
      <c r="R470" s="59"/>
    </row>
    <row r="471" spans="18:18" x14ac:dyDescent="0.25">
      <c r="R471" s="59"/>
    </row>
    <row r="472" spans="18:18" x14ac:dyDescent="0.25">
      <c r="R472" s="59"/>
    </row>
    <row r="473" spans="18:18" x14ac:dyDescent="0.25">
      <c r="R473" s="59"/>
    </row>
    <row r="474" spans="18:18" x14ac:dyDescent="0.25">
      <c r="R474" s="59"/>
    </row>
    <row r="475" spans="18:18" x14ac:dyDescent="0.25">
      <c r="R475" s="59"/>
    </row>
    <row r="476" spans="18:18" x14ac:dyDescent="0.25">
      <c r="R476" s="59"/>
    </row>
    <row r="477" spans="18:18" x14ac:dyDescent="0.25">
      <c r="R477" s="59"/>
    </row>
    <row r="478" spans="18:18" x14ac:dyDescent="0.25">
      <c r="R478" s="59"/>
    </row>
    <row r="479" spans="18:18" x14ac:dyDescent="0.25">
      <c r="R479" s="59"/>
    </row>
    <row r="480" spans="18:18" x14ac:dyDescent="0.25">
      <c r="R480" s="59"/>
    </row>
    <row r="481" spans="18:18" x14ac:dyDescent="0.25">
      <c r="R481" s="59"/>
    </row>
    <row r="482" spans="18:18" x14ac:dyDescent="0.25">
      <c r="R482" s="59"/>
    </row>
    <row r="483" spans="18:18" x14ac:dyDescent="0.25">
      <c r="R483" s="59"/>
    </row>
    <row r="484" spans="18:18" x14ac:dyDescent="0.25">
      <c r="R484" s="59"/>
    </row>
    <row r="485" spans="18:18" x14ac:dyDescent="0.25">
      <c r="R485" s="59"/>
    </row>
    <row r="486" spans="18:18" x14ac:dyDescent="0.25">
      <c r="R486" s="59"/>
    </row>
    <row r="487" spans="18:18" x14ac:dyDescent="0.25">
      <c r="R487" s="59"/>
    </row>
    <row r="488" spans="18:18" x14ac:dyDescent="0.25">
      <c r="R488" s="59"/>
    </row>
    <row r="489" spans="18:18" x14ac:dyDescent="0.25">
      <c r="R489" s="59"/>
    </row>
    <row r="490" spans="18:18" x14ac:dyDescent="0.25">
      <c r="R490" s="59"/>
    </row>
    <row r="491" spans="18:18" x14ac:dyDescent="0.25">
      <c r="R491" s="59"/>
    </row>
    <row r="492" spans="18:18" x14ac:dyDescent="0.25">
      <c r="R492" s="59"/>
    </row>
    <row r="493" spans="18:18" x14ac:dyDescent="0.25">
      <c r="R493" s="59"/>
    </row>
    <row r="494" spans="18:18" x14ac:dyDescent="0.25">
      <c r="R494" s="59"/>
    </row>
    <row r="495" spans="18:18" x14ac:dyDescent="0.25">
      <c r="R495" s="59"/>
    </row>
    <row r="496" spans="18:18" x14ac:dyDescent="0.25">
      <c r="R496" s="59"/>
    </row>
    <row r="497" spans="18:18" x14ac:dyDescent="0.25">
      <c r="R497" s="59"/>
    </row>
    <row r="498" spans="18:18" x14ac:dyDescent="0.25">
      <c r="R498" s="59"/>
    </row>
    <row r="499" spans="18:18" x14ac:dyDescent="0.25">
      <c r="R499" s="59"/>
    </row>
    <row r="500" spans="18:18" x14ac:dyDescent="0.25">
      <c r="R500" s="59"/>
    </row>
    <row r="501" spans="18:18" x14ac:dyDescent="0.25">
      <c r="R501" s="59"/>
    </row>
    <row r="502" spans="18:18" x14ac:dyDescent="0.25">
      <c r="R502" s="59"/>
    </row>
    <row r="503" spans="18:18" x14ac:dyDescent="0.25">
      <c r="R503" s="59"/>
    </row>
    <row r="504" spans="18:18" x14ac:dyDescent="0.25">
      <c r="R504" s="59"/>
    </row>
    <row r="505" spans="18:18" x14ac:dyDescent="0.25">
      <c r="R505" s="59"/>
    </row>
    <row r="506" spans="18:18" x14ac:dyDescent="0.25">
      <c r="R506" s="59"/>
    </row>
    <row r="507" spans="18:18" x14ac:dyDescent="0.25">
      <c r="R507" s="59"/>
    </row>
    <row r="508" spans="18:18" x14ac:dyDescent="0.25">
      <c r="R508" s="59"/>
    </row>
    <row r="509" spans="18:18" x14ac:dyDescent="0.25">
      <c r="R509" s="59"/>
    </row>
    <row r="510" spans="18:18" x14ac:dyDescent="0.25">
      <c r="R510" s="59"/>
    </row>
    <row r="511" spans="18:18" x14ac:dyDescent="0.25">
      <c r="R511" s="59"/>
    </row>
    <row r="512" spans="18:18" x14ac:dyDescent="0.25">
      <c r="R512" s="59"/>
    </row>
    <row r="513" spans="18:18" x14ac:dyDescent="0.25">
      <c r="R513" s="59"/>
    </row>
    <row r="514" spans="18:18" x14ac:dyDescent="0.25">
      <c r="R514" s="59"/>
    </row>
    <row r="515" spans="18:18" x14ac:dyDescent="0.25">
      <c r="R515" s="59"/>
    </row>
    <row r="516" spans="18:18" x14ac:dyDescent="0.25">
      <c r="R516" s="59"/>
    </row>
    <row r="517" spans="18:18" x14ac:dyDescent="0.25">
      <c r="R517" s="59"/>
    </row>
    <row r="518" spans="18:18" x14ac:dyDescent="0.25">
      <c r="R518" s="59"/>
    </row>
    <row r="519" spans="18:18" x14ac:dyDescent="0.25">
      <c r="R519" s="59"/>
    </row>
    <row r="520" spans="18:18" x14ac:dyDescent="0.25">
      <c r="R520" s="59"/>
    </row>
    <row r="521" spans="18:18" x14ac:dyDescent="0.25">
      <c r="R521" s="59"/>
    </row>
    <row r="522" spans="18:18" x14ac:dyDescent="0.25">
      <c r="R522" s="59"/>
    </row>
    <row r="523" spans="18:18" x14ac:dyDescent="0.25">
      <c r="R523" s="59"/>
    </row>
    <row r="524" spans="18:18" x14ac:dyDescent="0.25">
      <c r="R524" s="59"/>
    </row>
    <row r="525" spans="18:18" x14ac:dyDescent="0.25">
      <c r="R525" s="59"/>
    </row>
    <row r="526" spans="18:18" x14ac:dyDescent="0.25">
      <c r="R526" s="59"/>
    </row>
    <row r="527" spans="18:18" x14ac:dyDescent="0.25">
      <c r="R527" s="59"/>
    </row>
    <row r="528" spans="18:18" x14ac:dyDescent="0.25">
      <c r="R528" s="59"/>
    </row>
    <row r="529" spans="18:18" x14ac:dyDescent="0.25">
      <c r="R529" s="59"/>
    </row>
    <row r="530" spans="18:18" x14ac:dyDescent="0.25">
      <c r="R530" s="59"/>
    </row>
    <row r="531" spans="18:18" x14ac:dyDescent="0.25">
      <c r="R531" s="59"/>
    </row>
    <row r="532" spans="18:18" x14ac:dyDescent="0.25">
      <c r="R532" s="59"/>
    </row>
    <row r="533" spans="18:18" x14ac:dyDescent="0.25">
      <c r="R533" s="59"/>
    </row>
    <row r="534" spans="18:18" x14ac:dyDescent="0.25">
      <c r="R534" s="59"/>
    </row>
    <row r="535" spans="18:18" x14ac:dyDescent="0.25">
      <c r="R535" s="59"/>
    </row>
    <row r="536" spans="18:18" x14ac:dyDescent="0.25">
      <c r="R536" s="59"/>
    </row>
    <row r="537" spans="18:18" x14ac:dyDescent="0.25">
      <c r="R537" s="59"/>
    </row>
    <row r="538" spans="18:18" x14ac:dyDescent="0.25">
      <c r="R538" s="59"/>
    </row>
    <row r="539" spans="18:18" x14ac:dyDescent="0.25">
      <c r="R539" s="59"/>
    </row>
    <row r="540" spans="18:18" x14ac:dyDescent="0.25">
      <c r="R540" s="59"/>
    </row>
    <row r="541" spans="18:18" x14ac:dyDescent="0.25">
      <c r="R541" s="59"/>
    </row>
    <row r="542" spans="18:18" x14ac:dyDescent="0.25">
      <c r="R542" s="59"/>
    </row>
    <row r="543" spans="18:18" x14ac:dyDescent="0.25">
      <c r="R543" s="59"/>
    </row>
    <row r="544" spans="18:18" x14ac:dyDescent="0.25">
      <c r="R544" s="59"/>
    </row>
    <row r="545" spans="18:18" x14ac:dyDescent="0.25">
      <c r="R545" s="59"/>
    </row>
    <row r="546" spans="18:18" x14ac:dyDescent="0.25">
      <c r="R546" s="59"/>
    </row>
    <row r="547" spans="18:18" x14ac:dyDescent="0.25">
      <c r="R547" s="59"/>
    </row>
    <row r="548" spans="18:18" x14ac:dyDescent="0.25">
      <c r="R548" s="59"/>
    </row>
    <row r="549" spans="18:18" x14ac:dyDescent="0.25">
      <c r="R549" s="59"/>
    </row>
    <row r="550" spans="18:18" x14ac:dyDescent="0.25">
      <c r="R550" s="59"/>
    </row>
    <row r="551" spans="18:18" x14ac:dyDescent="0.25">
      <c r="R551" s="59"/>
    </row>
    <row r="552" spans="18:18" x14ac:dyDescent="0.25">
      <c r="R552" s="59"/>
    </row>
    <row r="553" spans="18:18" x14ac:dyDescent="0.25">
      <c r="R553" s="59"/>
    </row>
    <row r="554" spans="18:18" x14ac:dyDescent="0.25">
      <c r="R554" s="59"/>
    </row>
    <row r="555" spans="18:18" x14ac:dyDescent="0.25">
      <c r="R555" s="59"/>
    </row>
    <row r="556" spans="18:18" x14ac:dyDescent="0.25">
      <c r="R556" s="59"/>
    </row>
    <row r="557" spans="18:18" x14ac:dyDescent="0.25">
      <c r="R557" s="59"/>
    </row>
    <row r="558" spans="18:18" x14ac:dyDescent="0.25">
      <c r="R558" s="59"/>
    </row>
    <row r="559" spans="18:18" x14ac:dyDescent="0.25">
      <c r="R559" s="59"/>
    </row>
    <row r="560" spans="18:18" x14ac:dyDescent="0.25">
      <c r="R560" s="59"/>
    </row>
    <row r="561" spans="18:18" x14ac:dyDescent="0.25">
      <c r="R561" s="59"/>
    </row>
    <row r="562" spans="18:18" x14ac:dyDescent="0.25">
      <c r="R562" s="59"/>
    </row>
    <row r="563" spans="18:18" x14ac:dyDescent="0.25">
      <c r="R563" s="59"/>
    </row>
    <row r="564" spans="18:18" x14ac:dyDescent="0.25">
      <c r="R564" s="59"/>
    </row>
    <row r="565" spans="18:18" x14ac:dyDescent="0.25">
      <c r="R565" s="59"/>
    </row>
    <row r="566" spans="18:18" x14ac:dyDescent="0.25">
      <c r="R566" s="59"/>
    </row>
    <row r="567" spans="18:18" x14ac:dyDescent="0.25">
      <c r="R567" s="59"/>
    </row>
    <row r="568" spans="18:18" x14ac:dyDescent="0.25">
      <c r="R568" s="59"/>
    </row>
    <row r="569" spans="18:18" x14ac:dyDescent="0.25">
      <c r="R569" s="59"/>
    </row>
    <row r="570" spans="18:18" x14ac:dyDescent="0.25">
      <c r="R570" s="59"/>
    </row>
    <row r="571" spans="18:18" x14ac:dyDescent="0.25">
      <c r="R571" s="59"/>
    </row>
    <row r="572" spans="18:18" x14ac:dyDescent="0.25">
      <c r="R572" s="59"/>
    </row>
    <row r="573" spans="18:18" x14ac:dyDescent="0.25">
      <c r="R573" s="59"/>
    </row>
    <row r="574" spans="18:18" x14ac:dyDescent="0.25">
      <c r="R574" s="59"/>
    </row>
    <row r="575" spans="18:18" x14ac:dyDescent="0.25">
      <c r="R575" s="59"/>
    </row>
    <row r="576" spans="18:18" x14ac:dyDescent="0.25">
      <c r="R576" s="59"/>
    </row>
    <row r="577" spans="18:18" x14ac:dyDescent="0.25">
      <c r="R577" s="59"/>
    </row>
    <row r="578" spans="18:18" x14ac:dyDescent="0.25">
      <c r="R578" s="59"/>
    </row>
    <row r="579" spans="18:18" x14ac:dyDescent="0.25">
      <c r="R579" s="59"/>
    </row>
    <row r="580" spans="18:18" x14ac:dyDescent="0.25">
      <c r="R580" s="59"/>
    </row>
    <row r="581" spans="18:18" x14ac:dyDescent="0.25">
      <c r="R581" s="59"/>
    </row>
    <row r="582" spans="18:18" x14ac:dyDescent="0.25">
      <c r="R582" s="59"/>
    </row>
    <row r="583" spans="18:18" x14ac:dyDescent="0.25">
      <c r="R583" s="59"/>
    </row>
    <row r="584" spans="18:18" x14ac:dyDescent="0.25">
      <c r="R584" s="59"/>
    </row>
    <row r="585" spans="18:18" x14ac:dyDescent="0.25">
      <c r="R585" s="59"/>
    </row>
    <row r="586" spans="18:18" x14ac:dyDescent="0.25">
      <c r="R586" s="59"/>
    </row>
    <row r="587" spans="18:18" x14ac:dyDescent="0.25">
      <c r="R587" s="59"/>
    </row>
    <row r="588" spans="18:18" x14ac:dyDescent="0.25">
      <c r="R588" s="59"/>
    </row>
    <row r="589" spans="18:18" x14ac:dyDescent="0.25">
      <c r="R589" s="59"/>
    </row>
    <row r="590" spans="18:18" x14ac:dyDescent="0.25">
      <c r="R590" s="59"/>
    </row>
    <row r="591" spans="18:18" x14ac:dyDescent="0.25">
      <c r="R591" s="59"/>
    </row>
    <row r="592" spans="18:18" x14ac:dyDescent="0.25">
      <c r="R592" s="59"/>
    </row>
    <row r="593" spans="18:18" x14ac:dyDescent="0.25">
      <c r="R593" s="59"/>
    </row>
    <row r="594" spans="18:18" x14ac:dyDescent="0.25">
      <c r="R594" s="59"/>
    </row>
    <row r="595" spans="18:18" x14ac:dyDescent="0.25">
      <c r="R595" s="59"/>
    </row>
    <row r="596" spans="18:18" x14ac:dyDescent="0.25">
      <c r="R596" s="59"/>
    </row>
    <row r="597" spans="18:18" x14ac:dyDescent="0.25">
      <c r="R597" s="59"/>
    </row>
    <row r="598" spans="18:18" x14ac:dyDescent="0.25">
      <c r="R598" s="59"/>
    </row>
    <row r="599" spans="18:18" x14ac:dyDescent="0.25">
      <c r="R599" s="59"/>
    </row>
    <row r="600" spans="18:18" x14ac:dyDescent="0.25">
      <c r="R600" s="59"/>
    </row>
    <row r="601" spans="18:18" x14ac:dyDescent="0.25">
      <c r="R601" s="59"/>
    </row>
    <row r="602" spans="18:18" x14ac:dyDescent="0.25">
      <c r="R602" s="59"/>
    </row>
    <row r="603" spans="18:18" x14ac:dyDescent="0.25">
      <c r="R603" s="59"/>
    </row>
    <row r="604" spans="18:18" x14ac:dyDescent="0.25">
      <c r="R604" s="59"/>
    </row>
    <row r="605" spans="18:18" x14ac:dyDescent="0.25">
      <c r="R605" s="59"/>
    </row>
    <row r="606" spans="18:18" x14ac:dyDescent="0.25">
      <c r="R606" s="59"/>
    </row>
    <row r="607" spans="18:18" x14ac:dyDescent="0.25">
      <c r="R607" s="59"/>
    </row>
    <row r="608" spans="18:18" x14ac:dyDescent="0.25">
      <c r="R608" s="59"/>
    </row>
    <row r="609" spans="18:18" x14ac:dyDescent="0.25">
      <c r="R609" s="59"/>
    </row>
    <row r="610" spans="18:18" x14ac:dyDescent="0.25">
      <c r="R610" s="59"/>
    </row>
    <row r="611" spans="18:18" x14ac:dyDescent="0.25">
      <c r="R611" s="59"/>
    </row>
    <row r="612" spans="18:18" x14ac:dyDescent="0.25">
      <c r="R612" s="59"/>
    </row>
    <row r="613" spans="18:18" x14ac:dyDescent="0.25">
      <c r="R613" s="59"/>
    </row>
    <row r="614" spans="18:18" x14ac:dyDescent="0.25">
      <c r="R614" s="59"/>
    </row>
    <row r="615" spans="18:18" x14ac:dyDescent="0.25">
      <c r="R615" s="59"/>
    </row>
    <row r="616" spans="18:18" x14ac:dyDescent="0.25">
      <c r="R616" s="59"/>
    </row>
    <row r="617" spans="18:18" x14ac:dyDescent="0.25">
      <c r="R617" s="59"/>
    </row>
    <row r="618" spans="18:18" x14ac:dyDescent="0.25">
      <c r="R618" s="59"/>
    </row>
    <row r="619" spans="18:18" x14ac:dyDescent="0.25">
      <c r="R619" s="59"/>
    </row>
    <row r="620" spans="18:18" x14ac:dyDescent="0.25">
      <c r="R620" s="59"/>
    </row>
    <row r="621" spans="18:18" x14ac:dyDescent="0.25">
      <c r="R621" s="59"/>
    </row>
    <row r="622" spans="18:18" x14ac:dyDescent="0.25">
      <c r="R622" s="59"/>
    </row>
    <row r="623" spans="18:18" x14ac:dyDescent="0.25">
      <c r="R623" s="59"/>
    </row>
    <row r="624" spans="18:18" x14ac:dyDescent="0.25">
      <c r="R624" s="59"/>
    </row>
    <row r="625" spans="18:18" x14ac:dyDescent="0.25">
      <c r="R625" s="59"/>
    </row>
    <row r="626" spans="18:18" x14ac:dyDescent="0.25">
      <c r="R626" s="59"/>
    </row>
    <row r="627" spans="18:18" x14ac:dyDescent="0.25">
      <c r="R627" s="59"/>
    </row>
    <row r="628" spans="18:18" x14ac:dyDescent="0.25">
      <c r="R628" s="59"/>
    </row>
    <row r="629" spans="18:18" x14ac:dyDescent="0.25">
      <c r="R629" s="59"/>
    </row>
    <row r="630" spans="18:18" x14ac:dyDescent="0.25">
      <c r="R630" s="59"/>
    </row>
    <row r="631" spans="18:18" x14ac:dyDescent="0.25">
      <c r="R631" s="59"/>
    </row>
    <row r="632" spans="18:18" x14ac:dyDescent="0.25">
      <c r="R632" s="59"/>
    </row>
    <row r="633" spans="18:18" x14ac:dyDescent="0.25">
      <c r="R633" s="59"/>
    </row>
    <row r="634" spans="18:18" x14ac:dyDescent="0.25">
      <c r="R634" s="59"/>
    </row>
    <row r="635" spans="18:18" x14ac:dyDescent="0.25">
      <c r="R635" s="59"/>
    </row>
    <row r="636" spans="18:18" x14ac:dyDescent="0.25">
      <c r="R636" s="59"/>
    </row>
    <row r="637" spans="18:18" x14ac:dyDescent="0.25">
      <c r="R637" s="59"/>
    </row>
    <row r="638" spans="18:18" x14ac:dyDescent="0.25">
      <c r="R638" s="59"/>
    </row>
    <row r="639" spans="18:18" x14ac:dyDescent="0.25">
      <c r="R639" s="59"/>
    </row>
    <row r="640" spans="18:18" x14ac:dyDescent="0.25">
      <c r="R640" s="59"/>
    </row>
    <row r="641" spans="18:18" x14ac:dyDescent="0.25">
      <c r="R641" s="59"/>
    </row>
    <row r="642" spans="18:18" x14ac:dyDescent="0.25">
      <c r="R642" s="59"/>
    </row>
    <row r="643" spans="18:18" x14ac:dyDescent="0.25">
      <c r="R643" s="59"/>
    </row>
    <row r="644" spans="18:18" x14ac:dyDescent="0.25">
      <c r="R644" s="59"/>
    </row>
    <row r="645" spans="18:18" x14ac:dyDescent="0.25">
      <c r="R645" s="59"/>
    </row>
    <row r="646" spans="18:18" x14ac:dyDescent="0.25">
      <c r="R646" s="59"/>
    </row>
    <row r="647" spans="18:18" x14ac:dyDescent="0.25">
      <c r="R647" s="59"/>
    </row>
    <row r="648" spans="18:18" x14ac:dyDescent="0.25">
      <c r="R648" s="59"/>
    </row>
    <row r="649" spans="18:18" x14ac:dyDescent="0.25">
      <c r="R649" s="59"/>
    </row>
    <row r="650" spans="18:18" x14ac:dyDescent="0.25">
      <c r="R650" s="59"/>
    </row>
    <row r="651" spans="18:18" x14ac:dyDescent="0.25">
      <c r="R651" s="59"/>
    </row>
    <row r="652" spans="18:18" x14ac:dyDescent="0.25">
      <c r="R652" s="59"/>
    </row>
    <row r="653" spans="18:18" x14ac:dyDescent="0.25">
      <c r="R653" s="59"/>
    </row>
    <row r="654" spans="18:18" x14ac:dyDescent="0.25">
      <c r="R654" s="59"/>
    </row>
    <row r="655" spans="18:18" x14ac:dyDescent="0.25">
      <c r="R655" s="59"/>
    </row>
    <row r="656" spans="18:18" x14ac:dyDescent="0.25">
      <c r="R656" s="59"/>
    </row>
    <row r="657" spans="18:18" x14ac:dyDescent="0.25">
      <c r="R657" s="5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EEE12-675E-40AB-A47A-B0592ACAC0D9}">
  <sheetPr codeName="Sheet22"/>
  <dimension ref="A1:BT657"/>
  <sheetViews>
    <sheetView zoomScale="55" zoomScaleNormal="55" workbookViewId="0">
      <selection activeCell="W17" sqref="W17"/>
    </sheetView>
  </sheetViews>
  <sheetFormatPr defaultRowHeight="15" x14ac:dyDescent="0.25"/>
  <sheetData>
    <row r="1" spans="1:72" ht="15.75" x14ac:dyDescent="0.25">
      <c r="A1" s="56" t="s">
        <v>171</v>
      </c>
      <c r="B1" s="57" t="s">
        <v>99</v>
      </c>
      <c r="C1" s="57" t="s">
        <v>241</v>
      </c>
      <c r="D1" s="57" t="s">
        <v>69</v>
      </c>
      <c r="E1" s="57" t="s">
        <v>100</v>
      </c>
      <c r="F1" s="57" t="s">
        <v>94</v>
      </c>
      <c r="G1" s="57" t="s">
        <v>101</v>
      </c>
      <c r="H1" s="57" t="s">
        <v>172</v>
      </c>
      <c r="I1" s="57" t="s">
        <v>173</v>
      </c>
      <c r="J1" s="57" t="s">
        <v>174</v>
      </c>
      <c r="K1" s="57" t="s">
        <v>175</v>
      </c>
      <c r="L1" s="57" t="s">
        <v>102</v>
      </c>
      <c r="M1" s="57" t="s">
        <v>103</v>
      </c>
      <c r="N1" s="56" t="s">
        <v>104</v>
      </c>
      <c r="O1" s="56" t="s">
        <v>105</v>
      </c>
      <c r="P1" s="56" t="s">
        <v>176</v>
      </c>
      <c r="Q1" s="56" t="s">
        <v>177</v>
      </c>
      <c r="R1" s="56" t="s">
        <v>178</v>
      </c>
      <c r="S1" s="56" t="s">
        <v>179</v>
      </c>
      <c r="T1" s="57" t="s">
        <v>180</v>
      </c>
      <c r="U1" s="56" t="s">
        <v>181</v>
      </c>
      <c r="V1" s="57" t="s">
        <v>106</v>
      </c>
      <c r="W1" s="56" t="s">
        <v>182</v>
      </c>
      <c r="X1" s="56" t="s">
        <v>183</v>
      </c>
      <c r="Y1" s="56" t="s">
        <v>19</v>
      </c>
      <c r="Z1" s="56" t="s">
        <v>187</v>
      </c>
      <c r="AA1" s="56" t="s">
        <v>188</v>
      </c>
      <c r="AB1" s="56" t="s">
        <v>126</v>
      </c>
      <c r="AC1" s="56" t="s">
        <v>194</v>
      </c>
      <c r="AD1" s="56" t="s">
        <v>199</v>
      </c>
      <c r="AE1" s="56" t="s">
        <v>212</v>
      </c>
      <c r="AF1" s="56" t="s">
        <v>242</v>
      </c>
      <c r="AG1" s="56" t="s">
        <v>215</v>
      </c>
      <c r="AH1" s="57" t="s">
        <v>216</v>
      </c>
      <c r="AI1" s="56" t="s">
        <v>217</v>
      </c>
      <c r="AJ1" s="56" t="s">
        <v>218</v>
      </c>
      <c r="AK1" s="56" t="s">
        <v>219</v>
      </c>
      <c r="AL1" s="56" t="s">
        <v>220</v>
      </c>
      <c r="AM1" s="56" t="s">
        <v>221</v>
      </c>
      <c r="AN1" s="57" t="s">
        <v>222</v>
      </c>
      <c r="AO1" s="56" t="s">
        <v>223</v>
      </c>
      <c r="AP1" s="56" t="s">
        <v>60</v>
      </c>
      <c r="AQ1" s="56" t="s">
        <v>240</v>
      </c>
      <c r="AR1" s="56" t="s">
        <v>396</v>
      </c>
      <c r="AS1" s="56" t="s">
        <v>397</v>
      </c>
      <c r="AT1" s="56" t="s">
        <v>398</v>
      </c>
      <c r="AU1" s="56" t="s">
        <v>399</v>
      </c>
      <c r="AV1" s="56" t="s">
        <v>400</v>
      </c>
      <c r="AW1" s="56" t="s">
        <v>401</v>
      </c>
      <c r="AX1" s="56" t="s">
        <v>282</v>
      </c>
      <c r="AY1" s="56"/>
      <c r="AZ1" s="56"/>
      <c r="BA1" s="56" t="s">
        <v>390</v>
      </c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60"/>
      <c r="BP1" s="60"/>
      <c r="BQ1" s="60"/>
      <c r="BR1" s="60"/>
      <c r="BS1" s="60"/>
      <c r="BT1" s="60"/>
    </row>
    <row r="2" spans="1:72" x14ac:dyDescent="0.25">
      <c r="A2" t="s">
        <v>386</v>
      </c>
      <c r="B2">
        <v>1</v>
      </c>
      <c r="C2">
        <v>1</v>
      </c>
      <c r="D2">
        <v>1</v>
      </c>
      <c r="E2">
        <v>52081900</v>
      </c>
      <c r="F2">
        <v>274799</v>
      </c>
      <c r="G2" t="s">
        <v>311</v>
      </c>
      <c r="H2" t="s">
        <v>60</v>
      </c>
      <c r="I2" t="s">
        <v>60</v>
      </c>
      <c r="J2" t="s">
        <v>60</v>
      </c>
      <c r="K2" t="s">
        <v>60</v>
      </c>
      <c r="L2" t="s">
        <v>27</v>
      </c>
      <c r="M2">
        <v>18.8</v>
      </c>
      <c r="P2">
        <v>40</v>
      </c>
      <c r="Q2" t="s">
        <v>80</v>
      </c>
      <c r="R2" t="s">
        <v>409</v>
      </c>
      <c r="S2" t="s">
        <v>358</v>
      </c>
      <c r="T2" t="s">
        <v>327</v>
      </c>
      <c r="V2">
        <v>0</v>
      </c>
      <c r="Y2">
        <v>0</v>
      </c>
      <c r="Z2">
        <v>0</v>
      </c>
      <c r="AA2">
        <v>0</v>
      </c>
      <c r="AB2">
        <v>2255257.02</v>
      </c>
      <c r="AC2">
        <v>0</v>
      </c>
      <c r="AD2">
        <v>0</v>
      </c>
      <c r="AE2">
        <v>0</v>
      </c>
      <c r="AQ2">
        <v>182375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  <c r="AW2" t="b">
        <v>1</v>
      </c>
      <c r="AX2" t="b">
        <v>1</v>
      </c>
    </row>
    <row r="3" spans="1:72" x14ac:dyDescent="0.25">
      <c r="A3" t="s">
        <v>386</v>
      </c>
      <c r="B3">
        <v>1</v>
      </c>
      <c r="C3">
        <v>2</v>
      </c>
      <c r="D3">
        <v>1</v>
      </c>
      <c r="E3">
        <v>52081900</v>
      </c>
      <c r="F3">
        <v>275340</v>
      </c>
      <c r="G3" t="s">
        <v>312</v>
      </c>
      <c r="H3" t="s">
        <v>60</v>
      </c>
      <c r="I3" t="s">
        <v>60</v>
      </c>
      <c r="J3" t="s">
        <v>60</v>
      </c>
      <c r="K3" t="s">
        <v>60</v>
      </c>
      <c r="L3" t="s">
        <v>27</v>
      </c>
      <c r="M3">
        <v>18.8</v>
      </c>
      <c r="P3">
        <v>40</v>
      </c>
      <c r="Q3" t="s">
        <v>80</v>
      </c>
      <c r="R3" t="s">
        <v>410</v>
      </c>
      <c r="S3" t="s">
        <v>359</v>
      </c>
      <c r="T3" t="s">
        <v>328</v>
      </c>
      <c r="V3">
        <v>0</v>
      </c>
      <c r="Y3">
        <v>0</v>
      </c>
      <c r="Z3">
        <v>0</v>
      </c>
      <c r="AA3">
        <v>0</v>
      </c>
      <c r="AB3">
        <v>2255257.02</v>
      </c>
      <c r="AC3">
        <v>0</v>
      </c>
      <c r="AD3">
        <v>0</v>
      </c>
      <c r="AE3">
        <v>0</v>
      </c>
      <c r="AQ3">
        <v>182375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</row>
    <row r="4" spans="1:72" x14ac:dyDescent="0.25">
      <c r="A4" t="s">
        <v>386</v>
      </c>
      <c r="B4">
        <v>1</v>
      </c>
      <c r="C4">
        <v>3</v>
      </c>
      <c r="D4">
        <v>1</v>
      </c>
      <c r="E4">
        <v>58062090</v>
      </c>
      <c r="F4">
        <v>248283</v>
      </c>
      <c r="G4" t="s">
        <v>313</v>
      </c>
      <c r="H4" t="s">
        <v>60</v>
      </c>
      <c r="I4" t="s">
        <v>60</v>
      </c>
      <c r="J4" t="s">
        <v>60</v>
      </c>
      <c r="K4" t="s">
        <v>60</v>
      </c>
      <c r="L4" t="s">
        <v>59</v>
      </c>
      <c r="M4">
        <v>0.01</v>
      </c>
      <c r="P4">
        <v>40</v>
      </c>
      <c r="Q4" t="s">
        <v>80</v>
      </c>
      <c r="R4" t="s">
        <v>411</v>
      </c>
      <c r="S4" t="s">
        <v>357</v>
      </c>
      <c r="T4" t="s">
        <v>329</v>
      </c>
      <c r="V4">
        <v>0</v>
      </c>
      <c r="Y4">
        <v>0</v>
      </c>
      <c r="Z4">
        <v>0</v>
      </c>
      <c r="AA4">
        <v>0</v>
      </c>
      <c r="AB4">
        <v>305</v>
      </c>
      <c r="AC4">
        <v>0</v>
      </c>
      <c r="AD4">
        <v>0</v>
      </c>
      <c r="AE4">
        <v>0</v>
      </c>
      <c r="AQ4">
        <v>182375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</row>
    <row r="5" spans="1:72" x14ac:dyDescent="0.25">
      <c r="A5" t="s">
        <v>386</v>
      </c>
      <c r="B5">
        <v>1</v>
      </c>
      <c r="C5">
        <v>4</v>
      </c>
      <c r="D5">
        <v>1</v>
      </c>
      <c r="E5">
        <v>58062090</v>
      </c>
      <c r="F5">
        <v>248283</v>
      </c>
      <c r="G5" t="s">
        <v>313</v>
      </c>
      <c r="H5" t="s">
        <v>60</v>
      </c>
      <c r="I5" t="s">
        <v>60</v>
      </c>
      <c r="J5" t="s">
        <v>60</v>
      </c>
      <c r="K5" t="s">
        <v>60</v>
      </c>
      <c r="L5" t="s">
        <v>59</v>
      </c>
      <c r="M5">
        <v>0.02</v>
      </c>
      <c r="P5">
        <v>40</v>
      </c>
      <c r="Q5" t="s">
        <v>80</v>
      </c>
      <c r="R5" t="s">
        <v>412</v>
      </c>
      <c r="S5" t="s">
        <v>360</v>
      </c>
      <c r="T5" t="s">
        <v>330</v>
      </c>
      <c r="V5">
        <v>0</v>
      </c>
      <c r="Y5">
        <v>0</v>
      </c>
      <c r="Z5">
        <v>0</v>
      </c>
      <c r="AA5">
        <v>0</v>
      </c>
      <c r="AB5">
        <v>640</v>
      </c>
      <c r="AC5">
        <v>0</v>
      </c>
      <c r="AD5">
        <v>0</v>
      </c>
      <c r="AE5">
        <v>0</v>
      </c>
      <c r="AQ5">
        <v>182375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</row>
    <row r="6" spans="1:72" x14ac:dyDescent="0.25">
      <c r="A6" t="s">
        <v>386</v>
      </c>
      <c r="B6">
        <v>1</v>
      </c>
      <c r="C6">
        <v>5</v>
      </c>
      <c r="D6">
        <v>1</v>
      </c>
      <c r="E6">
        <v>58062090</v>
      </c>
      <c r="F6">
        <v>248283</v>
      </c>
      <c r="G6" t="s">
        <v>313</v>
      </c>
      <c r="H6" t="s">
        <v>60</v>
      </c>
      <c r="I6" t="s">
        <v>60</v>
      </c>
      <c r="J6" t="s">
        <v>60</v>
      </c>
      <c r="K6" t="s">
        <v>60</v>
      </c>
      <c r="L6" t="s">
        <v>59</v>
      </c>
      <c r="M6">
        <v>0.02</v>
      </c>
      <c r="P6">
        <v>40</v>
      </c>
      <c r="Q6" t="s">
        <v>80</v>
      </c>
      <c r="R6" t="s">
        <v>413</v>
      </c>
      <c r="S6" t="s">
        <v>361</v>
      </c>
      <c r="T6" t="s">
        <v>331</v>
      </c>
      <c r="V6">
        <v>0</v>
      </c>
      <c r="Y6">
        <v>0</v>
      </c>
      <c r="Z6">
        <v>0</v>
      </c>
      <c r="AA6">
        <v>0</v>
      </c>
      <c r="AB6">
        <v>640</v>
      </c>
      <c r="AC6">
        <v>0</v>
      </c>
      <c r="AD6">
        <v>0</v>
      </c>
      <c r="AE6">
        <v>0</v>
      </c>
      <c r="AQ6">
        <v>182375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</row>
    <row r="7" spans="1:72" x14ac:dyDescent="0.25">
      <c r="A7" t="s">
        <v>386</v>
      </c>
      <c r="B7">
        <v>1</v>
      </c>
      <c r="C7">
        <v>6</v>
      </c>
      <c r="D7">
        <v>1</v>
      </c>
      <c r="E7">
        <v>58062090</v>
      </c>
      <c r="F7">
        <v>248283</v>
      </c>
      <c r="G7" t="s">
        <v>314</v>
      </c>
      <c r="H7" t="s">
        <v>60</v>
      </c>
      <c r="I7" t="s">
        <v>60</v>
      </c>
      <c r="J7" t="s">
        <v>60</v>
      </c>
      <c r="K7" t="s">
        <v>60</v>
      </c>
      <c r="L7" t="s">
        <v>59</v>
      </c>
      <c r="M7">
        <v>0.02</v>
      </c>
      <c r="P7">
        <v>40</v>
      </c>
      <c r="Q7" t="s">
        <v>80</v>
      </c>
      <c r="R7" t="s">
        <v>414</v>
      </c>
      <c r="S7" t="s">
        <v>362</v>
      </c>
      <c r="T7" t="s">
        <v>332</v>
      </c>
      <c r="V7">
        <v>0</v>
      </c>
      <c r="Y7">
        <v>0</v>
      </c>
      <c r="Z7">
        <v>0</v>
      </c>
      <c r="AA7">
        <v>0</v>
      </c>
      <c r="AB7">
        <v>640</v>
      </c>
      <c r="AC7">
        <v>0</v>
      </c>
      <c r="AD7">
        <v>0</v>
      </c>
      <c r="AE7">
        <v>0</v>
      </c>
      <c r="AQ7">
        <v>182375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</row>
    <row r="8" spans="1:72" x14ac:dyDescent="0.25">
      <c r="A8" t="s">
        <v>386</v>
      </c>
      <c r="B8">
        <v>1</v>
      </c>
      <c r="C8">
        <v>7</v>
      </c>
      <c r="D8">
        <v>1</v>
      </c>
      <c r="E8">
        <v>48211090</v>
      </c>
      <c r="F8">
        <v>297274</v>
      </c>
      <c r="G8" t="s">
        <v>315</v>
      </c>
      <c r="H8" t="s">
        <v>60</v>
      </c>
      <c r="I8" t="s">
        <v>60</v>
      </c>
      <c r="J8" t="s">
        <v>60</v>
      </c>
      <c r="K8" t="s">
        <v>60</v>
      </c>
      <c r="L8" t="s">
        <v>12</v>
      </c>
      <c r="M8">
        <v>400</v>
      </c>
      <c r="P8">
        <v>40</v>
      </c>
      <c r="Q8" t="s">
        <v>80</v>
      </c>
      <c r="R8" t="s">
        <v>415</v>
      </c>
      <c r="S8" t="s">
        <v>363</v>
      </c>
      <c r="T8" t="s">
        <v>333</v>
      </c>
      <c r="V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Q8">
        <v>182375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</row>
    <row r="9" spans="1:72" x14ac:dyDescent="0.25">
      <c r="A9" t="s">
        <v>386</v>
      </c>
      <c r="B9">
        <v>1</v>
      </c>
      <c r="C9">
        <v>8</v>
      </c>
      <c r="D9">
        <v>1</v>
      </c>
      <c r="E9">
        <v>48211090</v>
      </c>
      <c r="F9">
        <v>297275</v>
      </c>
      <c r="G9" t="s">
        <v>316</v>
      </c>
      <c r="H9" t="s">
        <v>60</v>
      </c>
      <c r="I9" t="s">
        <v>60</v>
      </c>
      <c r="J9" t="s">
        <v>60</v>
      </c>
      <c r="K9" t="s">
        <v>60</v>
      </c>
      <c r="L9" t="s">
        <v>12</v>
      </c>
      <c r="M9">
        <v>60</v>
      </c>
      <c r="P9">
        <v>40</v>
      </c>
      <c r="Q9" t="s">
        <v>80</v>
      </c>
      <c r="R9" t="s">
        <v>415</v>
      </c>
      <c r="S9" t="s">
        <v>363</v>
      </c>
      <c r="T9" t="s">
        <v>333</v>
      </c>
      <c r="V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Q9">
        <v>182375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</row>
    <row r="10" spans="1:72" x14ac:dyDescent="0.25">
      <c r="A10" t="s">
        <v>386</v>
      </c>
      <c r="B10">
        <v>1</v>
      </c>
      <c r="C10">
        <v>9</v>
      </c>
      <c r="D10">
        <v>1</v>
      </c>
      <c r="E10">
        <v>48211090</v>
      </c>
      <c r="F10">
        <v>297276</v>
      </c>
      <c r="G10" t="s">
        <v>317</v>
      </c>
      <c r="H10" t="s">
        <v>60</v>
      </c>
      <c r="I10" t="s">
        <v>60</v>
      </c>
      <c r="J10" t="s">
        <v>60</v>
      </c>
      <c r="K10" t="s">
        <v>60</v>
      </c>
      <c r="L10" t="s">
        <v>12</v>
      </c>
      <c r="M10">
        <v>140</v>
      </c>
      <c r="P10">
        <v>40</v>
      </c>
      <c r="Q10" t="s">
        <v>80</v>
      </c>
      <c r="R10" t="s">
        <v>415</v>
      </c>
      <c r="S10" t="s">
        <v>363</v>
      </c>
      <c r="T10" t="s">
        <v>333</v>
      </c>
      <c r="V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Q10">
        <v>182375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</row>
    <row r="11" spans="1:72" x14ac:dyDescent="0.25">
      <c r="A11" t="s">
        <v>386</v>
      </c>
      <c r="B11">
        <v>1</v>
      </c>
      <c r="C11">
        <v>10</v>
      </c>
      <c r="D11">
        <v>1</v>
      </c>
      <c r="E11">
        <v>48211090</v>
      </c>
      <c r="F11">
        <v>297277</v>
      </c>
      <c r="G11" t="s">
        <v>318</v>
      </c>
      <c r="H11" t="s">
        <v>60</v>
      </c>
      <c r="I11" t="s">
        <v>60</v>
      </c>
      <c r="J11" t="s">
        <v>60</v>
      </c>
      <c r="K11" t="s">
        <v>60</v>
      </c>
      <c r="L11" t="s">
        <v>12</v>
      </c>
      <c r="M11">
        <v>100</v>
      </c>
      <c r="P11">
        <v>40</v>
      </c>
      <c r="Q11" t="s">
        <v>80</v>
      </c>
      <c r="R11" t="s">
        <v>415</v>
      </c>
      <c r="S11" t="s">
        <v>363</v>
      </c>
      <c r="T11" t="s">
        <v>333</v>
      </c>
      <c r="V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Q11">
        <v>182375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</row>
    <row r="12" spans="1:72" x14ac:dyDescent="0.25">
      <c r="A12" t="s">
        <v>386</v>
      </c>
      <c r="B12">
        <v>1</v>
      </c>
      <c r="C12">
        <v>11</v>
      </c>
      <c r="D12">
        <v>1</v>
      </c>
      <c r="E12">
        <v>48211090</v>
      </c>
      <c r="F12">
        <v>297278</v>
      </c>
      <c r="G12" t="s">
        <v>319</v>
      </c>
      <c r="H12" t="s">
        <v>60</v>
      </c>
      <c r="I12" t="s">
        <v>60</v>
      </c>
      <c r="J12" t="s">
        <v>60</v>
      </c>
      <c r="K12" t="s">
        <v>60</v>
      </c>
      <c r="L12" t="s">
        <v>12</v>
      </c>
      <c r="M12">
        <v>100</v>
      </c>
      <c r="P12">
        <v>40</v>
      </c>
      <c r="Q12" t="s">
        <v>80</v>
      </c>
      <c r="R12" t="s">
        <v>415</v>
      </c>
      <c r="S12" t="s">
        <v>363</v>
      </c>
      <c r="T12" t="s">
        <v>333</v>
      </c>
      <c r="V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Q12">
        <v>182375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</row>
    <row r="13" spans="1:72" x14ac:dyDescent="0.25">
      <c r="A13" t="s">
        <v>386</v>
      </c>
      <c r="B13">
        <v>3</v>
      </c>
      <c r="C13">
        <v>1</v>
      </c>
      <c r="D13">
        <v>1</v>
      </c>
      <c r="E13">
        <v>52081900</v>
      </c>
      <c r="F13">
        <v>274799</v>
      </c>
      <c r="G13" t="s">
        <v>311</v>
      </c>
      <c r="H13" t="s">
        <v>60</v>
      </c>
      <c r="I13" t="s">
        <v>60</v>
      </c>
      <c r="J13" t="s">
        <v>60</v>
      </c>
      <c r="K13" t="s">
        <v>60</v>
      </c>
      <c r="L13" t="s">
        <v>27</v>
      </c>
      <c r="M13">
        <v>11.6</v>
      </c>
      <c r="P13">
        <v>40</v>
      </c>
      <c r="Q13" t="s">
        <v>80</v>
      </c>
      <c r="R13" t="s">
        <v>409</v>
      </c>
      <c r="S13" t="s">
        <v>358</v>
      </c>
      <c r="T13" t="s">
        <v>327</v>
      </c>
      <c r="V13">
        <v>0</v>
      </c>
      <c r="Y13">
        <v>0</v>
      </c>
      <c r="Z13">
        <v>0</v>
      </c>
      <c r="AA13">
        <v>0</v>
      </c>
      <c r="AB13">
        <v>1391541.57</v>
      </c>
      <c r="AC13">
        <v>0</v>
      </c>
      <c r="AD13">
        <v>0</v>
      </c>
      <c r="AE13">
        <v>0</v>
      </c>
      <c r="AQ13">
        <v>182376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</row>
    <row r="14" spans="1:72" x14ac:dyDescent="0.25">
      <c r="A14" t="s">
        <v>386</v>
      </c>
      <c r="B14">
        <v>3</v>
      </c>
      <c r="C14">
        <v>2</v>
      </c>
      <c r="D14">
        <v>1</v>
      </c>
      <c r="E14">
        <v>52081900</v>
      </c>
      <c r="F14">
        <v>275340</v>
      </c>
      <c r="G14" t="s">
        <v>312</v>
      </c>
      <c r="H14" t="s">
        <v>60</v>
      </c>
      <c r="I14" t="s">
        <v>60</v>
      </c>
      <c r="J14" t="s">
        <v>60</v>
      </c>
      <c r="K14" t="s">
        <v>60</v>
      </c>
      <c r="L14" t="s">
        <v>27</v>
      </c>
      <c r="M14">
        <v>11.6</v>
      </c>
      <c r="P14">
        <v>40</v>
      </c>
      <c r="Q14" t="s">
        <v>80</v>
      </c>
      <c r="R14" t="s">
        <v>410</v>
      </c>
      <c r="S14" t="s">
        <v>359</v>
      </c>
      <c r="T14" t="s">
        <v>328</v>
      </c>
      <c r="V14">
        <v>0</v>
      </c>
      <c r="Y14">
        <v>0</v>
      </c>
      <c r="Z14">
        <v>0</v>
      </c>
      <c r="AA14">
        <v>0</v>
      </c>
      <c r="AB14">
        <v>1391541.57</v>
      </c>
      <c r="AC14">
        <v>0</v>
      </c>
      <c r="AD14">
        <v>0</v>
      </c>
      <c r="AE14">
        <v>0</v>
      </c>
      <c r="AQ14">
        <v>182376</v>
      </c>
      <c r="AR14" t="b">
        <v>1</v>
      </c>
      <c r="AS14" t="b">
        <v>1</v>
      </c>
      <c r="AT14" t="b">
        <v>1</v>
      </c>
      <c r="AU14" t="b">
        <v>1</v>
      </c>
      <c r="AV14" t="b">
        <v>1</v>
      </c>
      <c r="AW14" t="b">
        <v>1</v>
      </c>
      <c r="AX14" t="b">
        <v>1</v>
      </c>
    </row>
    <row r="15" spans="1:72" x14ac:dyDescent="0.25">
      <c r="A15" t="s">
        <v>386</v>
      </c>
      <c r="B15">
        <v>3</v>
      </c>
      <c r="C15">
        <v>3</v>
      </c>
      <c r="D15">
        <v>1</v>
      </c>
      <c r="E15">
        <v>58062090</v>
      </c>
      <c r="F15">
        <v>262938</v>
      </c>
      <c r="G15" t="s">
        <v>320</v>
      </c>
      <c r="H15" t="s">
        <v>60</v>
      </c>
      <c r="I15" t="s">
        <v>60</v>
      </c>
      <c r="J15" t="s">
        <v>60</v>
      </c>
      <c r="K15" t="s">
        <v>60</v>
      </c>
      <c r="L15" t="s">
        <v>59</v>
      </c>
      <c r="M15">
        <v>0.79</v>
      </c>
      <c r="P15">
        <v>40</v>
      </c>
      <c r="Q15" t="s">
        <v>80</v>
      </c>
      <c r="R15" t="s">
        <v>416</v>
      </c>
      <c r="S15" t="s">
        <v>360</v>
      </c>
      <c r="T15" t="s">
        <v>334</v>
      </c>
      <c r="V15">
        <v>0</v>
      </c>
      <c r="Y15">
        <v>0</v>
      </c>
      <c r="Z15">
        <v>0</v>
      </c>
      <c r="AA15">
        <v>0</v>
      </c>
      <c r="AB15">
        <v>32390</v>
      </c>
      <c r="AC15">
        <v>0</v>
      </c>
      <c r="AD15">
        <v>0</v>
      </c>
      <c r="AE15">
        <v>0</v>
      </c>
      <c r="AQ15">
        <v>182376</v>
      </c>
      <c r="AR15" t="b">
        <v>1</v>
      </c>
      <c r="AS15" t="b">
        <v>1</v>
      </c>
      <c r="AT15" t="b">
        <v>1</v>
      </c>
      <c r="AU15" t="b">
        <v>1</v>
      </c>
      <c r="AV15" t="b">
        <v>1</v>
      </c>
      <c r="AW15" t="b">
        <v>1</v>
      </c>
      <c r="AX15" t="b">
        <v>1</v>
      </c>
    </row>
    <row r="16" spans="1:72" x14ac:dyDescent="0.25">
      <c r="A16" t="s">
        <v>386</v>
      </c>
      <c r="B16">
        <v>3</v>
      </c>
      <c r="C16">
        <v>4</v>
      </c>
      <c r="D16">
        <v>1</v>
      </c>
      <c r="E16">
        <v>58061090</v>
      </c>
      <c r="F16">
        <v>262938</v>
      </c>
      <c r="G16" t="s">
        <v>320</v>
      </c>
      <c r="H16" t="s">
        <v>60</v>
      </c>
      <c r="I16" t="s">
        <v>60</v>
      </c>
      <c r="J16" t="s">
        <v>60</v>
      </c>
      <c r="K16" t="s">
        <v>60</v>
      </c>
      <c r="L16" t="s">
        <v>59</v>
      </c>
      <c r="M16">
        <v>0.4</v>
      </c>
      <c r="P16">
        <v>40</v>
      </c>
      <c r="Q16" t="s">
        <v>80</v>
      </c>
      <c r="R16" t="s">
        <v>417</v>
      </c>
      <c r="S16" t="s">
        <v>364</v>
      </c>
      <c r="T16" t="s">
        <v>335</v>
      </c>
      <c r="V16">
        <v>0</v>
      </c>
      <c r="Y16">
        <v>0</v>
      </c>
      <c r="Z16">
        <v>0</v>
      </c>
      <c r="AA16">
        <v>0</v>
      </c>
      <c r="AB16">
        <v>16400</v>
      </c>
      <c r="AC16">
        <v>0</v>
      </c>
      <c r="AD16">
        <v>0</v>
      </c>
      <c r="AE16">
        <v>0</v>
      </c>
      <c r="AQ16">
        <v>182376</v>
      </c>
      <c r="AR16" t="b">
        <v>1</v>
      </c>
      <c r="AS16" t="b">
        <v>1</v>
      </c>
      <c r="AT16" t="b">
        <v>1</v>
      </c>
      <c r="AU16" t="b">
        <v>1</v>
      </c>
      <c r="AV16" t="b">
        <v>1</v>
      </c>
      <c r="AW16" t="b">
        <v>1</v>
      </c>
      <c r="AX16" t="b">
        <v>1</v>
      </c>
    </row>
    <row r="17" spans="1:50" x14ac:dyDescent="0.25">
      <c r="A17" t="s">
        <v>386</v>
      </c>
      <c r="B17">
        <v>3</v>
      </c>
      <c r="C17">
        <v>5</v>
      </c>
      <c r="D17">
        <v>1</v>
      </c>
      <c r="E17">
        <v>58062090</v>
      </c>
      <c r="F17">
        <v>262938</v>
      </c>
      <c r="G17" t="s">
        <v>321</v>
      </c>
      <c r="H17" t="s">
        <v>60</v>
      </c>
      <c r="I17" t="s">
        <v>60</v>
      </c>
      <c r="J17" t="s">
        <v>60</v>
      </c>
      <c r="K17" t="s">
        <v>60</v>
      </c>
      <c r="L17" t="s">
        <v>59</v>
      </c>
      <c r="M17">
        <v>0.78</v>
      </c>
      <c r="P17">
        <v>40</v>
      </c>
      <c r="Q17" t="s">
        <v>80</v>
      </c>
      <c r="R17" t="s">
        <v>418</v>
      </c>
      <c r="S17" t="s">
        <v>365</v>
      </c>
      <c r="T17" t="s">
        <v>336</v>
      </c>
      <c r="V17">
        <v>0</v>
      </c>
      <c r="Y17">
        <v>0</v>
      </c>
      <c r="Z17">
        <v>0</v>
      </c>
      <c r="AA17">
        <v>0</v>
      </c>
      <c r="AB17">
        <v>31980</v>
      </c>
      <c r="AC17">
        <v>0</v>
      </c>
      <c r="AD17">
        <v>0</v>
      </c>
      <c r="AE17">
        <v>0</v>
      </c>
      <c r="AQ17">
        <v>182376</v>
      </c>
      <c r="AR17" t="b">
        <v>1</v>
      </c>
      <c r="AS17" t="b">
        <v>1</v>
      </c>
      <c r="AT17" t="b">
        <v>1</v>
      </c>
      <c r="AU17" t="b">
        <v>1</v>
      </c>
      <c r="AV17" t="b">
        <v>1</v>
      </c>
      <c r="AW17" t="b">
        <v>1</v>
      </c>
      <c r="AX17" t="b">
        <v>1</v>
      </c>
    </row>
    <row r="18" spans="1:50" x14ac:dyDescent="0.25">
      <c r="A18" t="s">
        <v>386</v>
      </c>
      <c r="B18">
        <v>3</v>
      </c>
      <c r="C18">
        <v>6</v>
      </c>
      <c r="D18">
        <v>1</v>
      </c>
      <c r="E18">
        <v>48211090</v>
      </c>
      <c r="F18">
        <v>297274</v>
      </c>
      <c r="G18" t="s">
        <v>315</v>
      </c>
      <c r="H18" t="s">
        <v>60</v>
      </c>
      <c r="I18" t="s">
        <v>60</v>
      </c>
      <c r="J18" t="s">
        <v>60</v>
      </c>
      <c r="K18" t="s">
        <v>60</v>
      </c>
      <c r="L18" t="s">
        <v>12</v>
      </c>
      <c r="M18">
        <v>200</v>
      </c>
      <c r="P18">
        <v>40</v>
      </c>
      <c r="Q18" t="s">
        <v>80</v>
      </c>
      <c r="R18" t="s">
        <v>415</v>
      </c>
      <c r="S18" t="s">
        <v>363</v>
      </c>
      <c r="T18" t="s">
        <v>333</v>
      </c>
      <c r="V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Q18">
        <v>182376</v>
      </c>
      <c r="AR18" t="b">
        <v>1</v>
      </c>
      <c r="AS18" t="b">
        <v>1</v>
      </c>
      <c r="AT18" t="b">
        <v>1</v>
      </c>
      <c r="AU18" t="b">
        <v>1</v>
      </c>
      <c r="AV18" t="b">
        <v>1</v>
      </c>
      <c r="AW18" t="b">
        <v>1</v>
      </c>
      <c r="AX18" t="b">
        <v>1</v>
      </c>
    </row>
    <row r="19" spans="1:50" x14ac:dyDescent="0.25">
      <c r="A19" t="s">
        <v>386</v>
      </c>
      <c r="B19">
        <v>3</v>
      </c>
      <c r="C19">
        <v>7</v>
      </c>
      <c r="D19">
        <v>1</v>
      </c>
      <c r="E19">
        <v>48211090</v>
      </c>
      <c r="F19">
        <v>297275</v>
      </c>
      <c r="G19" t="s">
        <v>316</v>
      </c>
      <c r="H19" t="s">
        <v>60</v>
      </c>
      <c r="I19" t="s">
        <v>60</v>
      </c>
      <c r="J19" t="s">
        <v>60</v>
      </c>
      <c r="K19" t="s">
        <v>60</v>
      </c>
      <c r="L19" t="s">
        <v>12</v>
      </c>
      <c r="M19">
        <v>30</v>
      </c>
      <c r="P19">
        <v>40</v>
      </c>
      <c r="Q19" t="s">
        <v>80</v>
      </c>
      <c r="R19" t="s">
        <v>415</v>
      </c>
      <c r="S19" t="s">
        <v>363</v>
      </c>
      <c r="T19" t="s">
        <v>333</v>
      </c>
      <c r="V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Q19">
        <v>182376</v>
      </c>
      <c r="AR19" t="b">
        <v>1</v>
      </c>
      <c r="AS19" t="b">
        <v>1</v>
      </c>
      <c r="AT19" t="b">
        <v>1</v>
      </c>
      <c r="AU19" t="b">
        <v>1</v>
      </c>
      <c r="AV19" t="b">
        <v>1</v>
      </c>
      <c r="AW19" t="b">
        <v>1</v>
      </c>
      <c r="AX19" t="b">
        <v>1</v>
      </c>
    </row>
    <row r="20" spans="1:50" x14ac:dyDescent="0.25">
      <c r="A20" t="s">
        <v>386</v>
      </c>
      <c r="B20">
        <v>3</v>
      </c>
      <c r="C20">
        <v>8</v>
      </c>
      <c r="D20">
        <v>1</v>
      </c>
      <c r="E20">
        <v>48211090</v>
      </c>
      <c r="F20">
        <v>297276</v>
      </c>
      <c r="G20" t="s">
        <v>317</v>
      </c>
      <c r="H20" t="s">
        <v>60</v>
      </c>
      <c r="I20" t="s">
        <v>60</v>
      </c>
      <c r="J20" t="s">
        <v>60</v>
      </c>
      <c r="K20" t="s">
        <v>60</v>
      </c>
      <c r="L20" t="s">
        <v>12</v>
      </c>
      <c r="M20">
        <v>70</v>
      </c>
      <c r="P20">
        <v>40</v>
      </c>
      <c r="Q20" t="s">
        <v>80</v>
      </c>
      <c r="R20" t="s">
        <v>415</v>
      </c>
      <c r="S20" t="s">
        <v>363</v>
      </c>
      <c r="T20" t="s">
        <v>333</v>
      </c>
      <c r="V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Q20">
        <v>182376</v>
      </c>
      <c r="AR20" t="b">
        <v>1</v>
      </c>
      <c r="AS20" t="b">
        <v>1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</row>
    <row r="21" spans="1:50" x14ac:dyDescent="0.25">
      <c r="A21" t="s">
        <v>386</v>
      </c>
      <c r="B21">
        <v>3</v>
      </c>
      <c r="C21">
        <v>9</v>
      </c>
      <c r="D21">
        <v>1</v>
      </c>
      <c r="E21">
        <v>48211090</v>
      </c>
      <c r="F21">
        <v>297277</v>
      </c>
      <c r="G21" t="s">
        <v>318</v>
      </c>
      <c r="H21" t="s">
        <v>60</v>
      </c>
      <c r="I21" t="s">
        <v>60</v>
      </c>
      <c r="J21" t="s">
        <v>60</v>
      </c>
      <c r="K21" t="s">
        <v>60</v>
      </c>
      <c r="L21" t="s">
        <v>12</v>
      </c>
      <c r="M21">
        <v>50</v>
      </c>
      <c r="P21">
        <v>40</v>
      </c>
      <c r="Q21" t="s">
        <v>80</v>
      </c>
      <c r="R21" t="s">
        <v>415</v>
      </c>
      <c r="S21" t="s">
        <v>363</v>
      </c>
      <c r="T21" t="s">
        <v>333</v>
      </c>
      <c r="V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Q21">
        <v>182376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</row>
    <row r="22" spans="1:50" x14ac:dyDescent="0.25">
      <c r="A22" t="s">
        <v>386</v>
      </c>
      <c r="B22">
        <v>3</v>
      </c>
      <c r="C22">
        <v>10</v>
      </c>
      <c r="D22">
        <v>1</v>
      </c>
      <c r="E22">
        <v>48211090</v>
      </c>
      <c r="F22">
        <v>297278</v>
      </c>
      <c r="G22" t="s">
        <v>319</v>
      </c>
      <c r="H22" t="s">
        <v>60</v>
      </c>
      <c r="I22" t="s">
        <v>60</v>
      </c>
      <c r="J22" t="s">
        <v>60</v>
      </c>
      <c r="K22" t="s">
        <v>60</v>
      </c>
      <c r="L22" t="s">
        <v>12</v>
      </c>
      <c r="M22">
        <v>50</v>
      </c>
      <c r="P22">
        <v>40</v>
      </c>
      <c r="Q22" t="s">
        <v>80</v>
      </c>
      <c r="R22" t="s">
        <v>415</v>
      </c>
      <c r="S22" t="s">
        <v>363</v>
      </c>
      <c r="T22" t="s">
        <v>333</v>
      </c>
      <c r="V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Q22">
        <v>182376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</row>
    <row r="23" spans="1:50" x14ac:dyDescent="0.25">
      <c r="A23" t="s">
        <v>386</v>
      </c>
      <c r="B23">
        <v>5</v>
      </c>
      <c r="C23">
        <v>1</v>
      </c>
      <c r="D23">
        <v>1</v>
      </c>
      <c r="E23">
        <v>52081900</v>
      </c>
      <c r="F23">
        <v>274799</v>
      </c>
      <c r="G23" t="s">
        <v>311</v>
      </c>
      <c r="H23" t="s">
        <v>60</v>
      </c>
      <c r="I23" t="s">
        <v>60</v>
      </c>
      <c r="J23" t="s">
        <v>60</v>
      </c>
      <c r="K23" t="s">
        <v>60</v>
      </c>
      <c r="L23" t="s">
        <v>27</v>
      </c>
      <c r="M23">
        <v>12</v>
      </c>
      <c r="P23">
        <v>40</v>
      </c>
      <c r="Q23" t="s">
        <v>80</v>
      </c>
      <c r="R23" t="s">
        <v>409</v>
      </c>
      <c r="S23" t="s">
        <v>358</v>
      </c>
      <c r="T23" t="s">
        <v>327</v>
      </c>
      <c r="V23">
        <v>0</v>
      </c>
      <c r="Y23">
        <v>0</v>
      </c>
      <c r="Z23">
        <v>0</v>
      </c>
      <c r="AA23">
        <v>0</v>
      </c>
      <c r="AB23">
        <v>1439525.76</v>
      </c>
      <c r="AC23">
        <v>0</v>
      </c>
      <c r="AD23">
        <v>0</v>
      </c>
      <c r="AE23">
        <v>0</v>
      </c>
      <c r="AQ23">
        <v>182377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</row>
    <row r="24" spans="1:50" x14ac:dyDescent="0.25">
      <c r="A24" t="s">
        <v>386</v>
      </c>
      <c r="B24">
        <v>5</v>
      </c>
      <c r="C24">
        <v>2</v>
      </c>
      <c r="D24">
        <v>1</v>
      </c>
      <c r="E24">
        <v>52081900</v>
      </c>
      <c r="F24">
        <v>275340</v>
      </c>
      <c r="G24" t="s">
        <v>312</v>
      </c>
      <c r="H24" t="s">
        <v>60</v>
      </c>
      <c r="I24" t="s">
        <v>60</v>
      </c>
      <c r="J24" t="s">
        <v>60</v>
      </c>
      <c r="K24" t="s">
        <v>60</v>
      </c>
      <c r="L24" t="s">
        <v>27</v>
      </c>
      <c r="M24">
        <v>12</v>
      </c>
      <c r="P24">
        <v>40</v>
      </c>
      <c r="Q24" t="s">
        <v>80</v>
      </c>
      <c r="R24" t="s">
        <v>410</v>
      </c>
      <c r="S24" t="s">
        <v>359</v>
      </c>
      <c r="T24" t="s">
        <v>328</v>
      </c>
      <c r="V24">
        <v>0</v>
      </c>
      <c r="Y24">
        <v>0</v>
      </c>
      <c r="Z24">
        <v>0</v>
      </c>
      <c r="AA24">
        <v>0</v>
      </c>
      <c r="AB24">
        <v>1439525.76</v>
      </c>
      <c r="AC24">
        <v>0</v>
      </c>
      <c r="AD24">
        <v>0</v>
      </c>
      <c r="AE24">
        <v>0</v>
      </c>
      <c r="AQ24">
        <v>182377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</row>
    <row r="25" spans="1:50" x14ac:dyDescent="0.25">
      <c r="A25" t="s">
        <v>386</v>
      </c>
      <c r="B25">
        <v>5</v>
      </c>
      <c r="C25">
        <v>3</v>
      </c>
      <c r="D25">
        <v>1</v>
      </c>
      <c r="E25">
        <v>58062090</v>
      </c>
      <c r="F25">
        <v>262938</v>
      </c>
      <c r="G25" t="s">
        <v>322</v>
      </c>
      <c r="H25" t="s">
        <v>60</v>
      </c>
      <c r="I25" t="s">
        <v>60</v>
      </c>
      <c r="J25" t="s">
        <v>60</v>
      </c>
      <c r="K25" t="s">
        <v>60</v>
      </c>
      <c r="L25" t="s">
        <v>59</v>
      </c>
      <c r="M25">
        <v>0.01</v>
      </c>
      <c r="P25">
        <v>40</v>
      </c>
      <c r="Q25" t="s">
        <v>80</v>
      </c>
      <c r="R25" t="s">
        <v>419</v>
      </c>
      <c r="S25" t="s">
        <v>366</v>
      </c>
      <c r="T25" t="s">
        <v>337</v>
      </c>
      <c r="V25">
        <v>0</v>
      </c>
      <c r="Y25">
        <v>0</v>
      </c>
      <c r="Z25">
        <v>0</v>
      </c>
      <c r="AA25">
        <v>0</v>
      </c>
      <c r="AB25">
        <v>390</v>
      </c>
      <c r="AC25">
        <v>0</v>
      </c>
      <c r="AD25">
        <v>0</v>
      </c>
      <c r="AE25">
        <v>0</v>
      </c>
      <c r="AQ25">
        <v>182377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</row>
    <row r="26" spans="1:50" x14ac:dyDescent="0.25">
      <c r="A26" t="s">
        <v>386</v>
      </c>
      <c r="B26">
        <v>5</v>
      </c>
      <c r="C26">
        <v>4</v>
      </c>
      <c r="D26">
        <v>1</v>
      </c>
      <c r="E26">
        <v>58062090</v>
      </c>
      <c r="F26">
        <v>262938</v>
      </c>
      <c r="G26" t="s">
        <v>320</v>
      </c>
      <c r="H26" t="s">
        <v>60</v>
      </c>
      <c r="I26" t="s">
        <v>60</v>
      </c>
      <c r="J26" t="s">
        <v>60</v>
      </c>
      <c r="K26" t="s">
        <v>60</v>
      </c>
      <c r="L26" t="s">
        <v>59</v>
      </c>
      <c r="M26">
        <v>0.04</v>
      </c>
      <c r="P26">
        <v>40</v>
      </c>
      <c r="Q26" t="s">
        <v>80</v>
      </c>
      <c r="R26" t="s">
        <v>420</v>
      </c>
      <c r="S26" t="s">
        <v>367</v>
      </c>
      <c r="T26" t="s">
        <v>338</v>
      </c>
      <c r="V26">
        <v>0</v>
      </c>
      <c r="Y26">
        <v>0</v>
      </c>
      <c r="Z26">
        <v>0</v>
      </c>
      <c r="AA26">
        <v>0</v>
      </c>
      <c r="AB26">
        <v>1640</v>
      </c>
      <c r="AC26">
        <v>0</v>
      </c>
      <c r="AD26">
        <v>0</v>
      </c>
      <c r="AE26">
        <v>0</v>
      </c>
      <c r="AQ26">
        <v>182377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</row>
    <row r="27" spans="1:50" x14ac:dyDescent="0.25">
      <c r="A27" t="s">
        <v>386</v>
      </c>
      <c r="B27">
        <v>5</v>
      </c>
      <c r="C27">
        <v>5</v>
      </c>
      <c r="D27">
        <v>1</v>
      </c>
      <c r="E27">
        <v>58062090</v>
      </c>
      <c r="F27">
        <v>262938</v>
      </c>
      <c r="G27" t="s">
        <v>320</v>
      </c>
      <c r="H27" t="s">
        <v>60</v>
      </c>
      <c r="I27" t="s">
        <v>60</v>
      </c>
      <c r="J27" t="s">
        <v>60</v>
      </c>
      <c r="K27" t="s">
        <v>60</v>
      </c>
      <c r="L27" t="s">
        <v>59</v>
      </c>
      <c r="M27">
        <v>0.03</v>
      </c>
      <c r="P27">
        <v>40</v>
      </c>
      <c r="Q27" t="s">
        <v>80</v>
      </c>
      <c r="R27" t="s">
        <v>421</v>
      </c>
      <c r="S27" t="s">
        <v>368</v>
      </c>
      <c r="T27" t="s">
        <v>339</v>
      </c>
      <c r="V27">
        <v>0</v>
      </c>
      <c r="Y27">
        <v>0</v>
      </c>
      <c r="Z27">
        <v>0</v>
      </c>
      <c r="AA27">
        <v>0</v>
      </c>
      <c r="AB27">
        <v>1230</v>
      </c>
      <c r="AC27">
        <v>0</v>
      </c>
      <c r="AD27">
        <v>0</v>
      </c>
      <c r="AE27">
        <v>0</v>
      </c>
      <c r="AQ27">
        <v>182377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</row>
    <row r="28" spans="1:50" x14ac:dyDescent="0.25">
      <c r="A28" t="s">
        <v>386</v>
      </c>
      <c r="B28">
        <v>5</v>
      </c>
      <c r="C28">
        <v>6</v>
      </c>
      <c r="D28">
        <v>1</v>
      </c>
      <c r="E28">
        <v>58062090</v>
      </c>
      <c r="F28">
        <v>262938</v>
      </c>
      <c r="G28" t="s">
        <v>320</v>
      </c>
      <c r="H28" t="s">
        <v>60</v>
      </c>
      <c r="I28" t="s">
        <v>60</v>
      </c>
      <c r="J28" t="s">
        <v>60</v>
      </c>
      <c r="K28" t="s">
        <v>60</v>
      </c>
      <c r="L28" t="s">
        <v>59</v>
      </c>
      <c r="M28">
        <v>0.02</v>
      </c>
      <c r="P28">
        <v>40</v>
      </c>
      <c r="Q28" t="s">
        <v>80</v>
      </c>
      <c r="R28" t="s">
        <v>416</v>
      </c>
      <c r="S28" t="s">
        <v>360</v>
      </c>
      <c r="T28" t="s">
        <v>334</v>
      </c>
      <c r="V28">
        <v>0</v>
      </c>
      <c r="Y28">
        <v>0</v>
      </c>
      <c r="Z28">
        <v>0</v>
      </c>
      <c r="AA28">
        <v>0</v>
      </c>
      <c r="AB28">
        <v>820</v>
      </c>
      <c r="AC28">
        <v>0</v>
      </c>
      <c r="AD28">
        <v>0</v>
      </c>
      <c r="AE28">
        <v>0</v>
      </c>
      <c r="AQ28">
        <v>182377</v>
      </c>
      <c r="AR28" t="b">
        <v>1</v>
      </c>
      <c r="AS28" t="b">
        <v>1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</row>
    <row r="29" spans="1:50" x14ac:dyDescent="0.25">
      <c r="A29" t="s">
        <v>386</v>
      </c>
      <c r="B29">
        <v>5</v>
      </c>
      <c r="C29">
        <v>7</v>
      </c>
      <c r="D29">
        <v>1</v>
      </c>
      <c r="E29">
        <v>58061090</v>
      </c>
      <c r="F29">
        <v>262938</v>
      </c>
      <c r="G29" t="s">
        <v>320</v>
      </c>
      <c r="H29" t="s">
        <v>60</v>
      </c>
      <c r="I29" t="s">
        <v>60</v>
      </c>
      <c r="J29" t="s">
        <v>60</v>
      </c>
      <c r="K29" t="s">
        <v>60</v>
      </c>
      <c r="L29" t="s">
        <v>59</v>
      </c>
      <c r="M29">
        <v>0.01</v>
      </c>
      <c r="P29">
        <v>40</v>
      </c>
      <c r="Q29" t="s">
        <v>80</v>
      </c>
      <c r="R29" t="s">
        <v>417</v>
      </c>
      <c r="S29" t="s">
        <v>364</v>
      </c>
      <c r="T29" t="s">
        <v>335</v>
      </c>
      <c r="V29">
        <v>0</v>
      </c>
      <c r="Y29">
        <v>0</v>
      </c>
      <c r="Z29">
        <v>0</v>
      </c>
      <c r="AA29">
        <v>0</v>
      </c>
      <c r="AB29">
        <v>410</v>
      </c>
      <c r="AC29">
        <v>0</v>
      </c>
      <c r="AD29">
        <v>0</v>
      </c>
      <c r="AE29">
        <v>0</v>
      </c>
      <c r="AQ29">
        <v>182377</v>
      </c>
      <c r="AR29" t="b">
        <v>1</v>
      </c>
      <c r="AS29" t="b">
        <v>1</v>
      </c>
      <c r="AT29" t="b">
        <v>1</v>
      </c>
      <c r="AU29" t="b">
        <v>1</v>
      </c>
      <c r="AV29" t="b">
        <v>1</v>
      </c>
      <c r="AW29" t="b">
        <v>1</v>
      </c>
      <c r="AX29" t="b">
        <v>1</v>
      </c>
    </row>
    <row r="30" spans="1:50" x14ac:dyDescent="0.25">
      <c r="A30" t="s">
        <v>386</v>
      </c>
      <c r="B30">
        <v>5</v>
      </c>
      <c r="C30">
        <v>8</v>
      </c>
      <c r="D30">
        <v>1</v>
      </c>
      <c r="E30">
        <v>58062090</v>
      </c>
      <c r="F30">
        <v>262938</v>
      </c>
      <c r="G30" t="s">
        <v>320</v>
      </c>
      <c r="H30" t="s">
        <v>60</v>
      </c>
      <c r="I30" t="s">
        <v>60</v>
      </c>
      <c r="J30" t="s">
        <v>60</v>
      </c>
      <c r="K30" t="s">
        <v>60</v>
      </c>
      <c r="L30" t="s">
        <v>59</v>
      </c>
      <c r="M30">
        <v>0.01</v>
      </c>
      <c r="P30">
        <v>40</v>
      </c>
      <c r="Q30" t="s">
        <v>80</v>
      </c>
      <c r="R30" t="s">
        <v>422</v>
      </c>
      <c r="S30" t="s">
        <v>369</v>
      </c>
      <c r="T30" t="s">
        <v>340</v>
      </c>
      <c r="V30">
        <v>0</v>
      </c>
      <c r="Y30">
        <v>0</v>
      </c>
      <c r="Z30">
        <v>0</v>
      </c>
      <c r="AA30">
        <v>0</v>
      </c>
      <c r="AB30">
        <v>410</v>
      </c>
      <c r="AC30">
        <v>0</v>
      </c>
      <c r="AD30">
        <v>0</v>
      </c>
      <c r="AE30">
        <v>0</v>
      </c>
      <c r="AQ30">
        <v>182377</v>
      </c>
      <c r="AR30" t="b">
        <v>1</v>
      </c>
      <c r="AS30" t="b">
        <v>1</v>
      </c>
      <c r="AT30" t="b">
        <v>1</v>
      </c>
      <c r="AU30" t="b">
        <v>1</v>
      </c>
      <c r="AV30" t="b">
        <v>1</v>
      </c>
      <c r="AW30" t="b">
        <v>1</v>
      </c>
      <c r="AX30" t="b">
        <v>1</v>
      </c>
    </row>
    <row r="31" spans="1:50" x14ac:dyDescent="0.25">
      <c r="A31" t="s">
        <v>386</v>
      </c>
      <c r="B31">
        <v>5</v>
      </c>
      <c r="C31">
        <v>9</v>
      </c>
      <c r="D31">
        <v>1</v>
      </c>
      <c r="E31">
        <v>58062090</v>
      </c>
      <c r="F31">
        <v>262938</v>
      </c>
      <c r="G31" t="s">
        <v>320</v>
      </c>
      <c r="H31" t="s">
        <v>60</v>
      </c>
      <c r="I31" t="s">
        <v>60</v>
      </c>
      <c r="J31" t="s">
        <v>60</v>
      </c>
      <c r="K31" t="s">
        <v>60</v>
      </c>
      <c r="L31" t="s">
        <v>59</v>
      </c>
      <c r="M31">
        <v>0.1</v>
      </c>
      <c r="P31">
        <v>40</v>
      </c>
      <c r="Q31" t="s">
        <v>80</v>
      </c>
      <c r="R31" t="s">
        <v>423</v>
      </c>
      <c r="S31" t="s">
        <v>370</v>
      </c>
      <c r="T31" t="s">
        <v>341</v>
      </c>
      <c r="V31">
        <v>0</v>
      </c>
      <c r="Y31">
        <v>0</v>
      </c>
      <c r="Z31">
        <v>0</v>
      </c>
      <c r="AA31">
        <v>0</v>
      </c>
      <c r="AB31">
        <v>4100</v>
      </c>
      <c r="AC31">
        <v>0</v>
      </c>
      <c r="AD31">
        <v>0</v>
      </c>
      <c r="AE31">
        <v>0</v>
      </c>
      <c r="AQ31">
        <v>182377</v>
      </c>
      <c r="AR31" t="b">
        <v>1</v>
      </c>
      <c r="AS31" t="b">
        <v>1</v>
      </c>
      <c r="AT31" t="b">
        <v>1</v>
      </c>
      <c r="AU31" t="b">
        <v>1</v>
      </c>
      <c r="AV31" t="b">
        <v>1</v>
      </c>
      <c r="AW31" t="b">
        <v>1</v>
      </c>
      <c r="AX31" t="b">
        <v>1</v>
      </c>
    </row>
    <row r="32" spans="1:50" x14ac:dyDescent="0.25">
      <c r="A32" t="s">
        <v>386</v>
      </c>
      <c r="B32">
        <v>5</v>
      </c>
      <c r="C32">
        <v>10</v>
      </c>
      <c r="D32">
        <v>1</v>
      </c>
      <c r="E32">
        <v>58062090</v>
      </c>
      <c r="F32">
        <v>262938</v>
      </c>
      <c r="G32" t="s">
        <v>320</v>
      </c>
      <c r="H32" t="s">
        <v>60</v>
      </c>
      <c r="I32" t="s">
        <v>60</v>
      </c>
      <c r="J32" t="s">
        <v>60</v>
      </c>
      <c r="K32" t="s">
        <v>60</v>
      </c>
      <c r="L32" t="s">
        <v>59</v>
      </c>
      <c r="M32">
        <v>0.1</v>
      </c>
      <c r="P32">
        <v>40</v>
      </c>
      <c r="Q32" t="s">
        <v>80</v>
      </c>
      <c r="R32" t="s">
        <v>424</v>
      </c>
      <c r="S32" t="s">
        <v>371</v>
      </c>
      <c r="T32" t="s">
        <v>342</v>
      </c>
      <c r="V32">
        <v>0</v>
      </c>
      <c r="Y32">
        <v>0</v>
      </c>
      <c r="Z32">
        <v>0</v>
      </c>
      <c r="AA32">
        <v>0</v>
      </c>
      <c r="AB32">
        <v>4100</v>
      </c>
      <c r="AC32">
        <v>0</v>
      </c>
      <c r="AD32">
        <v>0</v>
      </c>
      <c r="AE32">
        <v>0</v>
      </c>
      <c r="AQ32">
        <v>182377</v>
      </c>
      <c r="AR32" t="b">
        <v>1</v>
      </c>
      <c r="AS32" t="b">
        <v>1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</row>
    <row r="33" spans="1:50" x14ac:dyDescent="0.25">
      <c r="A33" t="s">
        <v>386</v>
      </c>
      <c r="B33">
        <v>5</v>
      </c>
      <c r="C33">
        <v>11</v>
      </c>
      <c r="D33">
        <v>1</v>
      </c>
      <c r="E33">
        <v>58062090</v>
      </c>
      <c r="F33">
        <v>262938</v>
      </c>
      <c r="G33" t="s">
        <v>320</v>
      </c>
      <c r="H33" t="s">
        <v>60</v>
      </c>
      <c r="I33" t="s">
        <v>60</v>
      </c>
      <c r="J33" t="s">
        <v>60</v>
      </c>
      <c r="K33" t="s">
        <v>60</v>
      </c>
      <c r="L33" t="s">
        <v>59</v>
      </c>
      <c r="M33">
        <v>0.1</v>
      </c>
      <c r="P33">
        <v>40</v>
      </c>
      <c r="Q33" t="s">
        <v>80</v>
      </c>
      <c r="R33" t="s">
        <v>425</v>
      </c>
      <c r="S33" t="s">
        <v>372</v>
      </c>
      <c r="T33" t="s">
        <v>343</v>
      </c>
      <c r="V33">
        <v>0</v>
      </c>
      <c r="Y33">
        <v>0</v>
      </c>
      <c r="Z33">
        <v>0</v>
      </c>
      <c r="AA33">
        <v>0</v>
      </c>
      <c r="AB33">
        <v>4100</v>
      </c>
      <c r="AC33">
        <v>0</v>
      </c>
      <c r="AD33">
        <v>0</v>
      </c>
      <c r="AE33">
        <v>0</v>
      </c>
      <c r="AQ33">
        <v>182377</v>
      </c>
      <c r="AR33" t="b">
        <v>1</v>
      </c>
      <c r="AS33" t="b">
        <v>1</v>
      </c>
      <c r="AT33" t="b">
        <v>1</v>
      </c>
      <c r="AU33" t="b">
        <v>1</v>
      </c>
      <c r="AV33" t="b">
        <v>1</v>
      </c>
      <c r="AW33" t="b">
        <v>1</v>
      </c>
      <c r="AX33" t="b">
        <v>1</v>
      </c>
    </row>
    <row r="34" spans="1:50" x14ac:dyDescent="0.25">
      <c r="A34" t="s">
        <v>386</v>
      </c>
      <c r="B34">
        <v>5</v>
      </c>
      <c r="C34">
        <v>12</v>
      </c>
      <c r="D34">
        <v>1</v>
      </c>
      <c r="E34">
        <v>58062090</v>
      </c>
      <c r="F34">
        <v>262938</v>
      </c>
      <c r="G34" t="s">
        <v>321</v>
      </c>
      <c r="H34" t="s">
        <v>60</v>
      </c>
      <c r="I34" t="s">
        <v>60</v>
      </c>
      <c r="J34" t="s">
        <v>60</v>
      </c>
      <c r="K34" t="s">
        <v>60</v>
      </c>
      <c r="L34" t="s">
        <v>59</v>
      </c>
      <c r="M34">
        <v>0.65</v>
      </c>
      <c r="P34">
        <v>40</v>
      </c>
      <c r="Q34" t="s">
        <v>80</v>
      </c>
      <c r="R34" t="s">
        <v>426</v>
      </c>
      <c r="S34" t="s">
        <v>373</v>
      </c>
      <c r="T34" t="s">
        <v>344</v>
      </c>
      <c r="V34">
        <v>0</v>
      </c>
      <c r="Y34">
        <v>0</v>
      </c>
      <c r="Z34">
        <v>0</v>
      </c>
      <c r="AA34">
        <v>0</v>
      </c>
      <c r="AB34">
        <v>26650</v>
      </c>
      <c r="AC34">
        <v>0</v>
      </c>
      <c r="AD34">
        <v>0</v>
      </c>
      <c r="AE34">
        <v>0</v>
      </c>
      <c r="AQ34">
        <v>182377</v>
      </c>
      <c r="AR34" t="b">
        <v>1</v>
      </c>
      <c r="AS34" t="b">
        <v>1</v>
      </c>
      <c r="AT34" t="b">
        <v>1</v>
      </c>
      <c r="AU34" t="b">
        <v>1</v>
      </c>
      <c r="AV34" t="b">
        <v>1</v>
      </c>
      <c r="AW34" t="b">
        <v>1</v>
      </c>
      <c r="AX34" t="b">
        <v>1</v>
      </c>
    </row>
    <row r="35" spans="1:50" x14ac:dyDescent="0.25">
      <c r="A35" t="s">
        <v>386</v>
      </c>
      <c r="B35">
        <v>5</v>
      </c>
      <c r="C35">
        <v>13</v>
      </c>
      <c r="D35">
        <v>1</v>
      </c>
      <c r="E35">
        <v>58062090</v>
      </c>
      <c r="F35">
        <v>262938</v>
      </c>
      <c r="G35" t="s">
        <v>321</v>
      </c>
      <c r="H35" t="s">
        <v>60</v>
      </c>
      <c r="I35" t="s">
        <v>60</v>
      </c>
      <c r="J35" t="s">
        <v>60</v>
      </c>
      <c r="K35" t="s">
        <v>60</v>
      </c>
      <c r="L35" t="s">
        <v>59</v>
      </c>
      <c r="M35">
        <v>0.02</v>
      </c>
      <c r="P35">
        <v>40</v>
      </c>
      <c r="Q35" t="s">
        <v>80</v>
      </c>
      <c r="R35" t="s">
        <v>427</v>
      </c>
      <c r="S35" t="s">
        <v>374</v>
      </c>
      <c r="T35" t="s">
        <v>345</v>
      </c>
      <c r="V35">
        <v>0</v>
      </c>
      <c r="Y35">
        <v>0</v>
      </c>
      <c r="Z35">
        <v>0</v>
      </c>
      <c r="AA35">
        <v>0</v>
      </c>
      <c r="AB35">
        <v>820</v>
      </c>
      <c r="AC35">
        <v>0</v>
      </c>
      <c r="AD35">
        <v>0</v>
      </c>
      <c r="AE35">
        <v>0</v>
      </c>
      <c r="AQ35">
        <v>182377</v>
      </c>
      <c r="AR35" t="b">
        <v>1</v>
      </c>
      <c r="AS35" t="b">
        <v>1</v>
      </c>
      <c r="AT35" t="b">
        <v>1</v>
      </c>
      <c r="AU35" t="b">
        <v>1</v>
      </c>
      <c r="AV35" t="b">
        <v>1</v>
      </c>
      <c r="AW35" t="b">
        <v>1</v>
      </c>
      <c r="AX35" t="b">
        <v>1</v>
      </c>
    </row>
    <row r="36" spans="1:50" x14ac:dyDescent="0.25">
      <c r="A36" t="s">
        <v>386</v>
      </c>
      <c r="B36">
        <v>5</v>
      </c>
      <c r="C36">
        <v>14</v>
      </c>
      <c r="D36">
        <v>1</v>
      </c>
      <c r="E36">
        <v>58062090</v>
      </c>
      <c r="F36">
        <v>262938</v>
      </c>
      <c r="G36" t="s">
        <v>321</v>
      </c>
      <c r="H36" t="s">
        <v>60</v>
      </c>
      <c r="I36" t="s">
        <v>60</v>
      </c>
      <c r="J36" t="s">
        <v>60</v>
      </c>
      <c r="K36" t="s">
        <v>60</v>
      </c>
      <c r="L36" t="s">
        <v>59</v>
      </c>
      <c r="M36">
        <v>0.45</v>
      </c>
      <c r="P36">
        <v>40</v>
      </c>
      <c r="Q36" t="s">
        <v>80</v>
      </c>
      <c r="R36" t="s">
        <v>428</v>
      </c>
      <c r="S36" t="s">
        <v>375</v>
      </c>
      <c r="T36" t="s">
        <v>346</v>
      </c>
      <c r="V36">
        <v>0</v>
      </c>
      <c r="Y36">
        <v>0</v>
      </c>
      <c r="Z36">
        <v>0</v>
      </c>
      <c r="AA36">
        <v>0</v>
      </c>
      <c r="AB36">
        <v>18450</v>
      </c>
      <c r="AC36">
        <v>0</v>
      </c>
      <c r="AD36">
        <v>0</v>
      </c>
      <c r="AE36">
        <v>0</v>
      </c>
      <c r="AQ36">
        <v>182377</v>
      </c>
      <c r="AR36" t="b">
        <v>1</v>
      </c>
      <c r="AS36" t="b">
        <v>1</v>
      </c>
      <c r="AT36" t="b">
        <v>1</v>
      </c>
      <c r="AU36" t="b">
        <v>1</v>
      </c>
      <c r="AV36" t="b">
        <v>1</v>
      </c>
      <c r="AW36" t="b">
        <v>1</v>
      </c>
      <c r="AX36" t="b">
        <v>1</v>
      </c>
    </row>
    <row r="37" spans="1:50" x14ac:dyDescent="0.25">
      <c r="A37" t="s">
        <v>386</v>
      </c>
      <c r="B37">
        <v>5</v>
      </c>
      <c r="C37">
        <v>15</v>
      </c>
      <c r="D37">
        <v>1</v>
      </c>
      <c r="E37">
        <v>48211090</v>
      </c>
      <c r="F37">
        <v>297274</v>
      </c>
      <c r="G37" t="s">
        <v>315</v>
      </c>
      <c r="H37" t="s">
        <v>60</v>
      </c>
      <c r="I37" t="s">
        <v>60</v>
      </c>
      <c r="J37" t="s">
        <v>60</v>
      </c>
      <c r="K37" t="s">
        <v>60</v>
      </c>
      <c r="L37" t="s">
        <v>12</v>
      </c>
      <c r="M37">
        <v>300</v>
      </c>
      <c r="P37">
        <v>40</v>
      </c>
      <c r="Q37" t="s">
        <v>80</v>
      </c>
      <c r="R37" t="s">
        <v>415</v>
      </c>
      <c r="S37" t="s">
        <v>363</v>
      </c>
      <c r="T37" t="s">
        <v>333</v>
      </c>
      <c r="V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Q37">
        <v>182377</v>
      </c>
      <c r="AR37" t="b">
        <v>1</v>
      </c>
      <c r="AS37" t="b">
        <v>1</v>
      </c>
      <c r="AT37" t="b">
        <v>1</v>
      </c>
      <c r="AU37" t="b">
        <v>1</v>
      </c>
      <c r="AV37" t="b">
        <v>1</v>
      </c>
      <c r="AW37" t="b">
        <v>1</v>
      </c>
      <c r="AX37" t="b">
        <v>1</v>
      </c>
    </row>
    <row r="38" spans="1:50" x14ac:dyDescent="0.25">
      <c r="A38" t="s">
        <v>386</v>
      </c>
      <c r="B38">
        <v>5</v>
      </c>
      <c r="C38">
        <v>16</v>
      </c>
      <c r="D38">
        <v>1</v>
      </c>
      <c r="E38">
        <v>48211090</v>
      </c>
      <c r="F38">
        <v>297275</v>
      </c>
      <c r="G38" t="s">
        <v>316</v>
      </c>
      <c r="H38" t="s">
        <v>60</v>
      </c>
      <c r="I38" t="s">
        <v>60</v>
      </c>
      <c r="J38" t="s">
        <v>60</v>
      </c>
      <c r="K38" t="s">
        <v>60</v>
      </c>
      <c r="L38" t="s">
        <v>12</v>
      </c>
      <c r="M38">
        <v>46</v>
      </c>
      <c r="P38">
        <v>40</v>
      </c>
      <c r="Q38" t="s">
        <v>80</v>
      </c>
      <c r="R38" t="s">
        <v>415</v>
      </c>
      <c r="S38" t="s">
        <v>363</v>
      </c>
      <c r="T38" t="s">
        <v>333</v>
      </c>
      <c r="V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Q38">
        <v>182377</v>
      </c>
      <c r="AR38" t="b">
        <v>1</v>
      </c>
      <c r="AS38" t="b">
        <v>1</v>
      </c>
      <c r="AT38" t="b">
        <v>1</v>
      </c>
      <c r="AU38" t="b">
        <v>1</v>
      </c>
      <c r="AV38" t="b">
        <v>1</v>
      </c>
      <c r="AW38" t="b">
        <v>1</v>
      </c>
      <c r="AX38" t="b">
        <v>1</v>
      </c>
    </row>
    <row r="39" spans="1:50" x14ac:dyDescent="0.25">
      <c r="A39" t="s">
        <v>386</v>
      </c>
      <c r="B39">
        <v>5</v>
      </c>
      <c r="C39">
        <v>17</v>
      </c>
      <c r="D39">
        <v>1</v>
      </c>
      <c r="E39">
        <v>48211090</v>
      </c>
      <c r="F39">
        <v>297276</v>
      </c>
      <c r="G39" t="s">
        <v>317</v>
      </c>
      <c r="H39" t="s">
        <v>60</v>
      </c>
      <c r="I39" t="s">
        <v>60</v>
      </c>
      <c r="J39" t="s">
        <v>60</v>
      </c>
      <c r="K39" t="s">
        <v>60</v>
      </c>
      <c r="L39" t="s">
        <v>12</v>
      </c>
      <c r="M39">
        <v>104</v>
      </c>
      <c r="P39">
        <v>40</v>
      </c>
      <c r="Q39" t="s">
        <v>80</v>
      </c>
      <c r="R39" t="s">
        <v>415</v>
      </c>
      <c r="S39" t="s">
        <v>363</v>
      </c>
      <c r="T39" t="s">
        <v>333</v>
      </c>
      <c r="V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Q39">
        <v>182377</v>
      </c>
      <c r="AR39" t="b">
        <v>1</v>
      </c>
      <c r="AS39" t="b">
        <v>1</v>
      </c>
      <c r="AT39" t="b">
        <v>1</v>
      </c>
      <c r="AU39" t="b">
        <v>1</v>
      </c>
      <c r="AV39" t="b">
        <v>1</v>
      </c>
      <c r="AW39" t="b">
        <v>1</v>
      </c>
      <c r="AX39" t="b">
        <v>1</v>
      </c>
    </row>
    <row r="40" spans="1:50" x14ac:dyDescent="0.25">
      <c r="A40" t="s">
        <v>386</v>
      </c>
      <c r="B40">
        <v>5</v>
      </c>
      <c r="C40">
        <v>18</v>
      </c>
      <c r="D40">
        <v>1</v>
      </c>
      <c r="E40">
        <v>48211090</v>
      </c>
      <c r="F40">
        <v>297277</v>
      </c>
      <c r="G40" t="s">
        <v>318</v>
      </c>
      <c r="H40" t="s">
        <v>60</v>
      </c>
      <c r="I40" t="s">
        <v>60</v>
      </c>
      <c r="J40" t="s">
        <v>60</v>
      </c>
      <c r="K40" t="s">
        <v>60</v>
      </c>
      <c r="L40" t="s">
        <v>12</v>
      </c>
      <c r="M40">
        <v>76</v>
      </c>
      <c r="P40">
        <v>40</v>
      </c>
      <c r="Q40" t="s">
        <v>80</v>
      </c>
      <c r="R40" t="s">
        <v>415</v>
      </c>
      <c r="S40" t="s">
        <v>363</v>
      </c>
      <c r="T40" t="s">
        <v>333</v>
      </c>
      <c r="V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Q40">
        <v>182377</v>
      </c>
      <c r="AR40" t="b">
        <v>1</v>
      </c>
      <c r="AS40" t="b">
        <v>1</v>
      </c>
      <c r="AT40" t="b">
        <v>1</v>
      </c>
      <c r="AU40" t="b">
        <v>1</v>
      </c>
      <c r="AV40" t="b">
        <v>1</v>
      </c>
      <c r="AW40" t="b">
        <v>1</v>
      </c>
      <c r="AX40" t="b">
        <v>1</v>
      </c>
    </row>
    <row r="41" spans="1:50" x14ac:dyDescent="0.25">
      <c r="A41" t="s">
        <v>386</v>
      </c>
      <c r="B41">
        <v>5</v>
      </c>
      <c r="C41">
        <v>19</v>
      </c>
      <c r="D41">
        <v>1</v>
      </c>
      <c r="E41">
        <v>48211090</v>
      </c>
      <c r="F41">
        <v>297278</v>
      </c>
      <c r="G41" t="s">
        <v>319</v>
      </c>
      <c r="H41" t="s">
        <v>60</v>
      </c>
      <c r="I41" t="s">
        <v>60</v>
      </c>
      <c r="J41" t="s">
        <v>60</v>
      </c>
      <c r="K41" t="s">
        <v>60</v>
      </c>
      <c r="L41" t="s">
        <v>12</v>
      </c>
      <c r="M41">
        <v>74</v>
      </c>
      <c r="P41">
        <v>40</v>
      </c>
      <c r="Q41" t="s">
        <v>80</v>
      </c>
      <c r="R41" t="s">
        <v>415</v>
      </c>
      <c r="S41" t="s">
        <v>363</v>
      </c>
      <c r="T41" t="s">
        <v>333</v>
      </c>
      <c r="V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Q41">
        <v>182377</v>
      </c>
      <c r="AR41" t="b">
        <v>1</v>
      </c>
      <c r="AS41" t="b">
        <v>1</v>
      </c>
      <c r="AT41" t="b">
        <v>1</v>
      </c>
      <c r="AU41" t="b">
        <v>1</v>
      </c>
      <c r="AV41" t="b">
        <v>1</v>
      </c>
      <c r="AW41" t="b">
        <v>1</v>
      </c>
      <c r="AX41" t="b">
        <v>1</v>
      </c>
    </row>
    <row r="42" spans="1:50" x14ac:dyDescent="0.25">
      <c r="A42" t="s">
        <v>386</v>
      </c>
      <c r="B42">
        <v>7</v>
      </c>
      <c r="C42">
        <v>1</v>
      </c>
      <c r="D42">
        <v>1</v>
      </c>
      <c r="E42">
        <v>52081900</v>
      </c>
      <c r="F42">
        <v>274799</v>
      </c>
      <c r="G42" t="s">
        <v>311</v>
      </c>
      <c r="H42" t="s">
        <v>60</v>
      </c>
      <c r="I42" t="s">
        <v>60</v>
      </c>
      <c r="J42" t="s">
        <v>60</v>
      </c>
      <c r="K42" t="s">
        <v>60</v>
      </c>
      <c r="L42" t="s">
        <v>27</v>
      </c>
      <c r="M42">
        <v>13.35</v>
      </c>
      <c r="P42">
        <v>40</v>
      </c>
      <c r="Q42" t="s">
        <v>80</v>
      </c>
      <c r="R42" t="s">
        <v>409</v>
      </c>
      <c r="S42" t="s">
        <v>358</v>
      </c>
      <c r="T42" t="s">
        <v>327</v>
      </c>
      <c r="V42">
        <v>0</v>
      </c>
      <c r="Y42">
        <v>0</v>
      </c>
      <c r="Z42">
        <v>0</v>
      </c>
      <c r="AA42">
        <v>0</v>
      </c>
      <c r="AB42">
        <v>1601472.41</v>
      </c>
      <c r="AC42">
        <v>0</v>
      </c>
      <c r="AD42">
        <v>0</v>
      </c>
      <c r="AE42">
        <v>0</v>
      </c>
      <c r="AQ42">
        <v>182378</v>
      </c>
      <c r="AR42" t="b">
        <v>1</v>
      </c>
      <c r="AS42" t="b">
        <v>1</v>
      </c>
      <c r="AT42" t="b">
        <v>1</v>
      </c>
      <c r="AU42" t="b">
        <v>1</v>
      </c>
      <c r="AV42" t="b">
        <v>1</v>
      </c>
      <c r="AW42" t="b">
        <v>1</v>
      </c>
      <c r="AX42" t="b">
        <v>1</v>
      </c>
    </row>
    <row r="43" spans="1:50" x14ac:dyDescent="0.25">
      <c r="A43" t="s">
        <v>386</v>
      </c>
      <c r="B43">
        <v>7</v>
      </c>
      <c r="C43">
        <v>2</v>
      </c>
      <c r="D43">
        <v>1</v>
      </c>
      <c r="E43">
        <v>52081900</v>
      </c>
      <c r="F43">
        <v>275340</v>
      </c>
      <c r="G43" t="s">
        <v>312</v>
      </c>
      <c r="H43" t="s">
        <v>60</v>
      </c>
      <c r="I43" t="s">
        <v>60</v>
      </c>
      <c r="J43" t="s">
        <v>60</v>
      </c>
      <c r="K43" t="s">
        <v>60</v>
      </c>
      <c r="L43" t="s">
        <v>27</v>
      </c>
      <c r="M43">
        <v>13.35</v>
      </c>
      <c r="P43">
        <v>40</v>
      </c>
      <c r="Q43" t="s">
        <v>80</v>
      </c>
      <c r="R43" t="s">
        <v>429</v>
      </c>
      <c r="S43" t="s">
        <v>376</v>
      </c>
      <c r="T43" t="s">
        <v>347</v>
      </c>
      <c r="V43">
        <v>0</v>
      </c>
      <c r="Y43">
        <v>0</v>
      </c>
      <c r="Z43">
        <v>0</v>
      </c>
      <c r="AA43">
        <v>0</v>
      </c>
      <c r="AB43">
        <v>1601472.41</v>
      </c>
      <c r="AC43">
        <v>0</v>
      </c>
      <c r="AD43">
        <v>0</v>
      </c>
      <c r="AE43">
        <v>0</v>
      </c>
      <c r="AQ43">
        <v>182378</v>
      </c>
      <c r="AR43" t="b">
        <v>1</v>
      </c>
      <c r="AS43" t="b">
        <v>1</v>
      </c>
      <c r="AT43" t="b">
        <v>1</v>
      </c>
      <c r="AU43" t="b">
        <v>1</v>
      </c>
      <c r="AV43" t="b">
        <v>1</v>
      </c>
      <c r="AW43" t="b">
        <v>1</v>
      </c>
      <c r="AX43" t="b">
        <v>1</v>
      </c>
    </row>
    <row r="44" spans="1:50" x14ac:dyDescent="0.25">
      <c r="A44" t="s">
        <v>386</v>
      </c>
      <c r="B44">
        <v>7</v>
      </c>
      <c r="C44">
        <v>3</v>
      </c>
      <c r="D44">
        <v>1</v>
      </c>
      <c r="E44">
        <v>56039200</v>
      </c>
      <c r="F44">
        <v>267890</v>
      </c>
      <c r="G44" t="s">
        <v>323</v>
      </c>
      <c r="H44" t="s">
        <v>60</v>
      </c>
      <c r="I44" t="s">
        <v>60</v>
      </c>
      <c r="J44" t="s">
        <v>60</v>
      </c>
      <c r="K44" t="s">
        <v>60</v>
      </c>
      <c r="L44" t="s">
        <v>11</v>
      </c>
      <c r="M44">
        <v>8.4</v>
      </c>
      <c r="P44">
        <v>40</v>
      </c>
      <c r="Q44" t="s">
        <v>80</v>
      </c>
      <c r="R44" t="s">
        <v>430</v>
      </c>
      <c r="S44" t="s">
        <v>377</v>
      </c>
      <c r="T44" t="s">
        <v>348</v>
      </c>
      <c r="V44">
        <v>0</v>
      </c>
      <c r="Y44">
        <v>0</v>
      </c>
      <c r="Z44">
        <v>0</v>
      </c>
      <c r="AA44">
        <v>0</v>
      </c>
      <c r="AB44">
        <v>24832.16</v>
      </c>
      <c r="AC44">
        <v>0</v>
      </c>
      <c r="AD44">
        <v>0</v>
      </c>
      <c r="AE44">
        <v>0</v>
      </c>
      <c r="AQ44">
        <v>182378</v>
      </c>
      <c r="AR44" t="b">
        <v>1</v>
      </c>
      <c r="AS44" t="b">
        <v>1</v>
      </c>
      <c r="AT44" t="b">
        <v>1</v>
      </c>
      <c r="AU44" t="b">
        <v>1</v>
      </c>
      <c r="AV44" t="b">
        <v>1</v>
      </c>
      <c r="AW44" t="b">
        <v>1</v>
      </c>
      <c r="AX44" t="b">
        <v>1</v>
      </c>
    </row>
    <row r="45" spans="1:50" x14ac:dyDescent="0.25">
      <c r="A45" t="s">
        <v>386</v>
      </c>
      <c r="B45">
        <v>7</v>
      </c>
      <c r="C45">
        <v>4</v>
      </c>
      <c r="D45">
        <v>1</v>
      </c>
      <c r="E45">
        <v>96062100</v>
      </c>
      <c r="F45">
        <v>270819</v>
      </c>
      <c r="G45" t="s">
        <v>324</v>
      </c>
      <c r="H45" t="s">
        <v>60</v>
      </c>
      <c r="I45" t="s">
        <v>60</v>
      </c>
      <c r="J45" t="s">
        <v>60</v>
      </c>
      <c r="K45" t="s">
        <v>60</v>
      </c>
      <c r="L45" t="s">
        <v>12</v>
      </c>
      <c r="M45">
        <v>553</v>
      </c>
      <c r="P45">
        <v>40</v>
      </c>
      <c r="Q45" t="s">
        <v>80</v>
      </c>
      <c r="R45" t="s">
        <v>431</v>
      </c>
      <c r="S45" t="s">
        <v>378</v>
      </c>
      <c r="T45" t="s">
        <v>349</v>
      </c>
      <c r="V45">
        <v>0</v>
      </c>
      <c r="Y45">
        <v>0</v>
      </c>
      <c r="Z45">
        <v>0</v>
      </c>
      <c r="AA45">
        <v>0</v>
      </c>
      <c r="AB45">
        <v>52535</v>
      </c>
      <c r="AC45">
        <v>0</v>
      </c>
      <c r="AD45">
        <v>0</v>
      </c>
      <c r="AE45">
        <v>0</v>
      </c>
      <c r="AQ45">
        <v>182378</v>
      </c>
      <c r="AR45" t="b">
        <v>1</v>
      </c>
      <c r="AS45" t="b">
        <v>1</v>
      </c>
      <c r="AT45" t="b">
        <v>1</v>
      </c>
      <c r="AU45" t="b">
        <v>1</v>
      </c>
      <c r="AV45" t="b">
        <v>1</v>
      </c>
      <c r="AW45" t="b">
        <v>1</v>
      </c>
      <c r="AX45" t="b">
        <v>1</v>
      </c>
    </row>
    <row r="46" spans="1:50" x14ac:dyDescent="0.25">
      <c r="A46" t="s">
        <v>386</v>
      </c>
      <c r="B46">
        <v>7</v>
      </c>
      <c r="C46">
        <v>5</v>
      </c>
      <c r="D46">
        <v>1</v>
      </c>
      <c r="E46">
        <v>96062100</v>
      </c>
      <c r="F46">
        <v>270819</v>
      </c>
      <c r="G46" t="s">
        <v>324</v>
      </c>
      <c r="H46" t="s">
        <v>60</v>
      </c>
      <c r="I46" t="s">
        <v>60</v>
      </c>
      <c r="J46" t="s">
        <v>60</v>
      </c>
      <c r="K46" t="s">
        <v>60</v>
      </c>
      <c r="L46" t="s">
        <v>12</v>
      </c>
      <c r="M46">
        <v>1009</v>
      </c>
      <c r="P46">
        <v>40</v>
      </c>
      <c r="Q46" t="s">
        <v>80</v>
      </c>
      <c r="R46" t="s">
        <v>432</v>
      </c>
      <c r="S46" t="s">
        <v>379</v>
      </c>
      <c r="T46" t="s">
        <v>350</v>
      </c>
      <c r="V46">
        <v>0</v>
      </c>
      <c r="Y46">
        <v>0</v>
      </c>
      <c r="Z46">
        <v>0</v>
      </c>
      <c r="AA46">
        <v>0</v>
      </c>
      <c r="AB46">
        <v>95855</v>
      </c>
      <c r="AC46">
        <v>0</v>
      </c>
      <c r="AD46">
        <v>0</v>
      </c>
      <c r="AE46">
        <v>0</v>
      </c>
      <c r="AQ46">
        <v>182378</v>
      </c>
      <c r="AR46" t="b">
        <v>1</v>
      </c>
      <c r="AS46" t="b">
        <v>1</v>
      </c>
      <c r="AT46" t="b">
        <v>1</v>
      </c>
      <c r="AU46" t="b">
        <v>1</v>
      </c>
      <c r="AV46" t="b">
        <v>1</v>
      </c>
      <c r="AW46" t="b">
        <v>1</v>
      </c>
      <c r="AX46" t="b">
        <v>1</v>
      </c>
    </row>
    <row r="47" spans="1:50" x14ac:dyDescent="0.25">
      <c r="A47" t="s">
        <v>386</v>
      </c>
      <c r="B47">
        <v>7</v>
      </c>
      <c r="C47">
        <v>6</v>
      </c>
      <c r="D47">
        <v>1</v>
      </c>
      <c r="E47">
        <v>96062100</v>
      </c>
      <c r="F47">
        <v>270819</v>
      </c>
      <c r="G47" t="s">
        <v>324</v>
      </c>
      <c r="H47" t="s">
        <v>60</v>
      </c>
      <c r="I47" t="s">
        <v>60</v>
      </c>
      <c r="J47" t="s">
        <v>60</v>
      </c>
      <c r="K47" t="s">
        <v>60</v>
      </c>
      <c r="L47" t="s">
        <v>12</v>
      </c>
      <c r="M47">
        <v>538</v>
      </c>
      <c r="P47">
        <v>40</v>
      </c>
      <c r="Q47" t="s">
        <v>80</v>
      </c>
      <c r="R47" t="s">
        <v>433</v>
      </c>
      <c r="S47" t="s">
        <v>380</v>
      </c>
      <c r="T47" t="s">
        <v>351</v>
      </c>
      <c r="V47">
        <v>0</v>
      </c>
      <c r="Y47">
        <v>0</v>
      </c>
      <c r="Z47">
        <v>0</v>
      </c>
      <c r="AA47">
        <v>0</v>
      </c>
      <c r="AB47">
        <v>51110</v>
      </c>
      <c r="AC47">
        <v>0</v>
      </c>
      <c r="AD47">
        <v>0</v>
      </c>
      <c r="AE47">
        <v>0</v>
      </c>
      <c r="AQ47">
        <v>182378</v>
      </c>
      <c r="AR47" t="b">
        <v>1</v>
      </c>
      <c r="AS47" t="b">
        <v>1</v>
      </c>
      <c r="AT47" t="b">
        <v>1</v>
      </c>
      <c r="AU47" t="b">
        <v>1</v>
      </c>
      <c r="AV47" t="b">
        <v>1</v>
      </c>
      <c r="AW47" t="b">
        <v>1</v>
      </c>
      <c r="AX47" t="b">
        <v>1</v>
      </c>
    </row>
    <row r="48" spans="1:50" x14ac:dyDescent="0.25">
      <c r="A48" t="s">
        <v>386</v>
      </c>
      <c r="B48">
        <v>7</v>
      </c>
      <c r="C48">
        <v>7</v>
      </c>
      <c r="D48">
        <v>1</v>
      </c>
      <c r="E48">
        <v>39191020</v>
      </c>
      <c r="F48">
        <v>273158</v>
      </c>
      <c r="G48" t="s">
        <v>325</v>
      </c>
      <c r="H48" t="s">
        <v>60</v>
      </c>
      <c r="I48" t="s">
        <v>60</v>
      </c>
      <c r="J48" t="s">
        <v>60</v>
      </c>
      <c r="K48" t="s">
        <v>60</v>
      </c>
      <c r="L48" t="s">
        <v>27</v>
      </c>
      <c r="M48">
        <v>64.739999999999995</v>
      </c>
      <c r="P48">
        <v>40</v>
      </c>
      <c r="Q48" t="s">
        <v>80</v>
      </c>
      <c r="R48" t="s">
        <v>434</v>
      </c>
      <c r="S48" t="s">
        <v>381</v>
      </c>
      <c r="T48" t="s">
        <v>352</v>
      </c>
      <c r="V48">
        <v>0</v>
      </c>
      <c r="Y48">
        <v>0</v>
      </c>
      <c r="Z48">
        <v>0</v>
      </c>
      <c r="AA48">
        <v>0</v>
      </c>
      <c r="AB48">
        <v>9711000</v>
      </c>
      <c r="AC48">
        <v>0</v>
      </c>
      <c r="AD48">
        <v>0</v>
      </c>
      <c r="AE48">
        <v>0</v>
      </c>
      <c r="AQ48">
        <v>182378</v>
      </c>
      <c r="AR48" t="b">
        <v>1</v>
      </c>
      <c r="AS48" t="b">
        <v>1</v>
      </c>
      <c r="AT48" t="b">
        <v>1</v>
      </c>
      <c r="AU48" t="b">
        <v>1</v>
      </c>
      <c r="AV48" t="b">
        <v>1</v>
      </c>
      <c r="AW48" t="b">
        <v>1</v>
      </c>
      <c r="AX48" t="b">
        <v>1</v>
      </c>
    </row>
    <row r="49" spans="1:50" x14ac:dyDescent="0.25">
      <c r="A49" t="s">
        <v>386</v>
      </c>
      <c r="B49">
        <v>7</v>
      </c>
      <c r="C49">
        <v>8</v>
      </c>
      <c r="D49">
        <v>1</v>
      </c>
      <c r="E49">
        <v>48211090</v>
      </c>
      <c r="F49">
        <v>297274</v>
      </c>
      <c r="G49" t="s">
        <v>315</v>
      </c>
      <c r="H49" t="s">
        <v>60</v>
      </c>
      <c r="I49" t="s">
        <v>60</v>
      </c>
      <c r="J49" t="s">
        <v>60</v>
      </c>
      <c r="K49" t="s">
        <v>60</v>
      </c>
      <c r="L49" t="s">
        <v>12</v>
      </c>
      <c r="M49">
        <v>300</v>
      </c>
      <c r="P49">
        <v>40</v>
      </c>
      <c r="Q49" t="s">
        <v>80</v>
      </c>
      <c r="R49" t="s">
        <v>415</v>
      </c>
      <c r="S49" t="s">
        <v>363</v>
      </c>
      <c r="T49" t="s">
        <v>333</v>
      </c>
      <c r="V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Q49">
        <v>182378</v>
      </c>
      <c r="AR49" t="b">
        <v>1</v>
      </c>
      <c r="AS49" t="b">
        <v>1</v>
      </c>
      <c r="AT49" t="b">
        <v>1</v>
      </c>
      <c r="AU49" t="b">
        <v>1</v>
      </c>
      <c r="AV49" t="b">
        <v>1</v>
      </c>
      <c r="AW49" t="b">
        <v>1</v>
      </c>
      <c r="AX49" t="b">
        <v>1</v>
      </c>
    </row>
    <row r="50" spans="1:50" x14ac:dyDescent="0.25">
      <c r="A50" t="s">
        <v>386</v>
      </c>
      <c r="B50">
        <v>7</v>
      </c>
      <c r="C50">
        <v>9</v>
      </c>
      <c r="D50">
        <v>1</v>
      </c>
      <c r="E50">
        <v>48211090</v>
      </c>
      <c r="F50">
        <v>297275</v>
      </c>
      <c r="G50" t="s">
        <v>316</v>
      </c>
      <c r="H50" t="s">
        <v>60</v>
      </c>
      <c r="I50" t="s">
        <v>60</v>
      </c>
      <c r="J50" t="s">
        <v>60</v>
      </c>
      <c r="K50" t="s">
        <v>60</v>
      </c>
      <c r="L50" t="s">
        <v>12</v>
      </c>
      <c r="M50">
        <v>46</v>
      </c>
      <c r="P50">
        <v>40</v>
      </c>
      <c r="Q50" t="s">
        <v>80</v>
      </c>
      <c r="R50" t="s">
        <v>415</v>
      </c>
      <c r="S50" t="s">
        <v>363</v>
      </c>
      <c r="T50" t="s">
        <v>333</v>
      </c>
      <c r="V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Q50">
        <v>182378</v>
      </c>
      <c r="AR50" t="b">
        <v>1</v>
      </c>
      <c r="AS50" t="b">
        <v>1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</row>
    <row r="51" spans="1:50" x14ac:dyDescent="0.25">
      <c r="A51" t="s">
        <v>386</v>
      </c>
      <c r="B51">
        <v>7</v>
      </c>
      <c r="C51">
        <v>10</v>
      </c>
      <c r="D51">
        <v>1</v>
      </c>
      <c r="E51">
        <v>48211090</v>
      </c>
      <c r="F51">
        <v>297276</v>
      </c>
      <c r="G51" t="s">
        <v>317</v>
      </c>
      <c r="H51" t="s">
        <v>60</v>
      </c>
      <c r="I51" t="s">
        <v>60</v>
      </c>
      <c r="J51" t="s">
        <v>60</v>
      </c>
      <c r="K51" t="s">
        <v>60</v>
      </c>
      <c r="L51" t="s">
        <v>12</v>
      </c>
      <c r="M51">
        <v>104</v>
      </c>
      <c r="P51">
        <v>40</v>
      </c>
      <c r="Q51" t="s">
        <v>80</v>
      </c>
      <c r="R51" t="s">
        <v>415</v>
      </c>
      <c r="S51" t="s">
        <v>363</v>
      </c>
      <c r="T51" t="s">
        <v>333</v>
      </c>
      <c r="V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Q51">
        <v>182378</v>
      </c>
      <c r="AR51" t="b">
        <v>1</v>
      </c>
      <c r="AS51" t="b">
        <v>1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</row>
    <row r="52" spans="1:50" x14ac:dyDescent="0.25">
      <c r="A52" t="s">
        <v>386</v>
      </c>
      <c r="B52">
        <v>7</v>
      </c>
      <c r="C52">
        <v>11</v>
      </c>
      <c r="D52">
        <v>1</v>
      </c>
      <c r="E52">
        <v>48211090</v>
      </c>
      <c r="F52">
        <v>297277</v>
      </c>
      <c r="G52" t="s">
        <v>318</v>
      </c>
      <c r="H52" t="s">
        <v>60</v>
      </c>
      <c r="I52" t="s">
        <v>60</v>
      </c>
      <c r="J52" t="s">
        <v>60</v>
      </c>
      <c r="K52" t="s">
        <v>60</v>
      </c>
      <c r="L52" t="s">
        <v>12</v>
      </c>
      <c r="M52">
        <v>76</v>
      </c>
      <c r="P52">
        <v>40</v>
      </c>
      <c r="Q52" t="s">
        <v>80</v>
      </c>
      <c r="R52" t="s">
        <v>415</v>
      </c>
      <c r="S52" t="s">
        <v>363</v>
      </c>
      <c r="T52" t="s">
        <v>333</v>
      </c>
      <c r="V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Q52">
        <v>182378</v>
      </c>
      <c r="AR52" t="b">
        <v>1</v>
      </c>
      <c r="AS52" t="b">
        <v>1</v>
      </c>
      <c r="AT52" t="b">
        <v>1</v>
      </c>
      <c r="AU52" t="b">
        <v>1</v>
      </c>
      <c r="AV52" t="b">
        <v>1</v>
      </c>
      <c r="AW52" t="b">
        <v>1</v>
      </c>
      <c r="AX52" t="b">
        <v>1</v>
      </c>
    </row>
    <row r="53" spans="1:50" x14ac:dyDescent="0.25">
      <c r="A53" t="s">
        <v>386</v>
      </c>
      <c r="B53">
        <v>7</v>
      </c>
      <c r="C53">
        <v>12</v>
      </c>
      <c r="D53">
        <v>1</v>
      </c>
      <c r="E53">
        <v>48211090</v>
      </c>
      <c r="F53">
        <v>297278</v>
      </c>
      <c r="G53" t="s">
        <v>319</v>
      </c>
      <c r="H53" t="s">
        <v>60</v>
      </c>
      <c r="I53" t="s">
        <v>60</v>
      </c>
      <c r="J53" t="s">
        <v>60</v>
      </c>
      <c r="K53" t="s">
        <v>60</v>
      </c>
      <c r="L53" t="s">
        <v>12</v>
      </c>
      <c r="M53">
        <v>74</v>
      </c>
      <c r="P53">
        <v>40</v>
      </c>
      <c r="Q53" t="s">
        <v>80</v>
      </c>
      <c r="R53" t="s">
        <v>415</v>
      </c>
      <c r="S53" t="s">
        <v>363</v>
      </c>
      <c r="T53" t="s">
        <v>333</v>
      </c>
      <c r="V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Q53">
        <v>182378</v>
      </c>
      <c r="AR53" t="b">
        <v>1</v>
      </c>
      <c r="AS53" t="b">
        <v>1</v>
      </c>
      <c r="AT53" t="b">
        <v>1</v>
      </c>
      <c r="AU53" t="b">
        <v>1</v>
      </c>
      <c r="AV53" t="b">
        <v>1</v>
      </c>
      <c r="AW53" t="b">
        <v>1</v>
      </c>
      <c r="AX53" t="b">
        <v>1</v>
      </c>
    </row>
    <row r="54" spans="1:50" x14ac:dyDescent="0.25">
      <c r="A54" t="s">
        <v>386</v>
      </c>
      <c r="B54">
        <v>9</v>
      </c>
      <c r="C54">
        <v>1</v>
      </c>
      <c r="D54">
        <v>1</v>
      </c>
      <c r="E54">
        <v>52081900</v>
      </c>
      <c r="F54">
        <v>274799</v>
      </c>
      <c r="G54" t="s">
        <v>311</v>
      </c>
      <c r="H54" t="s">
        <v>60</v>
      </c>
      <c r="I54" t="s">
        <v>60</v>
      </c>
      <c r="J54" t="s">
        <v>60</v>
      </c>
      <c r="K54" t="s">
        <v>60</v>
      </c>
      <c r="L54" t="s">
        <v>27</v>
      </c>
      <c r="M54">
        <v>7.5</v>
      </c>
      <c r="P54">
        <v>40</v>
      </c>
      <c r="Q54" t="s">
        <v>80</v>
      </c>
      <c r="R54" t="s">
        <v>409</v>
      </c>
      <c r="S54" t="s">
        <v>358</v>
      </c>
      <c r="T54" t="s">
        <v>327</v>
      </c>
      <c r="V54">
        <v>0</v>
      </c>
      <c r="Y54">
        <v>0</v>
      </c>
      <c r="Z54">
        <v>0</v>
      </c>
      <c r="AA54">
        <v>0</v>
      </c>
      <c r="AB54">
        <v>899703.6</v>
      </c>
      <c r="AC54">
        <v>0</v>
      </c>
      <c r="AD54">
        <v>0</v>
      </c>
      <c r="AE54">
        <v>0</v>
      </c>
      <c r="AQ54">
        <v>182379</v>
      </c>
      <c r="AR54" t="b">
        <v>1</v>
      </c>
      <c r="AS54" t="b">
        <v>1</v>
      </c>
      <c r="AT54" t="b">
        <v>1</v>
      </c>
      <c r="AU54" t="b">
        <v>1</v>
      </c>
      <c r="AV54" t="b">
        <v>1</v>
      </c>
      <c r="AW54" t="b">
        <v>1</v>
      </c>
      <c r="AX54" t="b">
        <v>1</v>
      </c>
    </row>
    <row r="55" spans="1:50" x14ac:dyDescent="0.25">
      <c r="A55" t="s">
        <v>386</v>
      </c>
      <c r="B55">
        <v>9</v>
      </c>
      <c r="C55">
        <v>2</v>
      </c>
      <c r="D55">
        <v>1</v>
      </c>
      <c r="E55">
        <v>52081900</v>
      </c>
      <c r="F55">
        <v>275340</v>
      </c>
      <c r="G55" t="s">
        <v>312</v>
      </c>
      <c r="H55" t="s">
        <v>60</v>
      </c>
      <c r="I55" t="s">
        <v>60</v>
      </c>
      <c r="J55" t="s">
        <v>60</v>
      </c>
      <c r="K55" t="s">
        <v>60</v>
      </c>
      <c r="L55" t="s">
        <v>27</v>
      </c>
      <c r="M55">
        <v>7.5</v>
      </c>
      <c r="P55">
        <v>40</v>
      </c>
      <c r="Q55" t="s">
        <v>80</v>
      </c>
      <c r="R55" t="s">
        <v>429</v>
      </c>
      <c r="S55" t="s">
        <v>376</v>
      </c>
      <c r="T55" t="s">
        <v>347</v>
      </c>
      <c r="V55">
        <v>0</v>
      </c>
      <c r="Y55">
        <v>0</v>
      </c>
      <c r="Z55">
        <v>0</v>
      </c>
      <c r="AA55">
        <v>0</v>
      </c>
      <c r="AB55">
        <v>899703.6</v>
      </c>
      <c r="AC55">
        <v>0</v>
      </c>
      <c r="AD55">
        <v>0</v>
      </c>
      <c r="AE55">
        <v>0</v>
      </c>
      <c r="AQ55">
        <v>182379</v>
      </c>
      <c r="AR55" t="b">
        <v>1</v>
      </c>
      <c r="AS55" t="b">
        <v>1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</row>
    <row r="56" spans="1:50" x14ac:dyDescent="0.25">
      <c r="A56" t="s">
        <v>386</v>
      </c>
      <c r="B56">
        <v>9</v>
      </c>
      <c r="C56">
        <v>3</v>
      </c>
      <c r="D56">
        <v>1</v>
      </c>
      <c r="E56">
        <v>56039200</v>
      </c>
      <c r="F56">
        <v>267890</v>
      </c>
      <c r="G56" t="s">
        <v>323</v>
      </c>
      <c r="H56" t="s">
        <v>60</v>
      </c>
      <c r="I56" t="s">
        <v>60</v>
      </c>
      <c r="J56" t="s">
        <v>60</v>
      </c>
      <c r="K56" t="s">
        <v>60</v>
      </c>
      <c r="L56" t="s">
        <v>11</v>
      </c>
      <c r="M56">
        <v>9.1999999999999993</v>
      </c>
      <c r="P56">
        <v>40</v>
      </c>
      <c r="Q56" t="s">
        <v>80</v>
      </c>
      <c r="R56" t="s">
        <v>430</v>
      </c>
      <c r="S56" t="s">
        <v>377</v>
      </c>
      <c r="T56" t="s">
        <v>348</v>
      </c>
      <c r="V56">
        <v>0</v>
      </c>
      <c r="Y56">
        <v>0</v>
      </c>
      <c r="Z56">
        <v>0</v>
      </c>
      <c r="AA56">
        <v>0</v>
      </c>
      <c r="AB56">
        <v>27197.13</v>
      </c>
      <c r="AC56">
        <v>0</v>
      </c>
      <c r="AD56">
        <v>0</v>
      </c>
      <c r="AE56">
        <v>0</v>
      </c>
      <c r="AQ56">
        <v>182379</v>
      </c>
      <c r="AR56" t="b">
        <v>1</v>
      </c>
      <c r="AS56" t="b">
        <v>1</v>
      </c>
      <c r="AT56" t="b">
        <v>1</v>
      </c>
      <c r="AU56" t="b">
        <v>1</v>
      </c>
      <c r="AV56" t="b">
        <v>1</v>
      </c>
      <c r="AW56" t="b">
        <v>1</v>
      </c>
      <c r="AX56" t="b">
        <v>1</v>
      </c>
    </row>
    <row r="57" spans="1:50" x14ac:dyDescent="0.25">
      <c r="A57" t="s">
        <v>386</v>
      </c>
      <c r="B57">
        <v>9</v>
      </c>
      <c r="C57">
        <v>4</v>
      </c>
      <c r="D57">
        <v>1</v>
      </c>
      <c r="E57">
        <v>96062100</v>
      </c>
      <c r="F57">
        <v>270819</v>
      </c>
      <c r="G57" t="s">
        <v>324</v>
      </c>
      <c r="H57" t="s">
        <v>60</v>
      </c>
      <c r="I57" t="s">
        <v>60</v>
      </c>
      <c r="J57" t="s">
        <v>60</v>
      </c>
      <c r="K57" t="s">
        <v>60</v>
      </c>
      <c r="L57" t="s">
        <v>12</v>
      </c>
      <c r="M57">
        <v>600</v>
      </c>
      <c r="P57">
        <v>40</v>
      </c>
      <c r="Q57" t="s">
        <v>80</v>
      </c>
      <c r="R57" t="s">
        <v>431</v>
      </c>
      <c r="S57" t="s">
        <v>378</v>
      </c>
      <c r="T57" t="s">
        <v>349</v>
      </c>
      <c r="V57">
        <v>0</v>
      </c>
      <c r="Y57">
        <v>0</v>
      </c>
      <c r="Z57">
        <v>0</v>
      </c>
      <c r="AA57">
        <v>0</v>
      </c>
      <c r="AB57">
        <v>57000</v>
      </c>
      <c r="AC57">
        <v>0</v>
      </c>
      <c r="AD57">
        <v>0</v>
      </c>
      <c r="AE57">
        <v>0</v>
      </c>
      <c r="AQ57">
        <v>182379</v>
      </c>
      <c r="AR57" t="b">
        <v>1</v>
      </c>
      <c r="AS57" t="b">
        <v>1</v>
      </c>
      <c r="AT57" t="b">
        <v>1</v>
      </c>
      <c r="AU57" t="b">
        <v>1</v>
      </c>
      <c r="AV57" t="b">
        <v>1</v>
      </c>
      <c r="AW57" t="b">
        <v>1</v>
      </c>
      <c r="AX57" t="b">
        <v>1</v>
      </c>
    </row>
    <row r="58" spans="1:50" x14ac:dyDescent="0.25">
      <c r="A58" t="s">
        <v>386</v>
      </c>
      <c r="B58">
        <v>9</v>
      </c>
      <c r="C58">
        <v>5</v>
      </c>
      <c r="D58">
        <v>1</v>
      </c>
      <c r="E58">
        <v>39191020</v>
      </c>
      <c r="F58">
        <v>273158</v>
      </c>
      <c r="G58" t="s">
        <v>325</v>
      </c>
      <c r="H58" t="s">
        <v>60</v>
      </c>
      <c r="I58" t="s">
        <v>60</v>
      </c>
      <c r="J58" t="s">
        <v>60</v>
      </c>
      <c r="K58" t="s">
        <v>60</v>
      </c>
      <c r="L58" t="s">
        <v>27</v>
      </c>
      <c r="M58">
        <v>43.16</v>
      </c>
      <c r="P58">
        <v>40</v>
      </c>
      <c r="Q58" t="s">
        <v>80</v>
      </c>
      <c r="R58" t="s">
        <v>434</v>
      </c>
      <c r="S58" t="s">
        <v>381</v>
      </c>
      <c r="T58" t="s">
        <v>352</v>
      </c>
      <c r="V58">
        <v>0</v>
      </c>
      <c r="Y58">
        <v>0</v>
      </c>
      <c r="Z58">
        <v>0</v>
      </c>
      <c r="AA58">
        <v>0</v>
      </c>
      <c r="AB58">
        <v>6474000</v>
      </c>
      <c r="AC58">
        <v>0</v>
      </c>
      <c r="AD58">
        <v>0</v>
      </c>
      <c r="AE58">
        <v>0</v>
      </c>
      <c r="AQ58">
        <v>182379</v>
      </c>
      <c r="AR58" t="b">
        <v>1</v>
      </c>
      <c r="AS58" t="b">
        <v>1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</row>
    <row r="59" spans="1:50" x14ac:dyDescent="0.25">
      <c r="A59" t="s">
        <v>386</v>
      </c>
      <c r="B59">
        <v>9</v>
      </c>
      <c r="C59">
        <v>6</v>
      </c>
      <c r="D59">
        <v>1</v>
      </c>
      <c r="E59">
        <v>48211090</v>
      </c>
      <c r="F59">
        <v>297274</v>
      </c>
      <c r="G59" t="s">
        <v>315</v>
      </c>
      <c r="H59" t="s">
        <v>60</v>
      </c>
      <c r="I59" t="s">
        <v>60</v>
      </c>
      <c r="J59" t="s">
        <v>60</v>
      </c>
      <c r="K59" t="s">
        <v>60</v>
      </c>
      <c r="L59" t="s">
        <v>12</v>
      </c>
      <c r="M59">
        <v>200</v>
      </c>
      <c r="P59">
        <v>40</v>
      </c>
      <c r="Q59" t="s">
        <v>80</v>
      </c>
      <c r="R59" t="s">
        <v>415</v>
      </c>
      <c r="S59" t="s">
        <v>363</v>
      </c>
      <c r="T59" t="s">
        <v>333</v>
      </c>
      <c r="V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Q59">
        <v>182379</v>
      </c>
      <c r="AR59" t="b">
        <v>1</v>
      </c>
      <c r="AS59" t="b">
        <v>1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</row>
    <row r="60" spans="1:50" x14ac:dyDescent="0.25">
      <c r="A60" t="s">
        <v>386</v>
      </c>
      <c r="B60">
        <v>9</v>
      </c>
      <c r="C60">
        <v>7</v>
      </c>
      <c r="D60">
        <v>1</v>
      </c>
      <c r="E60">
        <v>48211090</v>
      </c>
      <c r="F60">
        <v>297275</v>
      </c>
      <c r="G60" t="s">
        <v>316</v>
      </c>
      <c r="H60" t="s">
        <v>60</v>
      </c>
      <c r="I60" t="s">
        <v>60</v>
      </c>
      <c r="J60" t="s">
        <v>60</v>
      </c>
      <c r="K60" t="s">
        <v>60</v>
      </c>
      <c r="L60" t="s">
        <v>12</v>
      </c>
      <c r="M60">
        <v>30</v>
      </c>
      <c r="P60">
        <v>40</v>
      </c>
      <c r="Q60" t="s">
        <v>80</v>
      </c>
      <c r="R60" t="s">
        <v>415</v>
      </c>
      <c r="S60" t="s">
        <v>363</v>
      </c>
      <c r="T60" t="s">
        <v>333</v>
      </c>
      <c r="V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Q60">
        <v>182379</v>
      </c>
      <c r="AR60" t="b">
        <v>1</v>
      </c>
      <c r="AS60" t="b">
        <v>1</v>
      </c>
      <c r="AT60" t="b">
        <v>1</v>
      </c>
      <c r="AU60" t="b">
        <v>1</v>
      </c>
      <c r="AV60" t="b">
        <v>1</v>
      </c>
      <c r="AW60" t="b">
        <v>1</v>
      </c>
      <c r="AX60" t="b">
        <v>1</v>
      </c>
    </row>
    <row r="61" spans="1:50" x14ac:dyDescent="0.25">
      <c r="A61" t="s">
        <v>386</v>
      </c>
      <c r="B61">
        <v>9</v>
      </c>
      <c r="C61">
        <v>8</v>
      </c>
      <c r="D61">
        <v>1</v>
      </c>
      <c r="E61">
        <v>48211090</v>
      </c>
      <c r="F61">
        <v>297276</v>
      </c>
      <c r="G61" t="s">
        <v>317</v>
      </c>
      <c r="H61" t="s">
        <v>60</v>
      </c>
      <c r="I61" t="s">
        <v>60</v>
      </c>
      <c r="J61" t="s">
        <v>60</v>
      </c>
      <c r="K61" t="s">
        <v>60</v>
      </c>
      <c r="L61" t="s">
        <v>12</v>
      </c>
      <c r="M61">
        <v>70</v>
      </c>
      <c r="P61">
        <v>40</v>
      </c>
      <c r="Q61" t="s">
        <v>80</v>
      </c>
      <c r="R61" t="s">
        <v>415</v>
      </c>
      <c r="S61" t="s">
        <v>363</v>
      </c>
      <c r="T61" t="s">
        <v>333</v>
      </c>
      <c r="V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Q61">
        <v>182379</v>
      </c>
      <c r="AR61" t="b">
        <v>1</v>
      </c>
      <c r="AS61" t="b">
        <v>1</v>
      </c>
      <c r="AT61" t="b">
        <v>1</v>
      </c>
      <c r="AU61" t="b">
        <v>1</v>
      </c>
      <c r="AV61" t="b">
        <v>1</v>
      </c>
      <c r="AW61" t="b">
        <v>1</v>
      </c>
      <c r="AX61" t="b">
        <v>1</v>
      </c>
    </row>
    <row r="62" spans="1:50" x14ac:dyDescent="0.25">
      <c r="A62" t="s">
        <v>386</v>
      </c>
      <c r="B62">
        <v>9</v>
      </c>
      <c r="C62">
        <v>9</v>
      </c>
      <c r="D62">
        <v>1</v>
      </c>
      <c r="E62">
        <v>48211090</v>
      </c>
      <c r="F62">
        <v>297277</v>
      </c>
      <c r="G62" t="s">
        <v>318</v>
      </c>
      <c r="H62" t="s">
        <v>60</v>
      </c>
      <c r="I62" t="s">
        <v>60</v>
      </c>
      <c r="J62" t="s">
        <v>60</v>
      </c>
      <c r="K62" t="s">
        <v>60</v>
      </c>
      <c r="L62" t="s">
        <v>12</v>
      </c>
      <c r="M62">
        <v>50</v>
      </c>
      <c r="P62">
        <v>40</v>
      </c>
      <c r="Q62" t="s">
        <v>80</v>
      </c>
      <c r="R62" t="s">
        <v>415</v>
      </c>
      <c r="S62" t="s">
        <v>363</v>
      </c>
      <c r="T62" t="s">
        <v>333</v>
      </c>
      <c r="V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Q62">
        <v>182379</v>
      </c>
      <c r="AR62" t="b">
        <v>1</v>
      </c>
      <c r="AS62" t="b">
        <v>1</v>
      </c>
      <c r="AT62" t="b">
        <v>1</v>
      </c>
      <c r="AU62" t="b">
        <v>1</v>
      </c>
      <c r="AV62" t="b">
        <v>1</v>
      </c>
      <c r="AW62" t="b">
        <v>1</v>
      </c>
      <c r="AX62" t="b">
        <v>1</v>
      </c>
    </row>
    <row r="63" spans="1:50" x14ac:dyDescent="0.25">
      <c r="A63" t="s">
        <v>386</v>
      </c>
      <c r="B63">
        <v>9</v>
      </c>
      <c r="C63">
        <v>10</v>
      </c>
      <c r="D63">
        <v>1</v>
      </c>
      <c r="E63">
        <v>48211090</v>
      </c>
      <c r="F63">
        <v>297278</v>
      </c>
      <c r="G63" t="s">
        <v>319</v>
      </c>
      <c r="H63" t="s">
        <v>60</v>
      </c>
      <c r="I63" t="s">
        <v>60</v>
      </c>
      <c r="J63" t="s">
        <v>60</v>
      </c>
      <c r="K63" t="s">
        <v>60</v>
      </c>
      <c r="L63" t="s">
        <v>12</v>
      </c>
      <c r="M63">
        <v>50</v>
      </c>
      <c r="P63">
        <v>40</v>
      </c>
      <c r="Q63" t="s">
        <v>80</v>
      </c>
      <c r="R63" t="s">
        <v>415</v>
      </c>
      <c r="S63" t="s">
        <v>363</v>
      </c>
      <c r="T63" t="s">
        <v>333</v>
      </c>
      <c r="V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Q63">
        <v>182379</v>
      </c>
      <c r="AR63" t="b">
        <v>1</v>
      </c>
      <c r="AS63" t="b">
        <v>1</v>
      </c>
      <c r="AT63" t="b">
        <v>1</v>
      </c>
      <c r="AU63" t="b">
        <v>1</v>
      </c>
      <c r="AV63" t="b">
        <v>1</v>
      </c>
      <c r="AW63" t="b">
        <v>1</v>
      </c>
      <c r="AX63" t="b">
        <v>1</v>
      </c>
    </row>
    <row r="64" spans="1:50" x14ac:dyDescent="0.25">
      <c r="A64" t="s">
        <v>386</v>
      </c>
      <c r="B64">
        <v>11</v>
      </c>
      <c r="C64">
        <v>1</v>
      </c>
      <c r="D64">
        <v>1</v>
      </c>
      <c r="E64">
        <v>52081900</v>
      </c>
      <c r="F64">
        <v>274799</v>
      </c>
      <c r="G64" t="s">
        <v>311</v>
      </c>
      <c r="H64" t="s">
        <v>60</v>
      </c>
      <c r="I64" t="s">
        <v>60</v>
      </c>
      <c r="J64" t="s">
        <v>60</v>
      </c>
      <c r="K64" t="s">
        <v>60</v>
      </c>
      <c r="L64" t="s">
        <v>27</v>
      </c>
      <c r="M64">
        <v>19.2</v>
      </c>
      <c r="P64">
        <v>40</v>
      </c>
      <c r="Q64" t="s">
        <v>80</v>
      </c>
      <c r="R64" t="s">
        <v>409</v>
      </c>
      <c r="S64" t="s">
        <v>358</v>
      </c>
      <c r="T64" t="s">
        <v>327</v>
      </c>
      <c r="V64">
        <v>0</v>
      </c>
      <c r="Y64">
        <v>0</v>
      </c>
      <c r="Z64">
        <v>0</v>
      </c>
      <c r="AA64">
        <v>0</v>
      </c>
      <c r="AB64">
        <v>2303241.2200000002</v>
      </c>
      <c r="AC64">
        <v>0</v>
      </c>
      <c r="AD64">
        <v>0</v>
      </c>
      <c r="AE64">
        <v>0</v>
      </c>
      <c r="AQ64">
        <v>182380</v>
      </c>
      <c r="AR64" t="b">
        <v>1</v>
      </c>
      <c r="AS64" t="b">
        <v>1</v>
      </c>
      <c r="AT64" t="b">
        <v>1</v>
      </c>
      <c r="AU64" t="b">
        <v>1</v>
      </c>
      <c r="AV64" t="b">
        <v>1</v>
      </c>
      <c r="AW64" t="b">
        <v>1</v>
      </c>
      <c r="AX64" t="b">
        <v>1</v>
      </c>
    </row>
    <row r="65" spans="1:53" x14ac:dyDescent="0.25">
      <c r="A65" t="s">
        <v>386</v>
      </c>
      <c r="B65">
        <v>11</v>
      </c>
      <c r="C65">
        <v>2</v>
      </c>
      <c r="D65">
        <v>1</v>
      </c>
      <c r="E65">
        <v>52081900</v>
      </c>
      <c r="F65">
        <v>275340</v>
      </c>
      <c r="G65" t="s">
        <v>312</v>
      </c>
      <c r="H65" t="s">
        <v>60</v>
      </c>
      <c r="I65" t="s">
        <v>60</v>
      </c>
      <c r="J65" t="s">
        <v>60</v>
      </c>
      <c r="K65" t="s">
        <v>60</v>
      </c>
      <c r="L65" t="s">
        <v>27</v>
      </c>
      <c r="M65">
        <v>19.2</v>
      </c>
      <c r="P65">
        <v>40</v>
      </c>
      <c r="Q65" t="s">
        <v>80</v>
      </c>
      <c r="R65" t="s">
        <v>435</v>
      </c>
      <c r="S65" t="s">
        <v>382</v>
      </c>
      <c r="T65" t="s">
        <v>353</v>
      </c>
      <c r="V65">
        <v>0</v>
      </c>
      <c r="Y65">
        <v>0</v>
      </c>
      <c r="Z65">
        <v>0</v>
      </c>
      <c r="AA65">
        <v>0</v>
      </c>
      <c r="AB65">
        <v>2303241.2200000002</v>
      </c>
      <c r="AC65">
        <v>0</v>
      </c>
      <c r="AD65">
        <v>0</v>
      </c>
      <c r="AE65">
        <v>0</v>
      </c>
      <c r="AQ65">
        <v>182380</v>
      </c>
      <c r="AR65" t="b">
        <v>1</v>
      </c>
      <c r="AS65" t="b">
        <v>1</v>
      </c>
      <c r="AT65" t="b">
        <v>1</v>
      </c>
      <c r="AU65" t="b">
        <v>1</v>
      </c>
      <c r="AV65" t="b">
        <v>1</v>
      </c>
      <c r="AW65" t="b">
        <v>1</v>
      </c>
      <c r="AX65" t="b">
        <v>1</v>
      </c>
    </row>
    <row r="66" spans="1:53" x14ac:dyDescent="0.25">
      <c r="A66" t="s">
        <v>386</v>
      </c>
      <c r="B66">
        <v>11</v>
      </c>
      <c r="C66">
        <v>3</v>
      </c>
      <c r="D66">
        <v>1</v>
      </c>
      <c r="E66">
        <v>56039200</v>
      </c>
      <c r="F66">
        <v>267890</v>
      </c>
      <c r="G66" t="s">
        <v>323</v>
      </c>
      <c r="H66" t="s">
        <v>60</v>
      </c>
      <c r="I66" t="s">
        <v>60</v>
      </c>
      <c r="J66" t="s">
        <v>60</v>
      </c>
      <c r="K66" t="s">
        <v>60</v>
      </c>
      <c r="L66" t="s">
        <v>11</v>
      </c>
      <c r="M66">
        <v>8</v>
      </c>
      <c r="P66">
        <v>40</v>
      </c>
      <c r="Q66" t="s">
        <v>80</v>
      </c>
      <c r="R66" t="s">
        <v>430</v>
      </c>
      <c r="S66" t="s">
        <v>377</v>
      </c>
      <c r="T66" t="s">
        <v>348</v>
      </c>
      <c r="V66">
        <v>0</v>
      </c>
      <c r="Y66">
        <v>0</v>
      </c>
      <c r="Z66">
        <v>0</v>
      </c>
      <c r="AA66">
        <v>0</v>
      </c>
      <c r="AB66">
        <v>23649.68</v>
      </c>
      <c r="AC66">
        <v>0</v>
      </c>
      <c r="AD66">
        <v>0</v>
      </c>
      <c r="AE66">
        <v>0</v>
      </c>
      <c r="AQ66">
        <v>182380</v>
      </c>
      <c r="AR66" t="b">
        <v>1</v>
      </c>
      <c r="AS66" t="b">
        <v>1</v>
      </c>
      <c r="AT66" t="b">
        <v>1</v>
      </c>
      <c r="AU66" t="b">
        <v>1</v>
      </c>
      <c r="AV66" t="b">
        <v>1</v>
      </c>
      <c r="AW66" t="b">
        <v>1</v>
      </c>
      <c r="AX66" t="b">
        <v>1</v>
      </c>
    </row>
    <row r="67" spans="1:53" x14ac:dyDescent="0.25">
      <c r="A67" t="s">
        <v>386</v>
      </c>
      <c r="B67">
        <v>11</v>
      </c>
      <c r="C67">
        <v>4</v>
      </c>
      <c r="D67">
        <v>1</v>
      </c>
      <c r="E67">
        <v>39191020</v>
      </c>
      <c r="F67">
        <v>273158</v>
      </c>
      <c r="G67" t="s">
        <v>325</v>
      </c>
      <c r="H67" t="s">
        <v>60</v>
      </c>
      <c r="I67" t="s">
        <v>60</v>
      </c>
      <c r="J67" t="s">
        <v>60</v>
      </c>
      <c r="K67" t="s">
        <v>60</v>
      </c>
      <c r="L67" t="s">
        <v>27</v>
      </c>
      <c r="M67">
        <v>86.32</v>
      </c>
      <c r="P67">
        <v>40</v>
      </c>
      <c r="Q67" t="s">
        <v>80</v>
      </c>
      <c r="R67" t="s">
        <v>436</v>
      </c>
      <c r="S67" t="s">
        <v>383</v>
      </c>
      <c r="T67" t="s">
        <v>354</v>
      </c>
      <c r="V67">
        <v>0</v>
      </c>
      <c r="Y67">
        <v>0</v>
      </c>
      <c r="Z67">
        <v>0</v>
      </c>
      <c r="AA67">
        <v>0</v>
      </c>
      <c r="AB67">
        <v>12948000</v>
      </c>
      <c r="AC67">
        <v>0</v>
      </c>
      <c r="AD67">
        <v>0</v>
      </c>
      <c r="AE67">
        <v>0</v>
      </c>
      <c r="AQ67">
        <v>182380</v>
      </c>
      <c r="AR67" t="b">
        <v>1</v>
      </c>
      <c r="AS67" t="b">
        <v>1</v>
      </c>
      <c r="AT67" t="b">
        <v>1</v>
      </c>
      <c r="AU67" t="b">
        <v>1</v>
      </c>
      <c r="AV67" t="b">
        <v>1</v>
      </c>
      <c r="AW67" t="b">
        <v>1</v>
      </c>
      <c r="AX67" t="b">
        <v>1</v>
      </c>
    </row>
    <row r="68" spans="1:53" x14ac:dyDescent="0.25">
      <c r="A68" t="s">
        <v>386</v>
      </c>
      <c r="B68">
        <v>11</v>
      </c>
      <c r="C68">
        <v>5</v>
      </c>
      <c r="D68">
        <v>1</v>
      </c>
      <c r="E68">
        <v>48211090</v>
      </c>
      <c r="F68">
        <v>297274</v>
      </c>
      <c r="G68" t="s">
        <v>315</v>
      </c>
      <c r="H68" t="s">
        <v>60</v>
      </c>
      <c r="I68" t="s">
        <v>60</v>
      </c>
      <c r="J68" t="s">
        <v>60</v>
      </c>
      <c r="K68" t="s">
        <v>60</v>
      </c>
      <c r="L68" t="s">
        <v>12</v>
      </c>
      <c r="M68">
        <v>400</v>
      </c>
      <c r="P68">
        <v>40</v>
      </c>
      <c r="Q68" t="s">
        <v>80</v>
      </c>
      <c r="R68" t="s">
        <v>415</v>
      </c>
      <c r="S68" t="s">
        <v>363</v>
      </c>
      <c r="T68" t="s">
        <v>333</v>
      </c>
      <c r="V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Q68">
        <v>182380</v>
      </c>
      <c r="AR68" t="b">
        <v>1</v>
      </c>
      <c r="AS68" t="b">
        <v>1</v>
      </c>
      <c r="AT68" t="b">
        <v>1</v>
      </c>
      <c r="AU68" t="b">
        <v>1</v>
      </c>
      <c r="AV68" t="b">
        <v>1</v>
      </c>
      <c r="AW68" t="b">
        <v>1</v>
      </c>
      <c r="AX68" t="b">
        <v>1</v>
      </c>
    </row>
    <row r="69" spans="1:53" x14ac:dyDescent="0.25">
      <c r="A69" t="s">
        <v>386</v>
      </c>
      <c r="B69">
        <v>11</v>
      </c>
      <c r="C69">
        <v>6</v>
      </c>
      <c r="D69">
        <v>1</v>
      </c>
      <c r="E69">
        <v>48211090</v>
      </c>
      <c r="F69">
        <v>297275</v>
      </c>
      <c r="G69" t="s">
        <v>316</v>
      </c>
      <c r="H69" t="s">
        <v>60</v>
      </c>
      <c r="I69" t="s">
        <v>60</v>
      </c>
      <c r="J69" t="s">
        <v>60</v>
      </c>
      <c r="K69" t="s">
        <v>60</v>
      </c>
      <c r="L69" t="s">
        <v>12</v>
      </c>
      <c r="M69">
        <v>60</v>
      </c>
      <c r="P69">
        <v>40</v>
      </c>
      <c r="Q69" t="s">
        <v>80</v>
      </c>
      <c r="R69" t="s">
        <v>415</v>
      </c>
      <c r="S69" t="s">
        <v>363</v>
      </c>
      <c r="T69" t="s">
        <v>333</v>
      </c>
      <c r="V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Q69">
        <v>182380</v>
      </c>
      <c r="AR69" t="b">
        <v>1</v>
      </c>
      <c r="AS69" t="b">
        <v>1</v>
      </c>
      <c r="AT69" t="b">
        <v>1</v>
      </c>
      <c r="AU69" t="b">
        <v>1</v>
      </c>
      <c r="AV69" t="b">
        <v>1</v>
      </c>
      <c r="AW69" t="b">
        <v>1</v>
      </c>
      <c r="AX69" t="b">
        <v>1</v>
      </c>
    </row>
    <row r="70" spans="1:53" x14ac:dyDescent="0.25">
      <c r="A70" t="s">
        <v>386</v>
      </c>
      <c r="B70">
        <v>11</v>
      </c>
      <c r="C70">
        <v>7</v>
      </c>
      <c r="D70">
        <v>1</v>
      </c>
      <c r="E70">
        <v>48211090</v>
      </c>
      <c r="F70">
        <v>297276</v>
      </c>
      <c r="G70" t="s">
        <v>317</v>
      </c>
      <c r="H70" t="s">
        <v>60</v>
      </c>
      <c r="I70" t="s">
        <v>60</v>
      </c>
      <c r="J70" t="s">
        <v>60</v>
      </c>
      <c r="K70" t="s">
        <v>60</v>
      </c>
      <c r="L70" t="s">
        <v>12</v>
      </c>
      <c r="M70">
        <v>140</v>
      </c>
      <c r="P70">
        <v>40</v>
      </c>
      <c r="Q70" t="s">
        <v>80</v>
      </c>
      <c r="R70" t="s">
        <v>415</v>
      </c>
      <c r="S70" t="s">
        <v>363</v>
      </c>
      <c r="T70" t="s">
        <v>333</v>
      </c>
      <c r="V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Q70">
        <v>182380</v>
      </c>
      <c r="AR70" t="b">
        <v>1</v>
      </c>
      <c r="AS70" t="b">
        <v>1</v>
      </c>
      <c r="AT70" t="b">
        <v>1</v>
      </c>
      <c r="AU70" t="b">
        <v>1</v>
      </c>
      <c r="AV70" t="b">
        <v>1</v>
      </c>
      <c r="AW70" t="b">
        <v>1</v>
      </c>
      <c r="AX70" t="b">
        <v>1</v>
      </c>
    </row>
    <row r="71" spans="1:53" x14ac:dyDescent="0.25">
      <c r="A71" t="s">
        <v>386</v>
      </c>
      <c r="B71">
        <v>11</v>
      </c>
      <c r="C71">
        <v>8</v>
      </c>
      <c r="D71">
        <v>1</v>
      </c>
      <c r="E71">
        <v>48211090</v>
      </c>
      <c r="F71">
        <v>297277</v>
      </c>
      <c r="G71" t="s">
        <v>318</v>
      </c>
      <c r="H71" t="s">
        <v>60</v>
      </c>
      <c r="I71" t="s">
        <v>60</v>
      </c>
      <c r="J71" t="s">
        <v>60</v>
      </c>
      <c r="K71" t="s">
        <v>60</v>
      </c>
      <c r="L71" t="s">
        <v>12</v>
      </c>
      <c r="M71">
        <v>100</v>
      </c>
      <c r="P71">
        <v>40</v>
      </c>
      <c r="Q71" t="s">
        <v>80</v>
      </c>
      <c r="R71" t="s">
        <v>415</v>
      </c>
      <c r="S71" t="s">
        <v>363</v>
      </c>
      <c r="T71" t="s">
        <v>333</v>
      </c>
      <c r="V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Q71">
        <v>182380</v>
      </c>
      <c r="AR71" t="b">
        <v>1</v>
      </c>
      <c r="AS71" t="b">
        <v>1</v>
      </c>
      <c r="AT71" t="b">
        <v>1</v>
      </c>
      <c r="AU71" t="b">
        <v>1</v>
      </c>
      <c r="AV71" t="b">
        <v>1</v>
      </c>
      <c r="AW71" t="b">
        <v>1</v>
      </c>
      <c r="AX71" t="b">
        <v>1</v>
      </c>
    </row>
    <row r="72" spans="1:53" x14ac:dyDescent="0.25">
      <c r="A72" t="s">
        <v>386</v>
      </c>
      <c r="B72">
        <v>11</v>
      </c>
      <c r="C72">
        <v>9</v>
      </c>
      <c r="D72">
        <v>1</v>
      </c>
      <c r="E72">
        <v>48211090</v>
      </c>
      <c r="F72">
        <v>297278</v>
      </c>
      <c r="G72" t="s">
        <v>319</v>
      </c>
      <c r="H72" t="s">
        <v>60</v>
      </c>
      <c r="I72" t="s">
        <v>60</v>
      </c>
      <c r="J72" t="s">
        <v>60</v>
      </c>
      <c r="K72" t="s">
        <v>60</v>
      </c>
      <c r="L72" t="s">
        <v>12</v>
      </c>
      <c r="M72">
        <v>100</v>
      </c>
      <c r="P72">
        <v>40</v>
      </c>
      <c r="Q72" t="s">
        <v>80</v>
      </c>
      <c r="R72" t="s">
        <v>415</v>
      </c>
      <c r="S72" t="s">
        <v>363</v>
      </c>
      <c r="T72" t="s">
        <v>333</v>
      </c>
      <c r="V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Q72">
        <v>182380</v>
      </c>
      <c r="AR72" t="b">
        <v>1</v>
      </c>
      <c r="AS72" t="b">
        <v>1</v>
      </c>
      <c r="AT72" t="b">
        <v>1</v>
      </c>
      <c r="AU72" t="b">
        <v>1</v>
      </c>
      <c r="AV72" t="b">
        <v>1</v>
      </c>
      <c r="AW72" t="b">
        <v>1</v>
      </c>
      <c r="AX72" t="b">
        <v>1</v>
      </c>
    </row>
    <row r="73" spans="1:53" x14ac:dyDescent="0.25">
      <c r="A73" t="s">
        <v>386</v>
      </c>
      <c r="B73">
        <v>11</v>
      </c>
      <c r="C73">
        <v>10</v>
      </c>
      <c r="D73">
        <v>1</v>
      </c>
      <c r="E73">
        <v>96062100</v>
      </c>
      <c r="F73">
        <v>297279</v>
      </c>
      <c r="G73" t="s">
        <v>326</v>
      </c>
      <c r="H73" t="s">
        <v>60</v>
      </c>
      <c r="I73" t="s">
        <v>60</v>
      </c>
      <c r="J73" t="s">
        <v>60</v>
      </c>
      <c r="K73" t="s">
        <v>60</v>
      </c>
      <c r="L73" t="s">
        <v>12</v>
      </c>
      <c r="M73">
        <v>1600</v>
      </c>
      <c r="P73">
        <v>40</v>
      </c>
      <c r="Q73" t="s">
        <v>80</v>
      </c>
      <c r="R73" t="s">
        <v>415</v>
      </c>
      <c r="S73" t="s">
        <v>363</v>
      </c>
      <c r="T73" t="s">
        <v>333</v>
      </c>
      <c r="V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Q73">
        <v>182380</v>
      </c>
      <c r="AR73" t="b">
        <v>1</v>
      </c>
      <c r="AS73" t="b">
        <v>1</v>
      </c>
      <c r="AT73" t="b">
        <v>1</v>
      </c>
      <c r="AU73" t="b">
        <v>1</v>
      </c>
      <c r="AV73" t="b">
        <v>1</v>
      </c>
      <c r="AW73" t="b">
        <v>1</v>
      </c>
      <c r="AX73" t="b">
        <v>1</v>
      </c>
    </row>
    <row r="74" spans="1:53" x14ac:dyDescent="0.25">
      <c r="A74" t="s">
        <v>386</v>
      </c>
      <c r="B74">
        <v>1</v>
      </c>
      <c r="C74">
        <v>12</v>
      </c>
      <c r="D74">
        <v>1</v>
      </c>
      <c r="E74">
        <v>52081900</v>
      </c>
      <c r="F74">
        <v>275340</v>
      </c>
      <c r="G74" t="s">
        <v>312</v>
      </c>
      <c r="H74" t="s">
        <v>60</v>
      </c>
      <c r="I74" t="s">
        <v>60</v>
      </c>
      <c r="J74" t="s">
        <v>60</v>
      </c>
      <c r="K74" t="s">
        <v>60</v>
      </c>
      <c r="L74" t="s">
        <v>27</v>
      </c>
      <c r="M74">
        <v>9.4</v>
      </c>
      <c r="P74">
        <v>40</v>
      </c>
      <c r="Q74" t="s">
        <v>80</v>
      </c>
      <c r="R74" t="s">
        <v>410</v>
      </c>
      <c r="S74" t="s">
        <v>359</v>
      </c>
      <c r="T74" t="s">
        <v>328</v>
      </c>
      <c r="V74">
        <v>0</v>
      </c>
      <c r="Y74">
        <v>0</v>
      </c>
      <c r="Z74">
        <v>0</v>
      </c>
      <c r="AA74">
        <v>0</v>
      </c>
      <c r="AB74">
        <v>2255257.02</v>
      </c>
      <c r="AC74">
        <v>0</v>
      </c>
      <c r="AD74">
        <v>0</v>
      </c>
      <c r="AE74">
        <v>0</v>
      </c>
      <c r="AQ74">
        <v>182375</v>
      </c>
      <c r="AR74" t="b">
        <v>1</v>
      </c>
      <c r="AS74" t="b">
        <v>1</v>
      </c>
      <c r="AT74" t="b">
        <v>1</v>
      </c>
      <c r="AU74" t="b">
        <v>1</v>
      </c>
      <c r="AV74" t="b">
        <v>1</v>
      </c>
      <c r="AW74" t="b">
        <v>1</v>
      </c>
      <c r="AX74" t="b">
        <v>1</v>
      </c>
      <c r="BA74" t="s">
        <v>407</v>
      </c>
    </row>
    <row r="75" spans="1:53" x14ac:dyDescent="0.25">
      <c r="A75" t="s">
        <v>386</v>
      </c>
      <c r="B75">
        <v>1</v>
      </c>
      <c r="C75">
        <v>13</v>
      </c>
      <c r="D75">
        <v>1</v>
      </c>
      <c r="E75">
        <v>58062090</v>
      </c>
      <c r="F75">
        <v>248283</v>
      </c>
      <c r="G75" t="s">
        <v>313</v>
      </c>
      <c r="H75" t="s">
        <v>60</v>
      </c>
      <c r="I75" t="s">
        <v>60</v>
      </c>
      <c r="J75" t="s">
        <v>60</v>
      </c>
      <c r="K75" t="s">
        <v>60</v>
      </c>
      <c r="L75" t="s">
        <v>59</v>
      </c>
      <c r="M75">
        <v>5.0000000000000001E-3</v>
      </c>
      <c r="P75">
        <v>40</v>
      </c>
      <c r="Q75" t="s">
        <v>80</v>
      </c>
      <c r="R75" t="s">
        <v>411</v>
      </c>
      <c r="S75" t="s">
        <v>357</v>
      </c>
      <c r="T75" t="s">
        <v>329</v>
      </c>
      <c r="V75">
        <v>0</v>
      </c>
      <c r="Y75">
        <v>0</v>
      </c>
      <c r="Z75">
        <v>0</v>
      </c>
      <c r="AA75">
        <v>0</v>
      </c>
      <c r="AB75">
        <v>305</v>
      </c>
      <c r="AC75">
        <v>0</v>
      </c>
      <c r="AD75">
        <v>0</v>
      </c>
      <c r="AE75">
        <v>0</v>
      </c>
      <c r="AQ75">
        <v>182375</v>
      </c>
      <c r="AR75" t="b">
        <v>1</v>
      </c>
      <c r="AS75" t="b">
        <v>1</v>
      </c>
      <c r="AT75" t="b">
        <v>1</v>
      </c>
      <c r="AU75" t="b">
        <v>1</v>
      </c>
      <c r="AV75" t="b">
        <v>1</v>
      </c>
      <c r="AW75" t="b">
        <v>1</v>
      </c>
      <c r="AX75" t="b">
        <v>1</v>
      </c>
      <c r="BA75" t="s">
        <v>407</v>
      </c>
    </row>
    <row r="76" spans="1:53" x14ac:dyDescent="0.25">
      <c r="A76" t="s">
        <v>386</v>
      </c>
      <c r="B76">
        <v>1</v>
      </c>
      <c r="C76">
        <v>14</v>
      </c>
      <c r="D76">
        <v>1</v>
      </c>
      <c r="E76">
        <v>58062090</v>
      </c>
      <c r="F76">
        <v>248283</v>
      </c>
      <c r="G76" t="s">
        <v>313</v>
      </c>
      <c r="H76" t="s">
        <v>60</v>
      </c>
      <c r="I76" t="s">
        <v>60</v>
      </c>
      <c r="J76" t="s">
        <v>60</v>
      </c>
      <c r="K76" t="s">
        <v>60</v>
      </c>
      <c r="L76" t="s">
        <v>59</v>
      </c>
      <c r="M76">
        <v>0.01</v>
      </c>
      <c r="P76">
        <v>40</v>
      </c>
      <c r="Q76" t="s">
        <v>80</v>
      </c>
      <c r="R76" t="s">
        <v>412</v>
      </c>
      <c r="S76" t="s">
        <v>360</v>
      </c>
      <c r="T76" t="s">
        <v>330</v>
      </c>
      <c r="V76">
        <v>0</v>
      </c>
      <c r="Y76">
        <v>0</v>
      </c>
      <c r="Z76">
        <v>0</v>
      </c>
      <c r="AA76">
        <v>0</v>
      </c>
      <c r="AB76">
        <v>640</v>
      </c>
      <c r="AC76">
        <v>0</v>
      </c>
      <c r="AD76">
        <v>0</v>
      </c>
      <c r="AE76">
        <v>0</v>
      </c>
      <c r="AQ76">
        <v>182375</v>
      </c>
      <c r="AR76" t="b">
        <v>1</v>
      </c>
      <c r="AS76" t="b">
        <v>1</v>
      </c>
      <c r="AT76" t="b">
        <v>1</v>
      </c>
      <c r="AU76" t="b">
        <v>1</v>
      </c>
      <c r="AV76" t="b">
        <v>1</v>
      </c>
      <c r="AW76" t="b">
        <v>1</v>
      </c>
      <c r="AX76" t="b">
        <v>1</v>
      </c>
      <c r="BA76" t="s">
        <v>407</v>
      </c>
    </row>
    <row r="77" spans="1:53" x14ac:dyDescent="0.25">
      <c r="A77" t="s">
        <v>386</v>
      </c>
      <c r="B77">
        <v>1</v>
      </c>
      <c r="C77">
        <v>15</v>
      </c>
      <c r="D77">
        <v>1</v>
      </c>
      <c r="E77">
        <v>58062090</v>
      </c>
      <c r="F77">
        <v>248283</v>
      </c>
      <c r="G77" t="s">
        <v>313</v>
      </c>
      <c r="H77" t="s">
        <v>60</v>
      </c>
      <c r="I77" t="s">
        <v>60</v>
      </c>
      <c r="J77" t="s">
        <v>60</v>
      </c>
      <c r="K77" t="s">
        <v>60</v>
      </c>
      <c r="L77" t="s">
        <v>59</v>
      </c>
      <c r="M77">
        <v>0.01</v>
      </c>
      <c r="P77">
        <v>40</v>
      </c>
      <c r="Q77" t="s">
        <v>80</v>
      </c>
      <c r="R77" t="s">
        <v>413</v>
      </c>
      <c r="S77" t="s">
        <v>361</v>
      </c>
      <c r="T77" t="s">
        <v>331</v>
      </c>
      <c r="V77">
        <v>0</v>
      </c>
      <c r="Y77">
        <v>0</v>
      </c>
      <c r="Z77">
        <v>0</v>
      </c>
      <c r="AA77">
        <v>0</v>
      </c>
      <c r="AB77">
        <v>640</v>
      </c>
      <c r="AC77">
        <v>0</v>
      </c>
      <c r="AD77">
        <v>0</v>
      </c>
      <c r="AE77">
        <v>0</v>
      </c>
      <c r="AQ77">
        <v>182375</v>
      </c>
      <c r="AR77" t="b">
        <v>1</v>
      </c>
      <c r="AS77" t="b">
        <v>1</v>
      </c>
      <c r="AT77" t="b">
        <v>1</v>
      </c>
      <c r="AU77" t="b">
        <v>1</v>
      </c>
      <c r="AV77" t="b">
        <v>1</v>
      </c>
      <c r="AW77" t="b">
        <v>1</v>
      </c>
      <c r="AX77" t="b">
        <v>1</v>
      </c>
      <c r="BA77" t="s">
        <v>407</v>
      </c>
    </row>
    <row r="78" spans="1:53" x14ac:dyDescent="0.25">
      <c r="A78" t="s">
        <v>386</v>
      </c>
      <c r="B78">
        <v>1</v>
      </c>
      <c r="C78">
        <v>16</v>
      </c>
      <c r="D78">
        <v>1</v>
      </c>
      <c r="E78">
        <v>58062090</v>
      </c>
      <c r="F78">
        <v>248283</v>
      </c>
      <c r="G78" t="s">
        <v>314</v>
      </c>
      <c r="H78" t="s">
        <v>60</v>
      </c>
      <c r="I78" t="s">
        <v>60</v>
      </c>
      <c r="J78" t="s">
        <v>60</v>
      </c>
      <c r="K78" t="s">
        <v>60</v>
      </c>
      <c r="L78" t="s">
        <v>59</v>
      </c>
      <c r="M78">
        <v>0.01</v>
      </c>
      <c r="P78">
        <v>40</v>
      </c>
      <c r="Q78" t="s">
        <v>80</v>
      </c>
      <c r="R78" t="s">
        <v>414</v>
      </c>
      <c r="S78" t="s">
        <v>362</v>
      </c>
      <c r="T78" t="s">
        <v>332</v>
      </c>
      <c r="V78">
        <v>0</v>
      </c>
      <c r="Y78">
        <v>0</v>
      </c>
      <c r="Z78">
        <v>0</v>
      </c>
      <c r="AA78">
        <v>0</v>
      </c>
      <c r="AB78">
        <v>640</v>
      </c>
      <c r="AC78">
        <v>0</v>
      </c>
      <c r="AD78">
        <v>0</v>
      </c>
      <c r="AE78">
        <v>0</v>
      </c>
      <c r="AQ78">
        <v>182375</v>
      </c>
      <c r="AR78" t="b">
        <v>1</v>
      </c>
      <c r="AS78" t="b">
        <v>1</v>
      </c>
      <c r="AT78" t="b">
        <v>1</v>
      </c>
      <c r="AU78" t="b">
        <v>1</v>
      </c>
      <c r="AV78" t="b">
        <v>1</v>
      </c>
      <c r="AW78" t="b">
        <v>1</v>
      </c>
      <c r="AX78" t="b">
        <v>1</v>
      </c>
      <c r="BA78" t="s">
        <v>407</v>
      </c>
    </row>
    <row r="79" spans="1:53" x14ac:dyDescent="0.25">
      <c r="A79" t="s">
        <v>386</v>
      </c>
      <c r="B79">
        <v>1</v>
      </c>
      <c r="C79">
        <v>17</v>
      </c>
      <c r="D79">
        <v>1</v>
      </c>
      <c r="E79">
        <v>48211090</v>
      </c>
      <c r="F79">
        <v>297274</v>
      </c>
      <c r="G79" t="s">
        <v>315</v>
      </c>
      <c r="H79" t="s">
        <v>60</v>
      </c>
      <c r="I79" t="s">
        <v>60</v>
      </c>
      <c r="J79" t="s">
        <v>60</v>
      </c>
      <c r="K79" t="s">
        <v>60</v>
      </c>
      <c r="L79" t="s">
        <v>12</v>
      </c>
      <c r="M79">
        <v>200</v>
      </c>
      <c r="P79">
        <v>40</v>
      </c>
      <c r="Q79" t="s">
        <v>80</v>
      </c>
      <c r="R79" t="s">
        <v>415</v>
      </c>
      <c r="S79" t="s">
        <v>363</v>
      </c>
      <c r="T79" t="s">
        <v>333</v>
      </c>
      <c r="V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Q79">
        <v>182375</v>
      </c>
      <c r="AR79" t="b">
        <v>1</v>
      </c>
      <c r="AS79" t="b">
        <v>1</v>
      </c>
      <c r="AT79" t="b">
        <v>1</v>
      </c>
      <c r="AU79" t="b">
        <v>1</v>
      </c>
      <c r="AV79" t="b">
        <v>1</v>
      </c>
      <c r="AW79" t="b">
        <v>1</v>
      </c>
      <c r="AX79" t="b">
        <v>1</v>
      </c>
      <c r="BA79" t="s">
        <v>407</v>
      </c>
    </row>
    <row r="80" spans="1:53" x14ac:dyDescent="0.25">
      <c r="A80" t="s">
        <v>386</v>
      </c>
      <c r="B80">
        <v>1</v>
      </c>
      <c r="C80">
        <v>18</v>
      </c>
      <c r="D80">
        <v>1</v>
      </c>
      <c r="E80">
        <v>48211090</v>
      </c>
      <c r="F80">
        <v>297275</v>
      </c>
      <c r="G80" t="s">
        <v>316</v>
      </c>
      <c r="H80" t="s">
        <v>60</v>
      </c>
      <c r="I80" t="s">
        <v>60</v>
      </c>
      <c r="J80" t="s">
        <v>60</v>
      </c>
      <c r="K80" t="s">
        <v>60</v>
      </c>
      <c r="L80" t="s">
        <v>12</v>
      </c>
      <c r="M80">
        <v>30</v>
      </c>
      <c r="P80">
        <v>40</v>
      </c>
      <c r="Q80" t="s">
        <v>80</v>
      </c>
      <c r="R80" t="s">
        <v>415</v>
      </c>
      <c r="S80" t="s">
        <v>363</v>
      </c>
      <c r="T80" t="s">
        <v>333</v>
      </c>
      <c r="V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Q80">
        <v>182375</v>
      </c>
      <c r="AR80" t="b">
        <v>1</v>
      </c>
      <c r="AS80" t="b">
        <v>1</v>
      </c>
      <c r="AT80" t="b">
        <v>1</v>
      </c>
      <c r="AU80" t="b">
        <v>1</v>
      </c>
      <c r="AV80" t="b">
        <v>1</v>
      </c>
      <c r="AW80" t="b">
        <v>1</v>
      </c>
      <c r="AX80" t="b">
        <v>1</v>
      </c>
      <c r="BA80" t="s">
        <v>407</v>
      </c>
    </row>
    <row r="81" spans="1:53" x14ac:dyDescent="0.25">
      <c r="A81" t="s">
        <v>386</v>
      </c>
      <c r="B81">
        <v>1</v>
      </c>
      <c r="C81">
        <v>19</v>
      </c>
      <c r="D81">
        <v>1</v>
      </c>
      <c r="E81">
        <v>48211090</v>
      </c>
      <c r="F81">
        <v>297276</v>
      </c>
      <c r="G81" t="s">
        <v>317</v>
      </c>
      <c r="H81" t="s">
        <v>60</v>
      </c>
      <c r="I81" t="s">
        <v>60</v>
      </c>
      <c r="J81" t="s">
        <v>60</v>
      </c>
      <c r="K81" t="s">
        <v>60</v>
      </c>
      <c r="L81" t="s">
        <v>12</v>
      </c>
      <c r="M81">
        <v>70</v>
      </c>
      <c r="P81">
        <v>40</v>
      </c>
      <c r="Q81" t="s">
        <v>80</v>
      </c>
      <c r="R81" t="s">
        <v>415</v>
      </c>
      <c r="S81" t="s">
        <v>363</v>
      </c>
      <c r="T81" t="s">
        <v>333</v>
      </c>
      <c r="V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Q81">
        <v>182375</v>
      </c>
      <c r="AR81" t="b">
        <v>1</v>
      </c>
      <c r="AS81" t="b">
        <v>1</v>
      </c>
      <c r="AT81" t="b">
        <v>1</v>
      </c>
      <c r="AU81" t="b">
        <v>1</v>
      </c>
      <c r="AV81" t="b">
        <v>1</v>
      </c>
      <c r="AW81" t="b">
        <v>1</v>
      </c>
      <c r="AX81" t="b">
        <v>1</v>
      </c>
      <c r="BA81" t="s">
        <v>407</v>
      </c>
    </row>
    <row r="82" spans="1:53" x14ac:dyDescent="0.25">
      <c r="A82" t="s">
        <v>386</v>
      </c>
      <c r="B82">
        <v>1</v>
      </c>
      <c r="C82">
        <v>20</v>
      </c>
      <c r="D82">
        <v>1</v>
      </c>
      <c r="E82">
        <v>48211090</v>
      </c>
      <c r="F82">
        <v>297277</v>
      </c>
      <c r="G82" t="s">
        <v>318</v>
      </c>
      <c r="H82" t="s">
        <v>60</v>
      </c>
      <c r="I82" t="s">
        <v>60</v>
      </c>
      <c r="J82" t="s">
        <v>60</v>
      </c>
      <c r="K82" t="s">
        <v>60</v>
      </c>
      <c r="L82" t="s">
        <v>12</v>
      </c>
      <c r="M82">
        <v>50</v>
      </c>
      <c r="P82">
        <v>40</v>
      </c>
      <c r="Q82" t="s">
        <v>80</v>
      </c>
      <c r="R82" t="s">
        <v>415</v>
      </c>
      <c r="S82" t="s">
        <v>363</v>
      </c>
      <c r="T82" t="s">
        <v>333</v>
      </c>
      <c r="V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Q82">
        <v>182375</v>
      </c>
      <c r="AR82" t="b">
        <v>1</v>
      </c>
      <c r="AS82" t="b">
        <v>1</v>
      </c>
      <c r="AT82" t="b">
        <v>1</v>
      </c>
      <c r="AU82" t="b">
        <v>1</v>
      </c>
      <c r="AV82" t="b">
        <v>1</v>
      </c>
      <c r="AW82" t="b">
        <v>1</v>
      </c>
      <c r="AX82" t="b">
        <v>1</v>
      </c>
      <c r="BA82" t="s">
        <v>407</v>
      </c>
    </row>
    <row r="83" spans="1:53" x14ac:dyDescent="0.25">
      <c r="A83" t="s">
        <v>386</v>
      </c>
      <c r="B83">
        <v>1</v>
      </c>
      <c r="C83">
        <v>21</v>
      </c>
      <c r="D83">
        <v>1</v>
      </c>
      <c r="E83">
        <v>48211090</v>
      </c>
      <c r="F83">
        <v>297278</v>
      </c>
      <c r="G83" t="s">
        <v>319</v>
      </c>
      <c r="H83" t="s">
        <v>60</v>
      </c>
      <c r="I83" t="s">
        <v>60</v>
      </c>
      <c r="J83" t="s">
        <v>60</v>
      </c>
      <c r="K83" t="s">
        <v>60</v>
      </c>
      <c r="L83" t="s">
        <v>12</v>
      </c>
      <c r="M83">
        <v>50</v>
      </c>
      <c r="P83">
        <v>40</v>
      </c>
      <c r="Q83" t="s">
        <v>80</v>
      </c>
      <c r="R83" t="s">
        <v>415</v>
      </c>
      <c r="S83" t="s">
        <v>363</v>
      </c>
      <c r="T83" t="s">
        <v>333</v>
      </c>
      <c r="V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Q83">
        <v>182375</v>
      </c>
      <c r="AR83" t="b">
        <v>1</v>
      </c>
      <c r="AS83" t="b">
        <v>1</v>
      </c>
      <c r="AT83" t="b">
        <v>1</v>
      </c>
      <c r="AU83" t="b">
        <v>1</v>
      </c>
      <c r="AV83" t="b">
        <v>1</v>
      </c>
      <c r="AW83" t="b">
        <v>1</v>
      </c>
      <c r="AX83" t="b">
        <v>1</v>
      </c>
      <c r="BA83" t="s">
        <v>407</v>
      </c>
    </row>
    <row r="84" spans="1:53" x14ac:dyDescent="0.25">
      <c r="A84" t="s">
        <v>386</v>
      </c>
      <c r="B84">
        <v>1</v>
      </c>
      <c r="C84">
        <v>1</v>
      </c>
      <c r="D84">
        <v>1</v>
      </c>
      <c r="E84">
        <v>52081900</v>
      </c>
      <c r="F84">
        <v>274799</v>
      </c>
      <c r="G84" t="s">
        <v>311</v>
      </c>
      <c r="H84" t="s">
        <v>60</v>
      </c>
      <c r="I84" t="s">
        <v>60</v>
      </c>
      <c r="J84" t="s">
        <v>60</v>
      </c>
      <c r="K84" t="s">
        <v>60</v>
      </c>
      <c r="L84" t="s">
        <v>27</v>
      </c>
      <c r="M84">
        <v>9.4</v>
      </c>
      <c r="P84">
        <v>40</v>
      </c>
      <c r="Q84" t="s">
        <v>80</v>
      </c>
      <c r="R84" t="s">
        <v>409</v>
      </c>
      <c r="S84" t="s">
        <v>358</v>
      </c>
      <c r="T84" t="s">
        <v>327</v>
      </c>
      <c r="V84">
        <v>0</v>
      </c>
      <c r="Y84">
        <v>0</v>
      </c>
      <c r="Z84">
        <v>0</v>
      </c>
      <c r="AA84">
        <v>0</v>
      </c>
      <c r="AB84">
        <v>2255257.02</v>
      </c>
      <c r="AC84">
        <v>0</v>
      </c>
      <c r="AD84">
        <v>0</v>
      </c>
      <c r="AE84">
        <v>0</v>
      </c>
      <c r="AQ84">
        <v>182375</v>
      </c>
      <c r="AR84" t="b">
        <v>1</v>
      </c>
      <c r="AS84" t="b">
        <v>1</v>
      </c>
      <c r="AT84" t="b">
        <v>1</v>
      </c>
      <c r="AU84" t="b">
        <v>1</v>
      </c>
      <c r="AV84" t="b">
        <v>1</v>
      </c>
      <c r="AW84" t="b">
        <v>1</v>
      </c>
      <c r="AX84" t="b">
        <v>1</v>
      </c>
      <c r="BA84" t="s">
        <v>391</v>
      </c>
    </row>
    <row r="85" spans="1:53" x14ac:dyDescent="0.25">
      <c r="A85" t="s">
        <v>386</v>
      </c>
      <c r="B85">
        <v>1</v>
      </c>
      <c r="C85">
        <v>2</v>
      </c>
      <c r="D85">
        <v>1</v>
      </c>
      <c r="E85">
        <v>52081900</v>
      </c>
      <c r="F85">
        <v>275340</v>
      </c>
      <c r="G85" t="s">
        <v>312</v>
      </c>
      <c r="H85" t="s">
        <v>60</v>
      </c>
      <c r="I85" t="s">
        <v>60</v>
      </c>
      <c r="J85" t="s">
        <v>60</v>
      </c>
      <c r="K85" t="s">
        <v>60</v>
      </c>
      <c r="L85" t="s">
        <v>27</v>
      </c>
      <c r="M85">
        <v>9.4</v>
      </c>
      <c r="P85">
        <v>40</v>
      </c>
      <c r="Q85" t="s">
        <v>80</v>
      </c>
      <c r="R85" t="s">
        <v>410</v>
      </c>
      <c r="S85" t="s">
        <v>359</v>
      </c>
      <c r="T85" t="s">
        <v>328</v>
      </c>
      <c r="V85">
        <v>0</v>
      </c>
      <c r="Y85">
        <v>0</v>
      </c>
      <c r="Z85">
        <v>0</v>
      </c>
      <c r="AA85">
        <v>0</v>
      </c>
      <c r="AB85">
        <v>2255257.02</v>
      </c>
      <c r="AC85">
        <v>0</v>
      </c>
      <c r="AD85">
        <v>0</v>
      </c>
      <c r="AE85">
        <v>0</v>
      </c>
      <c r="AQ85">
        <v>182375</v>
      </c>
      <c r="AR85" t="b">
        <v>1</v>
      </c>
      <c r="AS85" t="b">
        <v>1</v>
      </c>
      <c r="AT85" t="b">
        <v>1</v>
      </c>
      <c r="AU85" t="b">
        <v>1</v>
      </c>
      <c r="AV85" t="b">
        <v>1</v>
      </c>
      <c r="AW85" t="b">
        <v>1</v>
      </c>
      <c r="AX85" t="b">
        <v>1</v>
      </c>
      <c r="BA85" t="s">
        <v>391</v>
      </c>
    </row>
    <row r="86" spans="1:53" x14ac:dyDescent="0.25">
      <c r="A86" t="s">
        <v>386</v>
      </c>
      <c r="B86">
        <v>1</v>
      </c>
      <c r="C86">
        <v>3</v>
      </c>
      <c r="D86">
        <v>1</v>
      </c>
      <c r="E86">
        <v>58062090</v>
      </c>
      <c r="F86">
        <v>248283</v>
      </c>
      <c r="G86" t="s">
        <v>313</v>
      </c>
      <c r="H86" t="s">
        <v>60</v>
      </c>
      <c r="I86" t="s">
        <v>60</v>
      </c>
      <c r="J86" t="s">
        <v>60</v>
      </c>
      <c r="K86" t="s">
        <v>60</v>
      </c>
      <c r="L86" t="s">
        <v>59</v>
      </c>
      <c r="M86">
        <v>5.0000000000000001E-3</v>
      </c>
      <c r="P86">
        <v>40</v>
      </c>
      <c r="Q86" t="s">
        <v>80</v>
      </c>
      <c r="R86" t="s">
        <v>411</v>
      </c>
      <c r="S86" t="s">
        <v>357</v>
      </c>
      <c r="T86" t="s">
        <v>329</v>
      </c>
      <c r="V86">
        <v>0</v>
      </c>
      <c r="Y86">
        <v>0</v>
      </c>
      <c r="Z86">
        <v>0</v>
      </c>
      <c r="AA86">
        <v>0</v>
      </c>
      <c r="AB86">
        <v>305</v>
      </c>
      <c r="AC86">
        <v>0</v>
      </c>
      <c r="AD86">
        <v>0</v>
      </c>
      <c r="AE86">
        <v>0</v>
      </c>
      <c r="AQ86">
        <v>182375</v>
      </c>
      <c r="AR86" t="b">
        <v>1</v>
      </c>
      <c r="AS86" t="b">
        <v>1</v>
      </c>
      <c r="AT86" t="b">
        <v>1</v>
      </c>
      <c r="AU86" t="b">
        <v>1</v>
      </c>
      <c r="AV86" t="b">
        <v>1</v>
      </c>
      <c r="AW86" t="b">
        <v>1</v>
      </c>
      <c r="AX86" t="b">
        <v>1</v>
      </c>
      <c r="BA86" t="s">
        <v>391</v>
      </c>
    </row>
    <row r="87" spans="1:53" x14ac:dyDescent="0.25">
      <c r="A87" t="s">
        <v>386</v>
      </c>
      <c r="B87">
        <v>1</v>
      </c>
      <c r="C87">
        <v>4</v>
      </c>
      <c r="D87">
        <v>1</v>
      </c>
      <c r="E87">
        <v>58062090</v>
      </c>
      <c r="F87">
        <v>248283</v>
      </c>
      <c r="G87" t="s">
        <v>313</v>
      </c>
      <c r="H87" t="s">
        <v>60</v>
      </c>
      <c r="I87" t="s">
        <v>60</v>
      </c>
      <c r="J87" t="s">
        <v>60</v>
      </c>
      <c r="K87" t="s">
        <v>60</v>
      </c>
      <c r="L87" t="s">
        <v>59</v>
      </c>
      <c r="M87">
        <v>0.01</v>
      </c>
      <c r="P87">
        <v>40</v>
      </c>
      <c r="Q87" t="s">
        <v>80</v>
      </c>
      <c r="R87" t="s">
        <v>412</v>
      </c>
      <c r="S87" t="s">
        <v>360</v>
      </c>
      <c r="T87" t="s">
        <v>330</v>
      </c>
      <c r="V87">
        <v>0</v>
      </c>
      <c r="Y87">
        <v>0</v>
      </c>
      <c r="Z87">
        <v>0</v>
      </c>
      <c r="AA87">
        <v>0</v>
      </c>
      <c r="AB87">
        <v>640</v>
      </c>
      <c r="AC87">
        <v>0</v>
      </c>
      <c r="AD87">
        <v>0</v>
      </c>
      <c r="AE87">
        <v>0</v>
      </c>
      <c r="AQ87">
        <v>182375</v>
      </c>
      <c r="AR87" t="b">
        <v>1</v>
      </c>
      <c r="AS87" t="b">
        <v>1</v>
      </c>
      <c r="AT87" t="b">
        <v>1</v>
      </c>
      <c r="AU87" t="b">
        <v>1</v>
      </c>
      <c r="AV87" t="b">
        <v>1</v>
      </c>
      <c r="AW87" t="b">
        <v>1</v>
      </c>
      <c r="AX87" t="b">
        <v>1</v>
      </c>
      <c r="BA87" t="s">
        <v>391</v>
      </c>
    </row>
    <row r="88" spans="1:53" x14ac:dyDescent="0.25">
      <c r="A88" t="s">
        <v>386</v>
      </c>
      <c r="B88">
        <v>1</v>
      </c>
      <c r="C88">
        <v>5</v>
      </c>
      <c r="D88">
        <v>1</v>
      </c>
      <c r="E88">
        <v>58062090</v>
      </c>
      <c r="F88">
        <v>248283</v>
      </c>
      <c r="G88" t="s">
        <v>313</v>
      </c>
      <c r="H88" t="s">
        <v>60</v>
      </c>
      <c r="I88" t="s">
        <v>60</v>
      </c>
      <c r="J88" t="s">
        <v>60</v>
      </c>
      <c r="K88" t="s">
        <v>60</v>
      </c>
      <c r="L88" t="s">
        <v>59</v>
      </c>
      <c r="M88">
        <v>0.01</v>
      </c>
      <c r="P88">
        <v>40</v>
      </c>
      <c r="Q88" t="s">
        <v>80</v>
      </c>
      <c r="R88" t="s">
        <v>413</v>
      </c>
      <c r="S88" t="s">
        <v>361</v>
      </c>
      <c r="T88" t="s">
        <v>331</v>
      </c>
      <c r="V88">
        <v>0</v>
      </c>
      <c r="Y88">
        <v>0</v>
      </c>
      <c r="Z88">
        <v>0</v>
      </c>
      <c r="AA88">
        <v>0</v>
      </c>
      <c r="AB88">
        <v>640</v>
      </c>
      <c r="AC88">
        <v>0</v>
      </c>
      <c r="AD88">
        <v>0</v>
      </c>
      <c r="AE88">
        <v>0</v>
      </c>
      <c r="AQ88">
        <v>182375</v>
      </c>
      <c r="AR88" t="b">
        <v>1</v>
      </c>
      <c r="AS88" t="b">
        <v>1</v>
      </c>
      <c r="AT88" t="b">
        <v>1</v>
      </c>
      <c r="AU88" t="b">
        <v>1</v>
      </c>
      <c r="AV88" t="b">
        <v>1</v>
      </c>
      <c r="AW88" t="b">
        <v>1</v>
      </c>
      <c r="AX88" t="b">
        <v>1</v>
      </c>
      <c r="BA88" t="s">
        <v>391</v>
      </c>
    </row>
    <row r="89" spans="1:53" x14ac:dyDescent="0.25">
      <c r="A89" t="s">
        <v>386</v>
      </c>
      <c r="B89">
        <v>1</v>
      </c>
      <c r="C89">
        <v>6</v>
      </c>
      <c r="D89">
        <v>1</v>
      </c>
      <c r="E89">
        <v>58062090</v>
      </c>
      <c r="F89">
        <v>248283</v>
      </c>
      <c r="G89" t="s">
        <v>314</v>
      </c>
      <c r="H89" t="s">
        <v>60</v>
      </c>
      <c r="I89" t="s">
        <v>60</v>
      </c>
      <c r="J89" t="s">
        <v>60</v>
      </c>
      <c r="K89" t="s">
        <v>60</v>
      </c>
      <c r="L89" t="s">
        <v>59</v>
      </c>
      <c r="M89">
        <v>0.01</v>
      </c>
      <c r="P89">
        <v>40</v>
      </c>
      <c r="Q89" t="s">
        <v>80</v>
      </c>
      <c r="R89" t="s">
        <v>414</v>
      </c>
      <c r="S89" t="s">
        <v>362</v>
      </c>
      <c r="T89" t="s">
        <v>332</v>
      </c>
      <c r="V89">
        <v>0</v>
      </c>
      <c r="Y89">
        <v>0</v>
      </c>
      <c r="Z89">
        <v>0</v>
      </c>
      <c r="AA89">
        <v>0</v>
      </c>
      <c r="AB89">
        <v>640</v>
      </c>
      <c r="AC89">
        <v>0</v>
      </c>
      <c r="AD89">
        <v>0</v>
      </c>
      <c r="AE89">
        <v>0</v>
      </c>
      <c r="AQ89">
        <v>182375</v>
      </c>
      <c r="AR89" t="b">
        <v>1</v>
      </c>
      <c r="AS89" t="b">
        <v>1</v>
      </c>
      <c r="AT89" t="b">
        <v>1</v>
      </c>
      <c r="AU89" t="b">
        <v>1</v>
      </c>
      <c r="AV89" t="b">
        <v>1</v>
      </c>
      <c r="AW89" t="b">
        <v>1</v>
      </c>
      <c r="AX89" t="b">
        <v>1</v>
      </c>
      <c r="BA89" t="s">
        <v>391</v>
      </c>
    </row>
    <row r="90" spans="1:53" x14ac:dyDescent="0.25">
      <c r="A90" t="s">
        <v>386</v>
      </c>
      <c r="B90">
        <v>1</v>
      </c>
      <c r="C90">
        <v>7</v>
      </c>
      <c r="D90">
        <v>1</v>
      </c>
      <c r="E90">
        <v>48211090</v>
      </c>
      <c r="F90">
        <v>297274</v>
      </c>
      <c r="G90" t="s">
        <v>315</v>
      </c>
      <c r="H90" t="s">
        <v>60</v>
      </c>
      <c r="I90" t="s">
        <v>60</v>
      </c>
      <c r="J90" t="s">
        <v>60</v>
      </c>
      <c r="K90" t="s">
        <v>60</v>
      </c>
      <c r="L90" t="s">
        <v>12</v>
      </c>
      <c r="M90">
        <v>200</v>
      </c>
      <c r="P90">
        <v>40</v>
      </c>
      <c r="Q90" t="s">
        <v>80</v>
      </c>
      <c r="R90" t="s">
        <v>415</v>
      </c>
      <c r="S90" t="s">
        <v>363</v>
      </c>
      <c r="T90" t="s">
        <v>333</v>
      </c>
      <c r="V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Q90">
        <v>182375</v>
      </c>
      <c r="AR90" t="b">
        <v>1</v>
      </c>
      <c r="AS90" t="b">
        <v>1</v>
      </c>
      <c r="AT90" t="b">
        <v>1</v>
      </c>
      <c r="AU90" t="b">
        <v>1</v>
      </c>
      <c r="AV90" t="b">
        <v>1</v>
      </c>
      <c r="AW90" t="b">
        <v>1</v>
      </c>
      <c r="AX90" t="b">
        <v>1</v>
      </c>
      <c r="BA90" t="s">
        <v>391</v>
      </c>
    </row>
    <row r="91" spans="1:53" x14ac:dyDescent="0.25">
      <c r="A91" t="s">
        <v>386</v>
      </c>
      <c r="B91">
        <v>1</v>
      </c>
      <c r="C91">
        <v>8</v>
      </c>
      <c r="D91">
        <v>1</v>
      </c>
      <c r="E91">
        <v>48211090</v>
      </c>
      <c r="F91">
        <v>297275</v>
      </c>
      <c r="G91" t="s">
        <v>316</v>
      </c>
      <c r="H91" t="s">
        <v>60</v>
      </c>
      <c r="I91" t="s">
        <v>60</v>
      </c>
      <c r="J91" t="s">
        <v>60</v>
      </c>
      <c r="K91" t="s">
        <v>60</v>
      </c>
      <c r="L91" t="s">
        <v>12</v>
      </c>
      <c r="M91">
        <v>30</v>
      </c>
      <c r="P91">
        <v>40</v>
      </c>
      <c r="Q91" t="s">
        <v>80</v>
      </c>
      <c r="R91" t="s">
        <v>415</v>
      </c>
      <c r="S91" t="s">
        <v>363</v>
      </c>
      <c r="T91" t="s">
        <v>333</v>
      </c>
      <c r="V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Q91">
        <v>182375</v>
      </c>
      <c r="AR91" t="b">
        <v>1</v>
      </c>
      <c r="AS91" t="b">
        <v>1</v>
      </c>
      <c r="AT91" t="b">
        <v>1</v>
      </c>
      <c r="AU91" t="b">
        <v>1</v>
      </c>
      <c r="AV91" t="b">
        <v>1</v>
      </c>
      <c r="AW91" t="b">
        <v>1</v>
      </c>
      <c r="AX91" t="b">
        <v>1</v>
      </c>
      <c r="BA91" t="s">
        <v>391</v>
      </c>
    </row>
    <row r="92" spans="1:53" x14ac:dyDescent="0.25">
      <c r="A92" t="s">
        <v>386</v>
      </c>
      <c r="B92">
        <v>1</v>
      </c>
      <c r="C92">
        <v>9</v>
      </c>
      <c r="D92">
        <v>1</v>
      </c>
      <c r="E92">
        <v>48211090</v>
      </c>
      <c r="F92">
        <v>297276</v>
      </c>
      <c r="G92" t="s">
        <v>317</v>
      </c>
      <c r="H92" t="s">
        <v>60</v>
      </c>
      <c r="I92" t="s">
        <v>60</v>
      </c>
      <c r="J92" t="s">
        <v>60</v>
      </c>
      <c r="K92" t="s">
        <v>60</v>
      </c>
      <c r="L92" t="s">
        <v>12</v>
      </c>
      <c r="M92">
        <v>70</v>
      </c>
      <c r="P92">
        <v>40</v>
      </c>
      <c r="Q92" t="s">
        <v>80</v>
      </c>
      <c r="R92" t="s">
        <v>415</v>
      </c>
      <c r="S92" t="s">
        <v>363</v>
      </c>
      <c r="T92" t="s">
        <v>333</v>
      </c>
      <c r="V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Q92">
        <v>182375</v>
      </c>
      <c r="AR92" t="b">
        <v>1</v>
      </c>
      <c r="AS92" t="b">
        <v>1</v>
      </c>
      <c r="AT92" t="b">
        <v>1</v>
      </c>
      <c r="AU92" t="b">
        <v>1</v>
      </c>
      <c r="AV92" t="b">
        <v>1</v>
      </c>
      <c r="AW92" t="b">
        <v>1</v>
      </c>
      <c r="AX92" t="b">
        <v>1</v>
      </c>
      <c r="BA92" t="s">
        <v>391</v>
      </c>
    </row>
    <row r="93" spans="1:53" x14ac:dyDescent="0.25">
      <c r="A93" t="s">
        <v>386</v>
      </c>
      <c r="B93">
        <v>1</v>
      </c>
      <c r="C93">
        <v>10</v>
      </c>
      <c r="D93">
        <v>1</v>
      </c>
      <c r="E93">
        <v>48211090</v>
      </c>
      <c r="F93">
        <v>297277</v>
      </c>
      <c r="G93" t="s">
        <v>318</v>
      </c>
      <c r="H93" t="s">
        <v>60</v>
      </c>
      <c r="I93" t="s">
        <v>60</v>
      </c>
      <c r="J93" t="s">
        <v>60</v>
      </c>
      <c r="K93" t="s">
        <v>60</v>
      </c>
      <c r="L93" t="s">
        <v>12</v>
      </c>
      <c r="M93">
        <v>50</v>
      </c>
      <c r="P93">
        <v>40</v>
      </c>
      <c r="Q93" t="s">
        <v>80</v>
      </c>
      <c r="R93" t="s">
        <v>415</v>
      </c>
      <c r="S93" t="s">
        <v>363</v>
      </c>
      <c r="T93" t="s">
        <v>333</v>
      </c>
      <c r="V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Q93">
        <v>182375</v>
      </c>
      <c r="AR93" t="b">
        <v>1</v>
      </c>
      <c r="AS93" t="b">
        <v>1</v>
      </c>
      <c r="AT93" t="b">
        <v>1</v>
      </c>
      <c r="AU93" t="b">
        <v>1</v>
      </c>
      <c r="AV93" t="b">
        <v>1</v>
      </c>
      <c r="AW93" t="b">
        <v>1</v>
      </c>
      <c r="AX93" t="b">
        <v>1</v>
      </c>
      <c r="BA93" t="s">
        <v>391</v>
      </c>
    </row>
    <row r="94" spans="1:53" x14ac:dyDescent="0.25">
      <c r="A94" t="s">
        <v>386</v>
      </c>
      <c r="B94">
        <v>1</v>
      </c>
      <c r="C94">
        <v>11</v>
      </c>
      <c r="D94">
        <v>1</v>
      </c>
      <c r="E94">
        <v>48211090</v>
      </c>
      <c r="F94">
        <v>297278</v>
      </c>
      <c r="G94" t="s">
        <v>319</v>
      </c>
      <c r="H94" t="s">
        <v>60</v>
      </c>
      <c r="I94" t="s">
        <v>60</v>
      </c>
      <c r="J94" t="s">
        <v>60</v>
      </c>
      <c r="K94" t="s">
        <v>60</v>
      </c>
      <c r="L94" t="s">
        <v>12</v>
      </c>
      <c r="M94">
        <v>50</v>
      </c>
      <c r="P94">
        <v>40</v>
      </c>
      <c r="Q94" t="s">
        <v>80</v>
      </c>
      <c r="R94" t="s">
        <v>415</v>
      </c>
      <c r="S94" t="s">
        <v>363</v>
      </c>
      <c r="T94" t="s">
        <v>333</v>
      </c>
      <c r="V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Q94">
        <v>182375</v>
      </c>
      <c r="AR94" t="b">
        <v>1</v>
      </c>
      <c r="AS94" t="b">
        <v>1</v>
      </c>
      <c r="AT94" t="b">
        <v>1</v>
      </c>
      <c r="AU94" t="b">
        <v>1</v>
      </c>
      <c r="AV94" t="b">
        <v>1</v>
      </c>
      <c r="AW94" t="b">
        <v>1</v>
      </c>
      <c r="AX94" t="b">
        <v>1</v>
      </c>
      <c r="BA94" t="s">
        <v>391</v>
      </c>
    </row>
    <row r="95" spans="1:53" x14ac:dyDescent="0.25">
      <c r="A95" t="s">
        <v>386</v>
      </c>
      <c r="B95">
        <v>1</v>
      </c>
      <c r="C95">
        <v>12</v>
      </c>
      <c r="D95">
        <v>1</v>
      </c>
      <c r="E95">
        <v>52081900</v>
      </c>
      <c r="F95">
        <v>275340</v>
      </c>
      <c r="G95" t="s">
        <v>312</v>
      </c>
      <c r="H95" t="s">
        <v>60</v>
      </c>
      <c r="I95" t="s">
        <v>60</v>
      </c>
      <c r="J95" t="s">
        <v>60</v>
      </c>
      <c r="K95" t="s">
        <v>60</v>
      </c>
      <c r="L95" t="s">
        <v>27</v>
      </c>
      <c r="M95">
        <v>9.4</v>
      </c>
      <c r="P95">
        <v>40</v>
      </c>
      <c r="Q95" t="s">
        <v>80</v>
      </c>
      <c r="R95" t="s">
        <v>410</v>
      </c>
      <c r="S95" t="s">
        <v>359</v>
      </c>
      <c r="T95" t="s">
        <v>328</v>
      </c>
      <c r="V95">
        <v>0</v>
      </c>
      <c r="Y95">
        <v>0</v>
      </c>
      <c r="Z95">
        <v>0</v>
      </c>
      <c r="AA95">
        <v>0</v>
      </c>
      <c r="AB95">
        <v>2255257.02</v>
      </c>
      <c r="AC95">
        <v>0</v>
      </c>
      <c r="AD95">
        <v>0</v>
      </c>
      <c r="AE95">
        <v>0</v>
      </c>
      <c r="AQ95">
        <v>182375</v>
      </c>
      <c r="AR95" t="b">
        <v>1</v>
      </c>
      <c r="AS95" t="b">
        <v>1</v>
      </c>
      <c r="AT95" t="b">
        <v>1</v>
      </c>
      <c r="AU95" t="b">
        <v>1</v>
      </c>
      <c r="AV95" t="b">
        <v>1</v>
      </c>
      <c r="AW95" t="b">
        <v>1</v>
      </c>
      <c r="AX95" t="b">
        <v>1</v>
      </c>
      <c r="BA95" t="s">
        <v>391</v>
      </c>
    </row>
    <row r="96" spans="1:53" x14ac:dyDescent="0.25">
      <c r="A96" t="s">
        <v>386</v>
      </c>
      <c r="B96">
        <v>1</v>
      </c>
      <c r="C96">
        <v>13</v>
      </c>
      <c r="D96">
        <v>1</v>
      </c>
      <c r="E96">
        <v>58062090</v>
      </c>
      <c r="F96">
        <v>248283</v>
      </c>
      <c r="G96" t="s">
        <v>313</v>
      </c>
      <c r="H96" t="s">
        <v>60</v>
      </c>
      <c r="I96" t="s">
        <v>60</v>
      </c>
      <c r="J96" t="s">
        <v>60</v>
      </c>
      <c r="K96" t="s">
        <v>60</v>
      </c>
      <c r="L96" t="s">
        <v>59</v>
      </c>
      <c r="M96">
        <v>5.0000000000000001E-3</v>
      </c>
      <c r="P96">
        <v>40</v>
      </c>
      <c r="Q96" t="s">
        <v>80</v>
      </c>
      <c r="R96" t="s">
        <v>411</v>
      </c>
      <c r="S96" t="s">
        <v>357</v>
      </c>
      <c r="T96" t="s">
        <v>329</v>
      </c>
      <c r="V96">
        <v>0</v>
      </c>
      <c r="Y96">
        <v>0</v>
      </c>
      <c r="Z96">
        <v>0</v>
      </c>
      <c r="AA96">
        <v>0</v>
      </c>
      <c r="AB96">
        <v>305</v>
      </c>
      <c r="AC96">
        <v>0</v>
      </c>
      <c r="AD96">
        <v>0</v>
      </c>
      <c r="AE96">
        <v>0</v>
      </c>
      <c r="AQ96">
        <v>182375</v>
      </c>
      <c r="AR96" t="b">
        <v>1</v>
      </c>
      <c r="AS96" t="b">
        <v>1</v>
      </c>
      <c r="AT96" t="b">
        <v>1</v>
      </c>
      <c r="AU96" t="b">
        <v>1</v>
      </c>
      <c r="AV96" t="b">
        <v>1</v>
      </c>
      <c r="AW96" t="b">
        <v>1</v>
      </c>
      <c r="AX96" t="b">
        <v>1</v>
      </c>
      <c r="BA96" t="s">
        <v>391</v>
      </c>
    </row>
    <row r="97" spans="1:53" x14ac:dyDescent="0.25">
      <c r="A97" t="s">
        <v>386</v>
      </c>
      <c r="B97">
        <v>1</v>
      </c>
      <c r="C97">
        <v>14</v>
      </c>
      <c r="D97">
        <v>1</v>
      </c>
      <c r="E97">
        <v>58062090</v>
      </c>
      <c r="F97">
        <v>248283</v>
      </c>
      <c r="G97" t="s">
        <v>313</v>
      </c>
      <c r="H97" t="s">
        <v>60</v>
      </c>
      <c r="I97" t="s">
        <v>60</v>
      </c>
      <c r="J97" t="s">
        <v>60</v>
      </c>
      <c r="K97" t="s">
        <v>60</v>
      </c>
      <c r="L97" t="s">
        <v>59</v>
      </c>
      <c r="M97">
        <v>0.01</v>
      </c>
      <c r="P97">
        <v>40</v>
      </c>
      <c r="Q97" t="s">
        <v>80</v>
      </c>
      <c r="R97" t="s">
        <v>412</v>
      </c>
      <c r="S97" t="s">
        <v>360</v>
      </c>
      <c r="T97" t="s">
        <v>330</v>
      </c>
      <c r="V97">
        <v>0</v>
      </c>
      <c r="Y97">
        <v>0</v>
      </c>
      <c r="Z97">
        <v>0</v>
      </c>
      <c r="AA97">
        <v>0</v>
      </c>
      <c r="AB97">
        <v>640</v>
      </c>
      <c r="AC97">
        <v>0</v>
      </c>
      <c r="AD97">
        <v>0</v>
      </c>
      <c r="AE97">
        <v>0</v>
      </c>
      <c r="AQ97">
        <v>182375</v>
      </c>
      <c r="AR97" t="b">
        <v>1</v>
      </c>
      <c r="AS97" t="b">
        <v>1</v>
      </c>
      <c r="AT97" t="b">
        <v>1</v>
      </c>
      <c r="AU97" t="b">
        <v>1</v>
      </c>
      <c r="AV97" t="b">
        <v>1</v>
      </c>
      <c r="AW97" t="b">
        <v>1</v>
      </c>
      <c r="AX97" t="b">
        <v>1</v>
      </c>
      <c r="BA97" t="s">
        <v>391</v>
      </c>
    </row>
    <row r="98" spans="1:53" x14ac:dyDescent="0.25">
      <c r="A98" t="s">
        <v>386</v>
      </c>
      <c r="B98">
        <v>1</v>
      </c>
      <c r="C98">
        <v>15</v>
      </c>
      <c r="D98">
        <v>1</v>
      </c>
      <c r="E98">
        <v>58062090</v>
      </c>
      <c r="F98">
        <v>248283</v>
      </c>
      <c r="G98" t="s">
        <v>313</v>
      </c>
      <c r="H98" t="s">
        <v>60</v>
      </c>
      <c r="I98" t="s">
        <v>60</v>
      </c>
      <c r="J98" t="s">
        <v>60</v>
      </c>
      <c r="K98" t="s">
        <v>60</v>
      </c>
      <c r="L98" t="s">
        <v>59</v>
      </c>
      <c r="M98">
        <v>0.01</v>
      </c>
      <c r="P98">
        <v>40</v>
      </c>
      <c r="Q98" t="s">
        <v>80</v>
      </c>
      <c r="R98" t="s">
        <v>413</v>
      </c>
      <c r="S98" t="s">
        <v>361</v>
      </c>
      <c r="T98" t="s">
        <v>331</v>
      </c>
      <c r="V98">
        <v>0</v>
      </c>
      <c r="Y98">
        <v>0</v>
      </c>
      <c r="Z98">
        <v>0</v>
      </c>
      <c r="AA98">
        <v>0</v>
      </c>
      <c r="AB98">
        <v>640</v>
      </c>
      <c r="AC98">
        <v>0</v>
      </c>
      <c r="AD98">
        <v>0</v>
      </c>
      <c r="AE98">
        <v>0</v>
      </c>
      <c r="AQ98">
        <v>182375</v>
      </c>
      <c r="AR98" t="b">
        <v>1</v>
      </c>
      <c r="AS98" t="b">
        <v>1</v>
      </c>
      <c r="AT98" t="b">
        <v>1</v>
      </c>
      <c r="AU98" t="b">
        <v>1</v>
      </c>
      <c r="AV98" t="b">
        <v>1</v>
      </c>
      <c r="AW98" t="b">
        <v>1</v>
      </c>
      <c r="AX98" t="b">
        <v>1</v>
      </c>
      <c r="BA98" t="s">
        <v>391</v>
      </c>
    </row>
    <row r="99" spans="1:53" x14ac:dyDescent="0.25">
      <c r="A99" t="s">
        <v>386</v>
      </c>
      <c r="B99">
        <v>1</v>
      </c>
      <c r="C99">
        <v>16</v>
      </c>
      <c r="D99">
        <v>1</v>
      </c>
      <c r="E99">
        <v>58062090</v>
      </c>
      <c r="F99">
        <v>248283</v>
      </c>
      <c r="G99" t="s">
        <v>314</v>
      </c>
      <c r="H99" t="s">
        <v>60</v>
      </c>
      <c r="I99" t="s">
        <v>60</v>
      </c>
      <c r="J99" t="s">
        <v>60</v>
      </c>
      <c r="K99" t="s">
        <v>60</v>
      </c>
      <c r="L99" t="s">
        <v>59</v>
      </c>
      <c r="M99">
        <v>0.01</v>
      </c>
      <c r="P99">
        <v>40</v>
      </c>
      <c r="Q99" t="s">
        <v>80</v>
      </c>
      <c r="R99" t="s">
        <v>414</v>
      </c>
      <c r="S99" t="s">
        <v>362</v>
      </c>
      <c r="T99" t="s">
        <v>332</v>
      </c>
      <c r="V99">
        <v>0</v>
      </c>
      <c r="Y99">
        <v>0</v>
      </c>
      <c r="Z99">
        <v>0</v>
      </c>
      <c r="AA99">
        <v>0</v>
      </c>
      <c r="AB99">
        <v>640</v>
      </c>
      <c r="AC99">
        <v>0</v>
      </c>
      <c r="AD99">
        <v>0</v>
      </c>
      <c r="AE99">
        <v>0</v>
      </c>
      <c r="AQ99">
        <v>182375</v>
      </c>
      <c r="AR99" t="b">
        <v>1</v>
      </c>
      <c r="AS99" t="b">
        <v>1</v>
      </c>
      <c r="AT99" t="b">
        <v>1</v>
      </c>
      <c r="AU99" t="b">
        <v>1</v>
      </c>
      <c r="AV99" t="b">
        <v>1</v>
      </c>
      <c r="AW99" t="b">
        <v>1</v>
      </c>
      <c r="AX99" t="b">
        <v>1</v>
      </c>
      <c r="BA99" t="s">
        <v>391</v>
      </c>
    </row>
    <row r="100" spans="1:53" x14ac:dyDescent="0.25">
      <c r="A100" t="s">
        <v>386</v>
      </c>
      <c r="B100">
        <v>1</v>
      </c>
      <c r="C100">
        <v>17</v>
      </c>
      <c r="D100">
        <v>1</v>
      </c>
      <c r="E100">
        <v>48211090</v>
      </c>
      <c r="F100">
        <v>297274</v>
      </c>
      <c r="G100" t="s">
        <v>315</v>
      </c>
      <c r="H100" t="s">
        <v>60</v>
      </c>
      <c r="I100" t="s">
        <v>60</v>
      </c>
      <c r="J100" t="s">
        <v>60</v>
      </c>
      <c r="K100" t="s">
        <v>60</v>
      </c>
      <c r="L100" t="s">
        <v>12</v>
      </c>
      <c r="M100">
        <v>200</v>
      </c>
      <c r="P100">
        <v>40</v>
      </c>
      <c r="Q100" t="s">
        <v>80</v>
      </c>
      <c r="R100" t="s">
        <v>415</v>
      </c>
      <c r="S100" t="s">
        <v>363</v>
      </c>
      <c r="T100" t="s">
        <v>333</v>
      </c>
      <c r="V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Q100">
        <v>182375</v>
      </c>
      <c r="AR100" t="b">
        <v>1</v>
      </c>
      <c r="AS100" t="b">
        <v>1</v>
      </c>
      <c r="AT100" t="b">
        <v>1</v>
      </c>
      <c r="AU100" t="b">
        <v>1</v>
      </c>
      <c r="AV100" t="b">
        <v>1</v>
      </c>
      <c r="AW100" t="b">
        <v>1</v>
      </c>
      <c r="AX100" t="b">
        <v>1</v>
      </c>
      <c r="BA100" t="s">
        <v>391</v>
      </c>
    </row>
    <row r="101" spans="1:53" x14ac:dyDescent="0.25">
      <c r="A101" t="s">
        <v>386</v>
      </c>
      <c r="B101">
        <v>1</v>
      </c>
      <c r="C101">
        <v>18</v>
      </c>
      <c r="D101">
        <v>1</v>
      </c>
      <c r="E101">
        <v>48211090</v>
      </c>
      <c r="F101">
        <v>297275</v>
      </c>
      <c r="G101" t="s">
        <v>316</v>
      </c>
      <c r="H101" t="s">
        <v>60</v>
      </c>
      <c r="I101" t="s">
        <v>60</v>
      </c>
      <c r="J101" t="s">
        <v>60</v>
      </c>
      <c r="K101" t="s">
        <v>60</v>
      </c>
      <c r="L101" t="s">
        <v>12</v>
      </c>
      <c r="M101">
        <v>30</v>
      </c>
      <c r="P101">
        <v>40</v>
      </c>
      <c r="Q101" t="s">
        <v>80</v>
      </c>
      <c r="R101" t="s">
        <v>415</v>
      </c>
      <c r="S101" t="s">
        <v>363</v>
      </c>
      <c r="T101" t="s">
        <v>333</v>
      </c>
      <c r="V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Q101">
        <v>182375</v>
      </c>
      <c r="AR101" t="b">
        <v>1</v>
      </c>
      <c r="AS101" t="b">
        <v>1</v>
      </c>
      <c r="AT101" t="b">
        <v>1</v>
      </c>
      <c r="AU101" t="b">
        <v>1</v>
      </c>
      <c r="AV101" t="b">
        <v>1</v>
      </c>
      <c r="AW101" t="b">
        <v>1</v>
      </c>
      <c r="AX101" t="b">
        <v>1</v>
      </c>
      <c r="BA101" t="s">
        <v>391</v>
      </c>
    </row>
    <row r="102" spans="1:53" x14ac:dyDescent="0.25">
      <c r="A102" t="s">
        <v>386</v>
      </c>
      <c r="B102">
        <v>1</v>
      </c>
      <c r="C102">
        <v>19</v>
      </c>
      <c r="D102">
        <v>1</v>
      </c>
      <c r="E102">
        <v>48211090</v>
      </c>
      <c r="F102">
        <v>297276</v>
      </c>
      <c r="G102" t="s">
        <v>317</v>
      </c>
      <c r="H102" t="s">
        <v>60</v>
      </c>
      <c r="I102" t="s">
        <v>60</v>
      </c>
      <c r="J102" t="s">
        <v>60</v>
      </c>
      <c r="K102" t="s">
        <v>60</v>
      </c>
      <c r="L102" t="s">
        <v>12</v>
      </c>
      <c r="M102">
        <v>70</v>
      </c>
      <c r="P102">
        <v>40</v>
      </c>
      <c r="Q102" t="s">
        <v>80</v>
      </c>
      <c r="R102" t="s">
        <v>415</v>
      </c>
      <c r="S102" t="s">
        <v>363</v>
      </c>
      <c r="T102" t="s">
        <v>333</v>
      </c>
      <c r="V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Q102">
        <v>182375</v>
      </c>
      <c r="AR102" t="b">
        <v>1</v>
      </c>
      <c r="AS102" t="b">
        <v>1</v>
      </c>
      <c r="AT102" t="b">
        <v>1</v>
      </c>
      <c r="AU102" t="b">
        <v>1</v>
      </c>
      <c r="AV102" t="b">
        <v>1</v>
      </c>
      <c r="AW102" t="b">
        <v>1</v>
      </c>
      <c r="AX102" t="b">
        <v>1</v>
      </c>
      <c r="BA102" t="s">
        <v>391</v>
      </c>
    </row>
    <row r="103" spans="1:53" x14ac:dyDescent="0.25">
      <c r="A103" t="s">
        <v>386</v>
      </c>
      <c r="B103">
        <v>1</v>
      </c>
      <c r="C103">
        <v>20</v>
      </c>
      <c r="D103">
        <v>1</v>
      </c>
      <c r="E103">
        <v>48211090</v>
      </c>
      <c r="F103">
        <v>297277</v>
      </c>
      <c r="G103" t="s">
        <v>318</v>
      </c>
      <c r="H103" t="s">
        <v>60</v>
      </c>
      <c r="I103" t="s">
        <v>60</v>
      </c>
      <c r="J103" t="s">
        <v>60</v>
      </c>
      <c r="K103" t="s">
        <v>60</v>
      </c>
      <c r="L103" t="s">
        <v>12</v>
      </c>
      <c r="M103">
        <v>50</v>
      </c>
      <c r="P103">
        <v>40</v>
      </c>
      <c r="Q103" t="s">
        <v>80</v>
      </c>
      <c r="R103" t="s">
        <v>415</v>
      </c>
      <c r="S103" t="s">
        <v>363</v>
      </c>
      <c r="T103" t="s">
        <v>333</v>
      </c>
      <c r="V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Q103">
        <v>182375</v>
      </c>
      <c r="AR103" t="b">
        <v>1</v>
      </c>
      <c r="AS103" t="b">
        <v>1</v>
      </c>
      <c r="AT103" t="b">
        <v>1</v>
      </c>
      <c r="AU103" t="b">
        <v>1</v>
      </c>
      <c r="AV103" t="b">
        <v>1</v>
      </c>
      <c r="AW103" t="b">
        <v>1</v>
      </c>
      <c r="AX103" t="b">
        <v>1</v>
      </c>
      <c r="BA103" t="s">
        <v>391</v>
      </c>
    </row>
    <row r="104" spans="1:53" x14ac:dyDescent="0.25">
      <c r="A104" t="s">
        <v>386</v>
      </c>
      <c r="B104">
        <v>1</v>
      </c>
      <c r="C104">
        <v>21</v>
      </c>
      <c r="D104">
        <v>1</v>
      </c>
      <c r="E104">
        <v>48211090</v>
      </c>
      <c r="F104">
        <v>297278</v>
      </c>
      <c r="G104" t="s">
        <v>319</v>
      </c>
      <c r="H104" t="s">
        <v>60</v>
      </c>
      <c r="I104" t="s">
        <v>60</v>
      </c>
      <c r="J104" t="s">
        <v>60</v>
      </c>
      <c r="K104" t="s">
        <v>60</v>
      </c>
      <c r="L104" t="s">
        <v>12</v>
      </c>
      <c r="M104">
        <v>50</v>
      </c>
      <c r="P104">
        <v>40</v>
      </c>
      <c r="Q104" t="s">
        <v>80</v>
      </c>
      <c r="R104" t="s">
        <v>415</v>
      </c>
      <c r="S104" t="s">
        <v>363</v>
      </c>
      <c r="T104" t="s">
        <v>333</v>
      </c>
      <c r="V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Q104">
        <v>182375</v>
      </c>
      <c r="AR104" t="b">
        <v>1</v>
      </c>
      <c r="AS104" t="b">
        <v>1</v>
      </c>
      <c r="AT104" t="b">
        <v>1</v>
      </c>
      <c r="AU104" t="b">
        <v>1</v>
      </c>
      <c r="AV104" t="b">
        <v>1</v>
      </c>
      <c r="AW104" t="b">
        <v>1</v>
      </c>
      <c r="AX104" t="b">
        <v>1</v>
      </c>
      <c r="BA104" t="s">
        <v>391</v>
      </c>
    </row>
    <row r="105" spans="1:53" x14ac:dyDescent="0.25">
      <c r="A105" t="s">
        <v>386</v>
      </c>
      <c r="B105">
        <v>3</v>
      </c>
      <c r="C105">
        <v>1</v>
      </c>
      <c r="D105">
        <v>1</v>
      </c>
      <c r="E105">
        <v>52081900</v>
      </c>
      <c r="F105">
        <v>274799</v>
      </c>
      <c r="G105" t="s">
        <v>311</v>
      </c>
      <c r="H105" t="s">
        <v>60</v>
      </c>
      <c r="I105" t="s">
        <v>60</v>
      </c>
      <c r="J105" t="s">
        <v>60</v>
      </c>
      <c r="K105" t="s">
        <v>60</v>
      </c>
      <c r="L105" t="s">
        <v>27</v>
      </c>
      <c r="M105">
        <v>5.8</v>
      </c>
      <c r="P105">
        <v>40</v>
      </c>
      <c r="Q105" t="s">
        <v>80</v>
      </c>
      <c r="R105" t="s">
        <v>409</v>
      </c>
      <c r="S105" t="s">
        <v>358</v>
      </c>
      <c r="T105" t="s">
        <v>327</v>
      </c>
      <c r="V105">
        <v>0</v>
      </c>
      <c r="Y105">
        <v>0</v>
      </c>
      <c r="Z105">
        <v>0</v>
      </c>
      <c r="AA105">
        <v>0</v>
      </c>
      <c r="AB105">
        <v>1391541.57</v>
      </c>
      <c r="AC105">
        <v>0</v>
      </c>
      <c r="AD105">
        <v>0</v>
      </c>
      <c r="AE105">
        <v>0</v>
      </c>
      <c r="AQ105">
        <v>182376</v>
      </c>
      <c r="AR105" t="b">
        <v>1</v>
      </c>
      <c r="AS105" t="b">
        <v>1</v>
      </c>
      <c r="AT105" t="b">
        <v>1</v>
      </c>
      <c r="AU105" t="b">
        <v>1</v>
      </c>
      <c r="AV105" t="b">
        <v>1</v>
      </c>
      <c r="AW105" t="b">
        <v>1</v>
      </c>
      <c r="AX105" t="b">
        <v>1</v>
      </c>
      <c r="BA105" t="s">
        <v>402</v>
      </c>
    </row>
    <row r="106" spans="1:53" x14ac:dyDescent="0.25">
      <c r="A106" t="s">
        <v>386</v>
      </c>
      <c r="B106">
        <v>3</v>
      </c>
      <c r="C106">
        <v>2</v>
      </c>
      <c r="D106">
        <v>1</v>
      </c>
      <c r="E106">
        <v>52081900</v>
      </c>
      <c r="F106">
        <v>275340</v>
      </c>
      <c r="G106" t="s">
        <v>312</v>
      </c>
      <c r="H106" t="s">
        <v>60</v>
      </c>
      <c r="I106" t="s">
        <v>60</v>
      </c>
      <c r="J106" t="s">
        <v>60</v>
      </c>
      <c r="K106" t="s">
        <v>60</v>
      </c>
      <c r="L106" t="s">
        <v>27</v>
      </c>
      <c r="M106">
        <v>5.8</v>
      </c>
      <c r="P106">
        <v>40</v>
      </c>
      <c r="Q106" t="s">
        <v>80</v>
      </c>
      <c r="R106" t="s">
        <v>410</v>
      </c>
      <c r="S106" t="s">
        <v>359</v>
      </c>
      <c r="T106" t="s">
        <v>328</v>
      </c>
      <c r="V106">
        <v>0</v>
      </c>
      <c r="Y106">
        <v>0</v>
      </c>
      <c r="Z106">
        <v>0</v>
      </c>
      <c r="AA106">
        <v>0</v>
      </c>
      <c r="AB106">
        <v>1391541.57</v>
      </c>
      <c r="AC106">
        <v>0</v>
      </c>
      <c r="AD106">
        <v>0</v>
      </c>
      <c r="AE106">
        <v>0</v>
      </c>
      <c r="AQ106">
        <v>182376</v>
      </c>
      <c r="AR106" t="b">
        <v>1</v>
      </c>
      <c r="AS106" t="b">
        <v>1</v>
      </c>
      <c r="AT106" t="b">
        <v>1</v>
      </c>
      <c r="AU106" t="b">
        <v>1</v>
      </c>
      <c r="AV106" t="b">
        <v>1</v>
      </c>
      <c r="AW106" t="b">
        <v>1</v>
      </c>
      <c r="AX106" t="b">
        <v>1</v>
      </c>
      <c r="BA106" t="s">
        <v>402</v>
      </c>
    </row>
    <row r="107" spans="1:53" x14ac:dyDescent="0.25">
      <c r="A107" t="s">
        <v>386</v>
      </c>
      <c r="B107">
        <v>3</v>
      </c>
      <c r="C107">
        <v>3</v>
      </c>
      <c r="D107">
        <v>1</v>
      </c>
      <c r="E107">
        <v>58062090</v>
      </c>
      <c r="F107">
        <v>262938</v>
      </c>
      <c r="G107" t="s">
        <v>320</v>
      </c>
      <c r="H107" t="s">
        <v>60</v>
      </c>
      <c r="I107" t="s">
        <v>60</v>
      </c>
      <c r="J107" t="s">
        <v>60</v>
      </c>
      <c r="K107" t="s">
        <v>60</v>
      </c>
      <c r="L107" t="s">
        <v>59</v>
      </c>
      <c r="M107">
        <v>0.39500000000000002</v>
      </c>
      <c r="P107">
        <v>40</v>
      </c>
      <c r="Q107" t="s">
        <v>80</v>
      </c>
      <c r="R107" t="s">
        <v>416</v>
      </c>
      <c r="S107" t="s">
        <v>360</v>
      </c>
      <c r="T107" t="s">
        <v>334</v>
      </c>
      <c r="V107">
        <v>0</v>
      </c>
      <c r="Y107">
        <v>0</v>
      </c>
      <c r="Z107">
        <v>0</v>
      </c>
      <c r="AA107">
        <v>0</v>
      </c>
      <c r="AB107">
        <v>32390</v>
      </c>
      <c r="AC107">
        <v>0</v>
      </c>
      <c r="AD107">
        <v>0</v>
      </c>
      <c r="AE107">
        <v>0</v>
      </c>
      <c r="AQ107">
        <v>182376</v>
      </c>
      <c r="AR107" t="b">
        <v>1</v>
      </c>
      <c r="AS107" t="b">
        <v>1</v>
      </c>
      <c r="AT107" t="b">
        <v>1</v>
      </c>
      <c r="AU107" t="b">
        <v>1</v>
      </c>
      <c r="AV107" t="b">
        <v>1</v>
      </c>
      <c r="AW107" t="b">
        <v>1</v>
      </c>
      <c r="AX107" t="b">
        <v>1</v>
      </c>
      <c r="BA107" t="s">
        <v>402</v>
      </c>
    </row>
    <row r="108" spans="1:53" x14ac:dyDescent="0.25">
      <c r="A108" t="s">
        <v>386</v>
      </c>
      <c r="B108">
        <v>3</v>
      </c>
      <c r="C108">
        <v>4</v>
      </c>
      <c r="D108">
        <v>1</v>
      </c>
      <c r="E108">
        <v>58061090</v>
      </c>
      <c r="F108">
        <v>262938</v>
      </c>
      <c r="G108" t="s">
        <v>320</v>
      </c>
      <c r="H108" t="s">
        <v>60</v>
      </c>
      <c r="I108" t="s">
        <v>60</v>
      </c>
      <c r="J108" t="s">
        <v>60</v>
      </c>
      <c r="K108" t="s">
        <v>60</v>
      </c>
      <c r="L108" t="s">
        <v>59</v>
      </c>
      <c r="M108">
        <v>0.2</v>
      </c>
      <c r="P108">
        <v>40</v>
      </c>
      <c r="Q108" t="s">
        <v>80</v>
      </c>
      <c r="R108" t="s">
        <v>417</v>
      </c>
      <c r="S108" t="s">
        <v>364</v>
      </c>
      <c r="T108" t="s">
        <v>335</v>
      </c>
      <c r="V108">
        <v>0</v>
      </c>
      <c r="Y108">
        <v>0</v>
      </c>
      <c r="Z108">
        <v>0</v>
      </c>
      <c r="AA108">
        <v>0</v>
      </c>
      <c r="AB108">
        <v>16400</v>
      </c>
      <c r="AC108">
        <v>0</v>
      </c>
      <c r="AD108">
        <v>0</v>
      </c>
      <c r="AE108">
        <v>0</v>
      </c>
      <c r="AQ108">
        <v>182376</v>
      </c>
      <c r="AR108" t="b">
        <v>1</v>
      </c>
      <c r="AS108" t="b">
        <v>1</v>
      </c>
      <c r="AT108" t="b">
        <v>1</v>
      </c>
      <c r="AU108" t="b">
        <v>1</v>
      </c>
      <c r="AV108" t="b">
        <v>1</v>
      </c>
      <c r="AW108" t="b">
        <v>1</v>
      </c>
      <c r="AX108" t="b">
        <v>1</v>
      </c>
      <c r="BA108" t="s">
        <v>402</v>
      </c>
    </row>
    <row r="109" spans="1:53" x14ac:dyDescent="0.25">
      <c r="A109" t="s">
        <v>386</v>
      </c>
      <c r="B109">
        <v>3</v>
      </c>
      <c r="C109">
        <v>5</v>
      </c>
      <c r="D109">
        <v>1</v>
      </c>
      <c r="E109">
        <v>58062090</v>
      </c>
      <c r="F109">
        <v>262938</v>
      </c>
      <c r="G109" t="s">
        <v>321</v>
      </c>
      <c r="H109" t="s">
        <v>60</v>
      </c>
      <c r="I109" t="s">
        <v>60</v>
      </c>
      <c r="J109" t="s">
        <v>60</v>
      </c>
      <c r="K109" t="s">
        <v>60</v>
      </c>
      <c r="L109" t="s">
        <v>59</v>
      </c>
      <c r="M109">
        <v>0.39</v>
      </c>
      <c r="P109">
        <v>40</v>
      </c>
      <c r="Q109" t="s">
        <v>80</v>
      </c>
      <c r="R109" t="s">
        <v>418</v>
      </c>
      <c r="S109" t="s">
        <v>365</v>
      </c>
      <c r="T109" t="s">
        <v>336</v>
      </c>
      <c r="V109">
        <v>0</v>
      </c>
      <c r="Y109">
        <v>0</v>
      </c>
      <c r="Z109">
        <v>0</v>
      </c>
      <c r="AA109">
        <v>0</v>
      </c>
      <c r="AB109">
        <v>31980</v>
      </c>
      <c r="AC109">
        <v>0</v>
      </c>
      <c r="AD109">
        <v>0</v>
      </c>
      <c r="AE109">
        <v>0</v>
      </c>
      <c r="AQ109">
        <v>182376</v>
      </c>
      <c r="AR109" t="b">
        <v>1</v>
      </c>
      <c r="AS109" t="b">
        <v>1</v>
      </c>
      <c r="AT109" t="b">
        <v>1</v>
      </c>
      <c r="AU109" t="b">
        <v>1</v>
      </c>
      <c r="AV109" t="b">
        <v>1</v>
      </c>
      <c r="AW109" t="b">
        <v>1</v>
      </c>
      <c r="AX109" t="b">
        <v>1</v>
      </c>
      <c r="BA109" t="s">
        <v>402</v>
      </c>
    </row>
    <row r="110" spans="1:53" x14ac:dyDescent="0.25">
      <c r="A110" t="s">
        <v>386</v>
      </c>
      <c r="B110">
        <v>3</v>
      </c>
      <c r="C110">
        <v>6</v>
      </c>
      <c r="D110">
        <v>1</v>
      </c>
      <c r="E110">
        <v>48211090</v>
      </c>
      <c r="F110">
        <v>297274</v>
      </c>
      <c r="G110" t="s">
        <v>315</v>
      </c>
      <c r="H110" t="s">
        <v>60</v>
      </c>
      <c r="I110" t="s">
        <v>60</v>
      </c>
      <c r="J110" t="s">
        <v>60</v>
      </c>
      <c r="K110" t="s">
        <v>60</v>
      </c>
      <c r="L110" t="s">
        <v>12</v>
      </c>
      <c r="M110">
        <v>100</v>
      </c>
      <c r="P110">
        <v>40</v>
      </c>
      <c r="Q110" t="s">
        <v>80</v>
      </c>
      <c r="R110" t="s">
        <v>415</v>
      </c>
      <c r="S110" t="s">
        <v>363</v>
      </c>
      <c r="T110" t="s">
        <v>333</v>
      </c>
      <c r="V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Q110">
        <v>182376</v>
      </c>
      <c r="AR110" t="b">
        <v>1</v>
      </c>
      <c r="AS110" t="b">
        <v>1</v>
      </c>
      <c r="AT110" t="b">
        <v>1</v>
      </c>
      <c r="AU110" t="b">
        <v>1</v>
      </c>
      <c r="AV110" t="b">
        <v>1</v>
      </c>
      <c r="AW110" t="b">
        <v>1</v>
      </c>
      <c r="AX110" t="b">
        <v>1</v>
      </c>
      <c r="BA110" t="s">
        <v>402</v>
      </c>
    </row>
    <row r="111" spans="1:53" x14ac:dyDescent="0.25">
      <c r="A111" t="s">
        <v>386</v>
      </c>
      <c r="B111">
        <v>3</v>
      </c>
      <c r="C111">
        <v>7</v>
      </c>
      <c r="D111">
        <v>1</v>
      </c>
      <c r="E111">
        <v>48211090</v>
      </c>
      <c r="F111">
        <v>297275</v>
      </c>
      <c r="G111" t="s">
        <v>316</v>
      </c>
      <c r="H111" t="s">
        <v>60</v>
      </c>
      <c r="I111" t="s">
        <v>60</v>
      </c>
      <c r="J111" t="s">
        <v>60</v>
      </c>
      <c r="K111" t="s">
        <v>60</v>
      </c>
      <c r="L111" t="s">
        <v>12</v>
      </c>
      <c r="M111">
        <v>15</v>
      </c>
      <c r="P111">
        <v>40</v>
      </c>
      <c r="Q111" t="s">
        <v>80</v>
      </c>
      <c r="R111" t="s">
        <v>415</v>
      </c>
      <c r="S111" t="s">
        <v>363</v>
      </c>
      <c r="T111" t="s">
        <v>333</v>
      </c>
      <c r="V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Q111">
        <v>182376</v>
      </c>
      <c r="AR111" t="b">
        <v>1</v>
      </c>
      <c r="AS111" t="b">
        <v>1</v>
      </c>
      <c r="AT111" t="b">
        <v>1</v>
      </c>
      <c r="AU111" t="b">
        <v>1</v>
      </c>
      <c r="AV111" t="b">
        <v>1</v>
      </c>
      <c r="AW111" t="b">
        <v>1</v>
      </c>
      <c r="AX111" t="b">
        <v>1</v>
      </c>
      <c r="BA111" t="s">
        <v>402</v>
      </c>
    </row>
    <row r="112" spans="1:53" x14ac:dyDescent="0.25">
      <c r="A112" t="s">
        <v>386</v>
      </c>
      <c r="B112">
        <v>3</v>
      </c>
      <c r="C112">
        <v>8</v>
      </c>
      <c r="D112">
        <v>1</v>
      </c>
      <c r="E112">
        <v>48211090</v>
      </c>
      <c r="F112">
        <v>297276</v>
      </c>
      <c r="G112" t="s">
        <v>317</v>
      </c>
      <c r="H112" t="s">
        <v>60</v>
      </c>
      <c r="I112" t="s">
        <v>60</v>
      </c>
      <c r="J112" t="s">
        <v>60</v>
      </c>
      <c r="K112" t="s">
        <v>60</v>
      </c>
      <c r="L112" t="s">
        <v>12</v>
      </c>
      <c r="M112">
        <v>35</v>
      </c>
      <c r="P112">
        <v>40</v>
      </c>
      <c r="Q112" t="s">
        <v>80</v>
      </c>
      <c r="R112" t="s">
        <v>415</v>
      </c>
      <c r="S112" t="s">
        <v>363</v>
      </c>
      <c r="T112" t="s">
        <v>333</v>
      </c>
      <c r="V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Q112">
        <v>182376</v>
      </c>
      <c r="AR112" t="b">
        <v>1</v>
      </c>
      <c r="AS112" t="b">
        <v>1</v>
      </c>
      <c r="AT112" t="b">
        <v>1</v>
      </c>
      <c r="AU112" t="b">
        <v>1</v>
      </c>
      <c r="AV112" t="b">
        <v>1</v>
      </c>
      <c r="AW112" t="b">
        <v>1</v>
      </c>
      <c r="AX112" t="b">
        <v>1</v>
      </c>
      <c r="BA112" t="s">
        <v>402</v>
      </c>
    </row>
    <row r="113" spans="1:53" x14ac:dyDescent="0.25">
      <c r="A113" t="s">
        <v>386</v>
      </c>
      <c r="B113">
        <v>3</v>
      </c>
      <c r="C113">
        <v>9</v>
      </c>
      <c r="D113">
        <v>1</v>
      </c>
      <c r="E113">
        <v>48211090</v>
      </c>
      <c r="F113">
        <v>297277</v>
      </c>
      <c r="G113" t="s">
        <v>318</v>
      </c>
      <c r="H113" t="s">
        <v>60</v>
      </c>
      <c r="I113" t="s">
        <v>60</v>
      </c>
      <c r="J113" t="s">
        <v>60</v>
      </c>
      <c r="K113" t="s">
        <v>60</v>
      </c>
      <c r="L113" t="s">
        <v>12</v>
      </c>
      <c r="M113">
        <v>25</v>
      </c>
      <c r="P113">
        <v>40</v>
      </c>
      <c r="Q113" t="s">
        <v>80</v>
      </c>
      <c r="R113" t="s">
        <v>415</v>
      </c>
      <c r="S113" t="s">
        <v>363</v>
      </c>
      <c r="T113" t="s">
        <v>333</v>
      </c>
      <c r="V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Q113">
        <v>182376</v>
      </c>
      <c r="AR113" t="b">
        <v>1</v>
      </c>
      <c r="AS113" t="b">
        <v>1</v>
      </c>
      <c r="AT113" t="b">
        <v>1</v>
      </c>
      <c r="AU113" t="b">
        <v>1</v>
      </c>
      <c r="AV113" t="b">
        <v>1</v>
      </c>
      <c r="AW113" t="b">
        <v>1</v>
      </c>
      <c r="AX113" t="b">
        <v>1</v>
      </c>
      <c r="BA113" t="s">
        <v>402</v>
      </c>
    </row>
    <row r="114" spans="1:53" x14ac:dyDescent="0.25">
      <c r="A114" t="s">
        <v>386</v>
      </c>
      <c r="B114">
        <v>3</v>
      </c>
      <c r="C114">
        <v>10</v>
      </c>
      <c r="D114">
        <v>1</v>
      </c>
      <c r="E114">
        <v>48211090</v>
      </c>
      <c r="F114">
        <v>297278</v>
      </c>
      <c r="G114" t="s">
        <v>319</v>
      </c>
      <c r="H114" t="s">
        <v>60</v>
      </c>
      <c r="I114" t="s">
        <v>60</v>
      </c>
      <c r="J114" t="s">
        <v>60</v>
      </c>
      <c r="K114" t="s">
        <v>60</v>
      </c>
      <c r="L114" t="s">
        <v>12</v>
      </c>
      <c r="M114">
        <v>25</v>
      </c>
      <c r="P114">
        <v>40</v>
      </c>
      <c r="Q114" t="s">
        <v>80</v>
      </c>
      <c r="R114" t="s">
        <v>415</v>
      </c>
      <c r="S114" t="s">
        <v>363</v>
      </c>
      <c r="T114" t="s">
        <v>333</v>
      </c>
      <c r="V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Q114">
        <v>182376</v>
      </c>
      <c r="AR114" t="b">
        <v>1</v>
      </c>
      <c r="AS114" t="b">
        <v>1</v>
      </c>
      <c r="AT114" t="b">
        <v>1</v>
      </c>
      <c r="AU114" t="b">
        <v>1</v>
      </c>
      <c r="AV114" t="b">
        <v>1</v>
      </c>
      <c r="AW114" t="b">
        <v>1</v>
      </c>
      <c r="AX114" t="b">
        <v>1</v>
      </c>
      <c r="BA114" t="s">
        <v>402</v>
      </c>
    </row>
    <row r="115" spans="1:53" x14ac:dyDescent="0.25">
      <c r="A115" t="s">
        <v>386</v>
      </c>
      <c r="B115">
        <v>5</v>
      </c>
      <c r="C115">
        <v>1</v>
      </c>
      <c r="D115">
        <v>1</v>
      </c>
      <c r="E115">
        <v>52081900</v>
      </c>
      <c r="F115">
        <v>274799</v>
      </c>
      <c r="G115" t="s">
        <v>311</v>
      </c>
      <c r="H115" t="s">
        <v>60</v>
      </c>
      <c r="I115" t="s">
        <v>60</v>
      </c>
      <c r="J115" t="s">
        <v>60</v>
      </c>
      <c r="K115" t="s">
        <v>60</v>
      </c>
      <c r="L115" t="s">
        <v>27</v>
      </c>
      <c r="M115">
        <v>6</v>
      </c>
      <c r="P115">
        <v>40</v>
      </c>
      <c r="Q115" t="s">
        <v>80</v>
      </c>
      <c r="R115" t="s">
        <v>409</v>
      </c>
      <c r="S115" t="s">
        <v>358</v>
      </c>
      <c r="T115" t="s">
        <v>327</v>
      </c>
      <c r="V115">
        <v>0</v>
      </c>
      <c r="Y115">
        <v>0</v>
      </c>
      <c r="Z115">
        <v>0</v>
      </c>
      <c r="AA115">
        <v>0</v>
      </c>
      <c r="AB115">
        <v>1439525.76</v>
      </c>
      <c r="AC115">
        <v>0</v>
      </c>
      <c r="AD115">
        <v>0</v>
      </c>
      <c r="AE115">
        <v>0</v>
      </c>
      <c r="AQ115">
        <v>182377</v>
      </c>
      <c r="AR115" t="b">
        <v>1</v>
      </c>
      <c r="AS115" t="b">
        <v>1</v>
      </c>
      <c r="AT115" t="b">
        <v>1</v>
      </c>
      <c r="AU115" t="b">
        <v>1</v>
      </c>
      <c r="AV115" t="b">
        <v>1</v>
      </c>
      <c r="AW115" t="b">
        <v>1</v>
      </c>
      <c r="AX115" t="b">
        <v>1</v>
      </c>
      <c r="BA115" t="s">
        <v>403</v>
      </c>
    </row>
    <row r="116" spans="1:53" x14ac:dyDescent="0.25">
      <c r="A116" t="s">
        <v>386</v>
      </c>
      <c r="B116">
        <v>5</v>
      </c>
      <c r="C116">
        <v>2</v>
      </c>
      <c r="D116">
        <v>1</v>
      </c>
      <c r="E116">
        <v>52081900</v>
      </c>
      <c r="F116">
        <v>275340</v>
      </c>
      <c r="G116" t="s">
        <v>312</v>
      </c>
      <c r="H116" t="s">
        <v>60</v>
      </c>
      <c r="I116" t="s">
        <v>60</v>
      </c>
      <c r="J116" t="s">
        <v>60</v>
      </c>
      <c r="K116" t="s">
        <v>60</v>
      </c>
      <c r="L116" t="s">
        <v>27</v>
      </c>
      <c r="M116">
        <v>6</v>
      </c>
      <c r="P116">
        <v>40</v>
      </c>
      <c r="Q116" t="s">
        <v>80</v>
      </c>
      <c r="R116" t="s">
        <v>410</v>
      </c>
      <c r="S116" t="s">
        <v>359</v>
      </c>
      <c r="T116" t="s">
        <v>328</v>
      </c>
      <c r="V116">
        <v>0</v>
      </c>
      <c r="Y116">
        <v>0</v>
      </c>
      <c r="Z116">
        <v>0</v>
      </c>
      <c r="AA116">
        <v>0</v>
      </c>
      <c r="AB116">
        <v>1439525.76</v>
      </c>
      <c r="AC116">
        <v>0</v>
      </c>
      <c r="AD116">
        <v>0</v>
      </c>
      <c r="AE116">
        <v>0</v>
      </c>
      <c r="AQ116">
        <v>182377</v>
      </c>
      <c r="AR116" t="b">
        <v>1</v>
      </c>
      <c r="AS116" t="b">
        <v>1</v>
      </c>
      <c r="AT116" t="b">
        <v>1</v>
      </c>
      <c r="AU116" t="b">
        <v>1</v>
      </c>
      <c r="AV116" t="b">
        <v>1</v>
      </c>
      <c r="AW116" t="b">
        <v>1</v>
      </c>
      <c r="AX116" t="b">
        <v>1</v>
      </c>
      <c r="BA116" t="s">
        <v>403</v>
      </c>
    </row>
    <row r="117" spans="1:53" x14ac:dyDescent="0.25">
      <c r="A117" t="s">
        <v>386</v>
      </c>
      <c r="B117">
        <v>5</v>
      </c>
      <c r="C117">
        <v>3</v>
      </c>
      <c r="D117">
        <v>1</v>
      </c>
      <c r="E117">
        <v>58062090</v>
      </c>
      <c r="F117">
        <v>262938</v>
      </c>
      <c r="G117" t="s">
        <v>322</v>
      </c>
      <c r="H117" t="s">
        <v>60</v>
      </c>
      <c r="I117" t="s">
        <v>60</v>
      </c>
      <c r="J117" t="s">
        <v>60</v>
      </c>
      <c r="K117" t="s">
        <v>60</v>
      </c>
      <c r="L117" t="s">
        <v>59</v>
      </c>
      <c r="M117">
        <v>5.0000000000000001E-3</v>
      </c>
      <c r="P117">
        <v>40</v>
      </c>
      <c r="Q117" t="s">
        <v>80</v>
      </c>
      <c r="R117" t="s">
        <v>419</v>
      </c>
      <c r="S117" t="s">
        <v>366</v>
      </c>
      <c r="T117" t="s">
        <v>337</v>
      </c>
      <c r="V117">
        <v>0</v>
      </c>
      <c r="Y117">
        <v>0</v>
      </c>
      <c r="Z117">
        <v>0</v>
      </c>
      <c r="AA117">
        <v>0</v>
      </c>
      <c r="AB117">
        <v>390</v>
      </c>
      <c r="AC117">
        <v>0</v>
      </c>
      <c r="AD117">
        <v>0</v>
      </c>
      <c r="AE117">
        <v>0</v>
      </c>
      <c r="AQ117">
        <v>182377</v>
      </c>
      <c r="AR117" t="b">
        <v>1</v>
      </c>
      <c r="AS117" t="b">
        <v>1</v>
      </c>
      <c r="AT117" t="b">
        <v>1</v>
      </c>
      <c r="AU117" t="b">
        <v>1</v>
      </c>
      <c r="AV117" t="b">
        <v>1</v>
      </c>
      <c r="AW117" t="b">
        <v>1</v>
      </c>
      <c r="AX117" t="b">
        <v>1</v>
      </c>
      <c r="BA117" t="s">
        <v>403</v>
      </c>
    </row>
    <row r="118" spans="1:53" x14ac:dyDescent="0.25">
      <c r="A118" t="s">
        <v>386</v>
      </c>
      <c r="B118">
        <v>5</v>
      </c>
      <c r="C118">
        <v>4</v>
      </c>
      <c r="D118">
        <v>1</v>
      </c>
      <c r="E118">
        <v>58062090</v>
      </c>
      <c r="F118">
        <v>262938</v>
      </c>
      <c r="G118" t="s">
        <v>320</v>
      </c>
      <c r="H118" t="s">
        <v>60</v>
      </c>
      <c r="I118" t="s">
        <v>60</v>
      </c>
      <c r="J118" t="s">
        <v>60</v>
      </c>
      <c r="K118" t="s">
        <v>60</v>
      </c>
      <c r="L118" t="s">
        <v>59</v>
      </c>
      <c r="M118">
        <v>0.02</v>
      </c>
      <c r="P118">
        <v>40</v>
      </c>
      <c r="Q118" t="s">
        <v>80</v>
      </c>
      <c r="R118" t="s">
        <v>420</v>
      </c>
      <c r="S118" t="s">
        <v>367</v>
      </c>
      <c r="T118" t="s">
        <v>338</v>
      </c>
      <c r="V118">
        <v>0</v>
      </c>
      <c r="Y118">
        <v>0</v>
      </c>
      <c r="Z118">
        <v>0</v>
      </c>
      <c r="AA118">
        <v>0</v>
      </c>
      <c r="AB118">
        <v>1640</v>
      </c>
      <c r="AC118">
        <v>0</v>
      </c>
      <c r="AD118">
        <v>0</v>
      </c>
      <c r="AE118">
        <v>0</v>
      </c>
      <c r="AQ118">
        <v>182377</v>
      </c>
      <c r="AR118" t="b">
        <v>1</v>
      </c>
      <c r="AS118" t="b">
        <v>1</v>
      </c>
      <c r="AT118" t="b">
        <v>1</v>
      </c>
      <c r="AU118" t="b">
        <v>1</v>
      </c>
      <c r="AV118" t="b">
        <v>1</v>
      </c>
      <c r="AW118" t="b">
        <v>1</v>
      </c>
      <c r="AX118" t="b">
        <v>1</v>
      </c>
      <c r="BA118" t="s">
        <v>403</v>
      </c>
    </row>
    <row r="119" spans="1:53" x14ac:dyDescent="0.25">
      <c r="A119" t="s">
        <v>386</v>
      </c>
      <c r="B119">
        <v>5</v>
      </c>
      <c r="C119">
        <v>5</v>
      </c>
      <c r="D119">
        <v>1</v>
      </c>
      <c r="E119">
        <v>58062090</v>
      </c>
      <c r="F119">
        <v>262938</v>
      </c>
      <c r="G119" t="s">
        <v>320</v>
      </c>
      <c r="H119" t="s">
        <v>60</v>
      </c>
      <c r="I119" t="s">
        <v>60</v>
      </c>
      <c r="J119" t="s">
        <v>60</v>
      </c>
      <c r="K119" t="s">
        <v>60</v>
      </c>
      <c r="L119" t="s">
        <v>59</v>
      </c>
      <c r="M119">
        <v>1.4999999999999999E-2</v>
      </c>
      <c r="P119">
        <v>40</v>
      </c>
      <c r="Q119" t="s">
        <v>80</v>
      </c>
      <c r="R119" t="s">
        <v>421</v>
      </c>
      <c r="S119" t="s">
        <v>368</v>
      </c>
      <c r="T119" t="s">
        <v>339</v>
      </c>
      <c r="V119">
        <v>0</v>
      </c>
      <c r="Y119">
        <v>0</v>
      </c>
      <c r="Z119">
        <v>0</v>
      </c>
      <c r="AA119">
        <v>0</v>
      </c>
      <c r="AB119">
        <v>1230</v>
      </c>
      <c r="AC119">
        <v>0</v>
      </c>
      <c r="AD119">
        <v>0</v>
      </c>
      <c r="AE119">
        <v>0</v>
      </c>
      <c r="AQ119">
        <v>182377</v>
      </c>
      <c r="AR119" t="b">
        <v>1</v>
      </c>
      <c r="AS119" t="b">
        <v>1</v>
      </c>
      <c r="AT119" t="b">
        <v>1</v>
      </c>
      <c r="AU119" t="b">
        <v>1</v>
      </c>
      <c r="AV119" t="b">
        <v>1</v>
      </c>
      <c r="AW119" t="b">
        <v>1</v>
      </c>
      <c r="AX119" t="b">
        <v>1</v>
      </c>
      <c r="BA119" t="s">
        <v>403</v>
      </c>
    </row>
    <row r="120" spans="1:53" x14ac:dyDescent="0.25">
      <c r="A120" t="s">
        <v>386</v>
      </c>
      <c r="B120">
        <v>5</v>
      </c>
      <c r="C120">
        <v>6</v>
      </c>
      <c r="D120">
        <v>1</v>
      </c>
      <c r="E120">
        <v>58062090</v>
      </c>
      <c r="F120">
        <v>262938</v>
      </c>
      <c r="G120" t="s">
        <v>320</v>
      </c>
      <c r="H120" t="s">
        <v>60</v>
      </c>
      <c r="I120" t="s">
        <v>60</v>
      </c>
      <c r="J120" t="s">
        <v>60</v>
      </c>
      <c r="K120" t="s">
        <v>60</v>
      </c>
      <c r="L120" t="s">
        <v>59</v>
      </c>
      <c r="M120">
        <v>0.01</v>
      </c>
      <c r="P120">
        <v>40</v>
      </c>
      <c r="Q120" t="s">
        <v>80</v>
      </c>
      <c r="R120" t="s">
        <v>416</v>
      </c>
      <c r="S120" t="s">
        <v>360</v>
      </c>
      <c r="T120" t="s">
        <v>334</v>
      </c>
      <c r="V120">
        <v>0</v>
      </c>
      <c r="Y120">
        <v>0</v>
      </c>
      <c r="Z120">
        <v>0</v>
      </c>
      <c r="AA120">
        <v>0</v>
      </c>
      <c r="AB120">
        <v>820</v>
      </c>
      <c r="AC120">
        <v>0</v>
      </c>
      <c r="AD120">
        <v>0</v>
      </c>
      <c r="AE120">
        <v>0</v>
      </c>
      <c r="AQ120">
        <v>182377</v>
      </c>
      <c r="AR120" t="b">
        <v>1</v>
      </c>
      <c r="AS120" t="b">
        <v>1</v>
      </c>
      <c r="AT120" t="b">
        <v>1</v>
      </c>
      <c r="AU120" t="b">
        <v>1</v>
      </c>
      <c r="AV120" t="b">
        <v>1</v>
      </c>
      <c r="AW120" t="b">
        <v>1</v>
      </c>
      <c r="AX120" t="b">
        <v>1</v>
      </c>
      <c r="BA120" t="s">
        <v>403</v>
      </c>
    </row>
    <row r="121" spans="1:53" x14ac:dyDescent="0.25">
      <c r="A121" t="s">
        <v>386</v>
      </c>
      <c r="B121">
        <v>5</v>
      </c>
      <c r="C121">
        <v>7</v>
      </c>
      <c r="D121">
        <v>1</v>
      </c>
      <c r="E121">
        <v>58061090</v>
      </c>
      <c r="F121">
        <v>262938</v>
      </c>
      <c r="G121" t="s">
        <v>320</v>
      </c>
      <c r="H121" t="s">
        <v>60</v>
      </c>
      <c r="I121" t="s">
        <v>60</v>
      </c>
      <c r="J121" t="s">
        <v>60</v>
      </c>
      <c r="K121" t="s">
        <v>60</v>
      </c>
      <c r="L121" t="s">
        <v>59</v>
      </c>
      <c r="M121">
        <v>5.0000000000000001E-3</v>
      </c>
      <c r="P121">
        <v>40</v>
      </c>
      <c r="Q121" t="s">
        <v>80</v>
      </c>
      <c r="R121" t="s">
        <v>417</v>
      </c>
      <c r="S121" t="s">
        <v>364</v>
      </c>
      <c r="T121" t="s">
        <v>335</v>
      </c>
      <c r="V121">
        <v>0</v>
      </c>
      <c r="Y121">
        <v>0</v>
      </c>
      <c r="Z121">
        <v>0</v>
      </c>
      <c r="AA121">
        <v>0</v>
      </c>
      <c r="AB121">
        <v>410</v>
      </c>
      <c r="AC121">
        <v>0</v>
      </c>
      <c r="AD121">
        <v>0</v>
      </c>
      <c r="AE121">
        <v>0</v>
      </c>
      <c r="AQ121">
        <v>182377</v>
      </c>
      <c r="AR121" t="b">
        <v>1</v>
      </c>
      <c r="AS121" t="b">
        <v>1</v>
      </c>
      <c r="AT121" t="b">
        <v>1</v>
      </c>
      <c r="AU121" t="b">
        <v>1</v>
      </c>
      <c r="AV121" t="b">
        <v>1</v>
      </c>
      <c r="AW121" t="b">
        <v>1</v>
      </c>
      <c r="AX121" t="b">
        <v>1</v>
      </c>
      <c r="BA121" t="s">
        <v>403</v>
      </c>
    </row>
    <row r="122" spans="1:53" x14ac:dyDescent="0.25">
      <c r="A122" t="s">
        <v>386</v>
      </c>
      <c r="B122">
        <v>5</v>
      </c>
      <c r="C122">
        <v>8</v>
      </c>
      <c r="D122">
        <v>1</v>
      </c>
      <c r="E122">
        <v>58062090</v>
      </c>
      <c r="F122">
        <v>262938</v>
      </c>
      <c r="G122" t="s">
        <v>320</v>
      </c>
      <c r="H122" t="s">
        <v>60</v>
      </c>
      <c r="I122" t="s">
        <v>60</v>
      </c>
      <c r="J122" t="s">
        <v>60</v>
      </c>
      <c r="K122" t="s">
        <v>60</v>
      </c>
      <c r="L122" t="s">
        <v>59</v>
      </c>
      <c r="M122">
        <v>5.0000000000000001E-3</v>
      </c>
      <c r="P122">
        <v>40</v>
      </c>
      <c r="Q122" t="s">
        <v>80</v>
      </c>
      <c r="R122" t="s">
        <v>422</v>
      </c>
      <c r="S122" t="s">
        <v>369</v>
      </c>
      <c r="T122" t="s">
        <v>340</v>
      </c>
      <c r="V122">
        <v>0</v>
      </c>
      <c r="Y122">
        <v>0</v>
      </c>
      <c r="Z122">
        <v>0</v>
      </c>
      <c r="AA122">
        <v>0</v>
      </c>
      <c r="AB122">
        <v>410</v>
      </c>
      <c r="AC122">
        <v>0</v>
      </c>
      <c r="AD122">
        <v>0</v>
      </c>
      <c r="AE122">
        <v>0</v>
      </c>
      <c r="AQ122">
        <v>182377</v>
      </c>
      <c r="AR122" t="b">
        <v>1</v>
      </c>
      <c r="AS122" t="b">
        <v>1</v>
      </c>
      <c r="AT122" t="b">
        <v>1</v>
      </c>
      <c r="AU122" t="b">
        <v>1</v>
      </c>
      <c r="AV122" t="b">
        <v>1</v>
      </c>
      <c r="AW122" t="b">
        <v>1</v>
      </c>
      <c r="AX122" t="b">
        <v>1</v>
      </c>
      <c r="BA122" t="s">
        <v>403</v>
      </c>
    </row>
    <row r="123" spans="1:53" x14ac:dyDescent="0.25">
      <c r="A123" t="s">
        <v>386</v>
      </c>
      <c r="B123">
        <v>5</v>
      </c>
      <c r="C123">
        <v>9</v>
      </c>
      <c r="D123">
        <v>1</v>
      </c>
      <c r="E123">
        <v>58062090</v>
      </c>
      <c r="F123">
        <v>262938</v>
      </c>
      <c r="G123" t="s">
        <v>320</v>
      </c>
      <c r="H123" t="s">
        <v>60</v>
      </c>
      <c r="I123" t="s">
        <v>60</v>
      </c>
      <c r="J123" t="s">
        <v>60</v>
      </c>
      <c r="K123" t="s">
        <v>60</v>
      </c>
      <c r="L123" t="s">
        <v>59</v>
      </c>
      <c r="M123">
        <v>0.05</v>
      </c>
      <c r="P123">
        <v>40</v>
      </c>
      <c r="Q123" t="s">
        <v>80</v>
      </c>
      <c r="R123" t="s">
        <v>423</v>
      </c>
      <c r="S123" t="s">
        <v>370</v>
      </c>
      <c r="T123" t="s">
        <v>341</v>
      </c>
      <c r="V123">
        <v>0</v>
      </c>
      <c r="Y123">
        <v>0</v>
      </c>
      <c r="Z123">
        <v>0</v>
      </c>
      <c r="AA123">
        <v>0</v>
      </c>
      <c r="AB123">
        <v>4100</v>
      </c>
      <c r="AC123">
        <v>0</v>
      </c>
      <c r="AD123">
        <v>0</v>
      </c>
      <c r="AE123">
        <v>0</v>
      </c>
      <c r="AQ123">
        <v>182377</v>
      </c>
      <c r="AR123" t="b">
        <v>1</v>
      </c>
      <c r="AS123" t="b">
        <v>1</v>
      </c>
      <c r="AT123" t="b">
        <v>1</v>
      </c>
      <c r="AU123" t="b">
        <v>1</v>
      </c>
      <c r="AV123" t="b">
        <v>1</v>
      </c>
      <c r="AW123" t="b">
        <v>1</v>
      </c>
      <c r="AX123" t="b">
        <v>1</v>
      </c>
      <c r="BA123" t="s">
        <v>403</v>
      </c>
    </row>
    <row r="124" spans="1:53" x14ac:dyDescent="0.25">
      <c r="A124" t="s">
        <v>386</v>
      </c>
      <c r="B124">
        <v>5</v>
      </c>
      <c r="C124">
        <v>10</v>
      </c>
      <c r="D124">
        <v>1</v>
      </c>
      <c r="E124">
        <v>58062090</v>
      </c>
      <c r="F124">
        <v>262938</v>
      </c>
      <c r="G124" t="s">
        <v>320</v>
      </c>
      <c r="H124" t="s">
        <v>60</v>
      </c>
      <c r="I124" t="s">
        <v>60</v>
      </c>
      <c r="J124" t="s">
        <v>60</v>
      </c>
      <c r="K124" t="s">
        <v>60</v>
      </c>
      <c r="L124" t="s">
        <v>59</v>
      </c>
      <c r="M124">
        <v>0.05</v>
      </c>
      <c r="P124">
        <v>40</v>
      </c>
      <c r="Q124" t="s">
        <v>80</v>
      </c>
      <c r="R124" t="s">
        <v>424</v>
      </c>
      <c r="S124" t="s">
        <v>371</v>
      </c>
      <c r="T124" t="s">
        <v>342</v>
      </c>
      <c r="V124">
        <v>0</v>
      </c>
      <c r="Y124">
        <v>0</v>
      </c>
      <c r="Z124">
        <v>0</v>
      </c>
      <c r="AA124">
        <v>0</v>
      </c>
      <c r="AB124">
        <v>4100</v>
      </c>
      <c r="AC124">
        <v>0</v>
      </c>
      <c r="AD124">
        <v>0</v>
      </c>
      <c r="AE124">
        <v>0</v>
      </c>
      <c r="AQ124">
        <v>182377</v>
      </c>
      <c r="AR124" t="b">
        <v>1</v>
      </c>
      <c r="AS124" t="b">
        <v>1</v>
      </c>
      <c r="AT124" t="b">
        <v>1</v>
      </c>
      <c r="AU124" t="b">
        <v>1</v>
      </c>
      <c r="AV124" t="b">
        <v>1</v>
      </c>
      <c r="AW124" t="b">
        <v>1</v>
      </c>
      <c r="AX124" t="b">
        <v>1</v>
      </c>
      <c r="BA124" t="s">
        <v>403</v>
      </c>
    </row>
    <row r="125" spans="1:53" x14ac:dyDescent="0.25">
      <c r="A125" t="s">
        <v>386</v>
      </c>
      <c r="B125">
        <v>5</v>
      </c>
      <c r="C125">
        <v>11</v>
      </c>
      <c r="D125">
        <v>1</v>
      </c>
      <c r="E125">
        <v>58062090</v>
      </c>
      <c r="F125">
        <v>262938</v>
      </c>
      <c r="G125" t="s">
        <v>320</v>
      </c>
      <c r="H125" t="s">
        <v>60</v>
      </c>
      <c r="I125" t="s">
        <v>60</v>
      </c>
      <c r="J125" t="s">
        <v>60</v>
      </c>
      <c r="K125" t="s">
        <v>60</v>
      </c>
      <c r="L125" t="s">
        <v>59</v>
      </c>
      <c r="M125">
        <v>0.05</v>
      </c>
      <c r="P125">
        <v>40</v>
      </c>
      <c r="Q125" t="s">
        <v>80</v>
      </c>
      <c r="R125" t="s">
        <v>425</v>
      </c>
      <c r="S125" t="s">
        <v>372</v>
      </c>
      <c r="T125" t="s">
        <v>343</v>
      </c>
      <c r="V125">
        <v>0</v>
      </c>
      <c r="Y125">
        <v>0</v>
      </c>
      <c r="Z125">
        <v>0</v>
      </c>
      <c r="AA125">
        <v>0</v>
      </c>
      <c r="AB125">
        <v>4100</v>
      </c>
      <c r="AC125">
        <v>0</v>
      </c>
      <c r="AD125">
        <v>0</v>
      </c>
      <c r="AE125">
        <v>0</v>
      </c>
      <c r="AQ125">
        <v>182377</v>
      </c>
      <c r="AR125" t="b">
        <v>1</v>
      </c>
      <c r="AS125" t="b">
        <v>1</v>
      </c>
      <c r="AT125" t="b">
        <v>1</v>
      </c>
      <c r="AU125" t="b">
        <v>1</v>
      </c>
      <c r="AV125" t="b">
        <v>1</v>
      </c>
      <c r="AW125" t="b">
        <v>1</v>
      </c>
      <c r="AX125" t="b">
        <v>1</v>
      </c>
      <c r="BA125" t="s">
        <v>403</v>
      </c>
    </row>
    <row r="126" spans="1:53" x14ac:dyDescent="0.25">
      <c r="A126" t="s">
        <v>386</v>
      </c>
      <c r="B126">
        <v>5</v>
      </c>
      <c r="C126">
        <v>12</v>
      </c>
      <c r="D126">
        <v>1</v>
      </c>
      <c r="E126">
        <v>58062090</v>
      </c>
      <c r="F126">
        <v>262938</v>
      </c>
      <c r="G126" t="s">
        <v>321</v>
      </c>
      <c r="H126" t="s">
        <v>60</v>
      </c>
      <c r="I126" t="s">
        <v>60</v>
      </c>
      <c r="J126" t="s">
        <v>60</v>
      </c>
      <c r="K126" t="s">
        <v>60</v>
      </c>
      <c r="L126" t="s">
        <v>59</v>
      </c>
      <c r="M126">
        <v>0.32500000000000001</v>
      </c>
      <c r="P126">
        <v>40</v>
      </c>
      <c r="Q126" t="s">
        <v>80</v>
      </c>
      <c r="R126" t="s">
        <v>426</v>
      </c>
      <c r="S126" t="s">
        <v>373</v>
      </c>
      <c r="T126" t="s">
        <v>344</v>
      </c>
      <c r="V126">
        <v>0</v>
      </c>
      <c r="Y126">
        <v>0</v>
      </c>
      <c r="Z126">
        <v>0</v>
      </c>
      <c r="AA126">
        <v>0</v>
      </c>
      <c r="AB126">
        <v>26650</v>
      </c>
      <c r="AC126">
        <v>0</v>
      </c>
      <c r="AD126">
        <v>0</v>
      </c>
      <c r="AE126">
        <v>0</v>
      </c>
      <c r="AQ126">
        <v>182377</v>
      </c>
      <c r="AR126" t="b">
        <v>1</v>
      </c>
      <c r="AS126" t="b">
        <v>1</v>
      </c>
      <c r="AT126" t="b">
        <v>1</v>
      </c>
      <c r="AU126" t="b">
        <v>1</v>
      </c>
      <c r="AV126" t="b">
        <v>1</v>
      </c>
      <c r="AW126" t="b">
        <v>1</v>
      </c>
      <c r="AX126" t="b">
        <v>1</v>
      </c>
      <c r="BA126" t="s">
        <v>403</v>
      </c>
    </row>
    <row r="127" spans="1:53" x14ac:dyDescent="0.25">
      <c r="A127" t="s">
        <v>386</v>
      </c>
      <c r="B127">
        <v>5</v>
      </c>
      <c r="C127">
        <v>13</v>
      </c>
      <c r="D127">
        <v>1</v>
      </c>
      <c r="E127">
        <v>58062090</v>
      </c>
      <c r="F127">
        <v>262938</v>
      </c>
      <c r="G127" t="s">
        <v>321</v>
      </c>
      <c r="H127" t="s">
        <v>60</v>
      </c>
      <c r="I127" t="s">
        <v>60</v>
      </c>
      <c r="J127" t="s">
        <v>60</v>
      </c>
      <c r="K127" t="s">
        <v>60</v>
      </c>
      <c r="L127" t="s">
        <v>59</v>
      </c>
      <c r="M127">
        <v>0.01</v>
      </c>
      <c r="P127">
        <v>40</v>
      </c>
      <c r="Q127" t="s">
        <v>80</v>
      </c>
      <c r="R127" t="s">
        <v>427</v>
      </c>
      <c r="S127" t="s">
        <v>374</v>
      </c>
      <c r="T127" t="s">
        <v>345</v>
      </c>
      <c r="V127">
        <v>0</v>
      </c>
      <c r="Y127">
        <v>0</v>
      </c>
      <c r="Z127">
        <v>0</v>
      </c>
      <c r="AA127">
        <v>0</v>
      </c>
      <c r="AB127">
        <v>820</v>
      </c>
      <c r="AC127">
        <v>0</v>
      </c>
      <c r="AD127">
        <v>0</v>
      </c>
      <c r="AE127">
        <v>0</v>
      </c>
      <c r="AQ127">
        <v>182377</v>
      </c>
      <c r="AR127" t="b">
        <v>1</v>
      </c>
      <c r="AS127" t="b">
        <v>1</v>
      </c>
      <c r="AT127" t="b">
        <v>1</v>
      </c>
      <c r="AU127" t="b">
        <v>1</v>
      </c>
      <c r="AV127" t="b">
        <v>1</v>
      </c>
      <c r="AW127" t="b">
        <v>1</v>
      </c>
      <c r="AX127" t="b">
        <v>1</v>
      </c>
      <c r="BA127" t="s">
        <v>403</v>
      </c>
    </row>
    <row r="128" spans="1:53" x14ac:dyDescent="0.25">
      <c r="A128" t="s">
        <v>386</v>
      </c>
      <c r="B128">
        <v>5</v>
      </c>
      <c r="C128">
        <v>14</v>
      </c>
      <c r="D128">
        <v>1</v>
      </c>
      <c r="E128">
        <v>58062090</v>
      </c>
      <c r="F128">
        <v>262938</v>
      </c>
      <c r="G128" t="s">
        <v>321</v>
      </c>
      <c r="H128" t="s">
        <v>60</v>
      </c>
      <c r="I128" t="s">
        <v>60</v>
      </c>
      <c r="J128" t="s">
        <v>60</v>
      </c>
      <c r="K128" t="s">
        <v>60</v>
      </c>
      <c r="L128" t="s">
        <v>59</v>
      </c>
      <c r="M128">
        <v>0.22500000000000001</v>
      </c>
      <c r="P128">
        <v>40</v>
      </c>
      <c r="Q128" t="s">
        <v>80</v>
      </c>
      <c r="R128" t="s">
        <v>428</v>
      </c>
      <c r="S128" t="s">
        <v>375</v>
      </c>
      <c r="T128" t="s">
        <v>346</v>
      </c>
      <c r="V128">
        <v>0</v>
      </c>
      <c r="Y128">
        <v>0</v>
      </c>
      <c r="Z128">
        <v>0</v>
      </c>
      <c r="AA128">
        <v>0</v>
      </c>
      <c r="AB128">
        <v>18450</v>
      </c>
      <c r="AC128">
        <v>0</v>
      </c>
      <c r="AD128">
        <v>0</v>
      </c>
      <c r="AE128">
        <v>0</v>
      </c>
      <c r="AQ128">
        <v>182377</v>
      </c>
      <c r="AR128" t="b">
        <v>1</v>
      </c>
      <c r="AS128" t="b">
        <v>1</v>
      </c>
      <c r="AT128" t="b">
        <v>1</v>
      </c>
      <c r="AU128" t="b">
        <v>1</v>
      </c>
      <c r="AV128" t="b">
        <v>1</v>
      </c>
      <c r="AW128" t="b">
        <v>1</v>
      </c>
      <c r="AX128" t="b">
        <v>1</v>
      </c>
      <c r="BA128" t="s">
        <v>403</v>
      </c>
    </row>
    <row r="129" spans="1:53" x14ac:dyDescent="0.25">
      <c r="A129" t="s">
        <v>386</v>
      </c>
      <c r="B129">
        <v>5</v>
      </c>
      <c r="C129">
        <v>15</v>
      </c>
      <c r="D129">
        <v>1</v>
      </c>
      <c r="E129">
        <v>48211090</v>
      </c>
      <c r="F129">
        <v>297274</v>
      </c>
      <c r="G129" t="s">
        <v>315</v>
      </c>
      <c r="H129" t="s">
        <v>60</v>
      </c>
      <c r="I129" t="s">
        <v>60</v>
      </c>
      <c r="J129" t="s">
        <v>60</v>
      </c>
      <c r="K129" t="s">
        <v>60</v>
      </c>
      <c r="L129" t="s">
        <v>12</v>
      </c>
      <c r="M129">
        <v>150</v>
      </c>
      <c r="P129">
        <v>40</v>
      </c>
      <c r="Q129" t="s">
        <v>80</v>
      </c>
      <c r="R129" t="s">
        <v>415</v>
      </c>
      <c r="S129" t="s">
        <v>363</v>
      </c>
      <c r="T129" t="s">
        <v>333</v>
      </c>
      <c r="V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Q129">
        <v>182377</v>
      </c>
      <c r="AR129" t="b">
        <v>1</v>
      </c>
      <c r="AS129" t="b">
        <v>1</v>
      </c>
      <c r="AT129" t="b">
        <v>1</v>
      </c>
      <c r="AU129" t="b">
        <v>1</v>
      </c>
      <c r="AV129" t="b">
        <v>1</v>
      </c>
      <c r="AW129" t="b">
        <v>1</v>
      </c>
      <c r="AX129" t="b">
        <v>1</v>
      </c>
      <c r="BA129" t="s">
        <v>403</v>
      </c>
    </row>
    <row r="130" spans="1:53" x14ac:dyDescent="0.25">
      <c r="A130" t="s">
        <v>386</v>
      </c>
      <c r="B130">
        <v>5</v>
      </c>
      <c r="C130">
        <v>16</v>
      </c>
      <c r="D130">
        <v>1</v>
      </c>
      <c r="E130">
        <v>48211090</v>
      </c>
      <c r="F130">
        <v>297275</v>
      </c>
      <c r="G130" t="s">
        <v>316</v>
      </c>
      <c r="H130" t="s">
        <v>60</v>
      </c>
      <c r="I130" t="s">
        <v>60</v>
      </c>
      <c r="J130" t="s">
        <v>60</v>
      </c>
      <c r="K130" t="s">
        <v>60</v>
      </c>
      <c r="L130" t="s">
        <v>12</v>
      </c>
      <c r="M130">
        <v>23</v>
      </c>
      <c r="P130">
        <v>40</v>
      </c>
      <c r="Q130" t="s">
        <v>80</v>
      </c>
      <c r="R130" t="s">
        <v>415</v>
      </c>
      <c r="S130" t="s">
        <v>363</v>
      </c>
      <c r="T130" t="s">
        <v>333</v>
      </c>
      <c r="V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Q130">
        <v>182377</v>
      </c>
      <c r="AR130" t="b">
        <v>1</v>
      </c>
      <c r="AS130" t="b">
        <v>1</v>
      </c>
      <c r="AT130" t="b">
        <v>1</v>
      </c>
      <c r="AU130" t="b">
        <v>1</v>
      </c>
      <c r="AV130" t="b">
        <v>1</v>
      </c>
      <c r="AW130" t="b">
        <v>1</v>
      </c>
      <c r="AX130" t="b">
        <v>1</v>
      </c>
      <c r="BA130" t="s">
        <v>403</v>
      </c>
    </row>
    <row r="131" spans="1:53" x14ac:dyDescent="0.25">
      <c r="A131" t="s">
        <v>386</v>
      </c>
      <c r="B131">
        <v>5</v>
      </c>
      <c r="C131">
        <v>17</v>
      </c>
      <c r="D131">
        <v>1</v>
      </c>
      <c r="E131">
        <v>48211090</v>
      </c>
      <c r="F131">
        <v>297276</v>
      </c>
      <c r="G131" t="s">
        <v>317</v>
      </c>
      <c r="H131" t="s">
        <v>60</v>
      </c>
      <c r="I131" t="s">
        <v>60</v>
      </c>
      <c r="J131" t="s">
        <v>60</v>
      </c>
      <c r="K131" t="s">
        <v>60</v>
      </c>
      <c r="L131" t="s">
        <v>12</v>
      </c>
      <c r="M131">
        <v>52</v>
      </c>
      <c r="P131">
        <v>40</v>
      </c>
      <c r="Q131" t="s">
        <v>80</v>
      </c>
      <c r="R131" t="s">
        <v>415</v>
      </c>
      <c r="S131" t="s">
        <v>363</v>
      </c>
      <c r="T131" t="s">
        <v>333</v>
      </c>
      <c r="V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Q131">
        <v>182377</v>
      </c>
      <c r="AR131" t="b">
        <v>1</v>
      </c>
      <c r="AS131" t="b">
        <v>1</v>
      </c>
      <c r="AT131" t="b">
        <v>1</v>
      </c>
      <c r="AU131" t="b">
        <v>1</v>
      </c>
      <c r="AV131" t="b">
        <v>1</v>
      </c>
      <c r="AW131" t="b">
        <v>1</v>
      </c>
      <c r="AX131" t="b">
        <v>1</v>
      </c>
      <c r="BA131" t="s">
        <v>403</v>
      </c>
    </row>
    <row r="132" spans="1:53" x14ac:dyDescent="0.25">
      <c r="A132" t="s">
        <v>386</v>
      </c>
      <c r="B132">
        <v>5</v>
      </c>
      <c r="C132">
        <v>18</v>
      </c>
      <c r="D132">
        <v>1</v>
      </c>
      <c r="E132">
        <v>48211090</v>
      </c>
      <c r="F132">
        <v>297277</v>
      </c>
      <c r="G132" t="s">
        <v>318</v>
      </c>
      <c r="H132" t="s">
        <v>60</v>
      </c>
      <c r="I132" t="s">
        <v>60</v>
      </c>
      <c r="J132" t="s">
        <v>60</v>
      </c>
      <c r="K132" t="s">
        <v>60</v>
      </c>
      <c r="L132" t="s">
        <v>12</v>
      </c>
      <c r="M132">
        <v>38</v>
      </c>
      <c r="P132">
        <v>40</v>
      </c>
      <c r="Q132" t="s">
        <v>80</v>
      </c>
      <c r="R132" t="s">
        <v>415</v>
      </c>
      <c r="S132" t="s">
        <v>363</v>
      </c>
      <c r="T132" t="s">
        <v>333</v>
      </c>
      <c r="V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Q132">
        <v>182377</v>
      </c>
      <c r="AR132" t="b">
        <v>1</v>
      </c>
      <c r="AS132" t="b">
        <v>1</v>
      </c>
      <c r="AT132" t="b">
        <v>1</v>
      </c>
      <c r="AU132" t="b">
        <v>1</v>
      </c>
      <c r="AV132" t="b">
        <v>1</v>
      </c>
      <c r="AW132" t="b">
        <v>1</v>
      </c>
      <c r="AX132" t="b">
        <v>1</v>
      </c>
      <c r="BA132" t="s">
        <v>403</v>
      </c>
    </row>
    <row r="133" spans="1:53" x14ac:dyDescent="0.25">
      <c r="A133" t="s">
        <v>386</v>
      </c>
      <c r="B133">
        <v>5</v>
      </c>
      <c r="C133">
        <v>19</v>
      </c>
      <c r="D133">
        <v>1</v>
      </c>
      <c r="E133">
        <v>48211090</v>
      </c>
      <c r="F133">
        <v>297278</v>
      </c>
      <c r="G133" t="s">
        <v>319</v>
      </c>
      <c r="H133" t="s">
        <v>60</v>
      </c>
      <c r="I133" t="s">
        <v>60</v>
      </c>
      <c r="J133" t="s">
        <v>60</v>
      </c>
      <c r="K133" t="s">
        <v>60</v>
      </c>
      <c r="L133" t="s">
        <v>12</v>
      </c>
      <c r="M133">
        <v>37</v>
      </c>
      <c r="P133">
        <v>40</v>
      </c>
      <c r="Q133" t="s">
        <v>80</v>
      </c>
      <c r="R133" t="s">
        <v>415</v>
      </c>
      <c r="S133" t="s">
        <v>363</v>
      </c>
      <c r="T133" t="s">
        <v>333</v>
      </c>
      <c r="V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Q133">
        <v>182377</v>
      </c>
      <c r="AR133" t="b">
        <v>1</v>
      </c>
      <c r="AS133" t="b">
        <v>1</v>
      </c>
      <c r="AT133" t="b">
        <v>1</v>
      </c>
      <c r="AU133" t="b">
        <v>1</v>
      </c>
      <c r="AV133" t="b">
        <v>1</v>
      </c>
      <c r="AW133" t="b">
        <v>1</v>
      </c>
      <c r="AX133" t="b">
        <v>1</v>
      </c>
      <c r="BA133" t="s">
        <v>403</v>
      </c>
    </row>
    <row r="134" spans="1:53" x14ac:dyDescent="0.25">
      <c r="A134" t="s">
        <v>386</v>
      </c>
      <c r="B134">
        <v>7</v>
      </c>
      <c r="C134">
        <v>1</v>
      </c>
      <c r="D134">
        <v>1</v>
      </c>
      <c r="E134">
        <v>52081900</v>
      </c>
      <c r="F134">
        <v>274799</v>
      </c>
      <c r="G134" t="s">
        <v>311</v>
      </c>
      <c r="H134" t="s">
        <v>60</v>
      </c>
      <c r="I134" t="s">
        <v>60</v>
      </c>
      <c r="J134" t="s">
        <v>60</v>
      </c>
      <c r="K134" t="s">
        <v>60</v>
      </c>
      <c r="L134" t="s">
        <v>27</v>
      </c>
      <c r="M134">
        <v>6.6749999999999998</v>
      </c>
      <c r="P134">
        <v>40</v>
      </c>
      <c r="Q134" t="s">
        <v>80</v>
      </c>
      <c r="R134" t="s">
        <v>409</v>
      </c>
      <c r="S134" t="s">
        <v>358</v>
      </c>
      <c r="T134" t="s">
        <v>327</v>
      </c>
      <c r="V134">
        <v>0</v>
      </c>
      <c r="Y134">
        <v>0</v>
      </c>
      <c r="Z134">
        <v>0</v>
      </c>
      <c r="AA134">
        <v>0</v>
      </c>
      <c r="AB134">
        <v>1601472.41</v>
      </c>
      <c r="AC134">
        <v>0</v>
      </c>
      <c r="AD134">
        <v>0</v>
      </c>
      <c r="AE134">
        <v>0</v>
      </c>
      <c r="AQ134">
        <v>182378</v>
      </c>
      <c r="AR134" t="b">
        <v>1</v>
      </c>
      <c r="AS134" t="b">
        <v>1</v>
      </c>
      <c r="AT134" t="b">
        <v>1</v>
      </c>
      <c r="AU134" t="b">
        <v>1</v>
      </c>
      <c r="AV134" t="b">
        <v>1</v>
      </c>
      <c r="AW134" t="b">
        <v>1</v>
      </c>
      <c r="AX134" t="b">
        <v>1</v>
      </c>
      <c r="BA134" t="s">
        <v>404</v>
      </c>
    </row>
    <row r="135" spans="1:53" x14ac:dyDescent="0.25">
      <c r="A135" t="s">
        <v>386</v>
      </c>
      <c r="B135">
        <v>7</v>
      </c>
      <c r="C135">
        <v>2</v>
      </c>
      <c r="D135">
        <v>1</v>
      </c>
      <c r="E135">
        <v>52081900</v>
      </c>
      <c r="F135">
        <v>275340</v>
      </c>
      <c r="G135" t="s">
        <v>312</v>
      </c>
      <c r="H135" t="s">
        <v>60</v>
      </c>
      <c r="I135" t="s">
        <v>60</v>
      </c>
      <c r="J135" t="s">
        <v>60</v>
      </c>
      <c r="K135" t="s">
        <v>60</v>
      </c>
      <c r="L135" t="s">
        <v>27</v>
      </c>
      <c r="M135">
        <v>6.6749999999999998</v>
      </c>
      <c r="P135">
        <v>40</v>
      </c>
      <c r="Q135" t="s">
        <v>80</v>
      </c>
      <c r="R135" t="s">
        <v>429</v>
      </c>
      <c r="S135" t="s">
        <v>376</v>
      </c>
      <c r="T135" t="s">
        <v>347</v>
      </c>
      <c r="V135">
        <v>0</v>
      </c>
      <c r="Y135">
        <v>0</v>
      </c>
      <c r="Z135">
        <v>0</v>
      </c>
      <c r="AA135">
        <v>0</v>
      </c>
      <c r="AB135">
        <v>1601472.41</v>
      </c>
      <c r="AC135">
        <v>0</v>
      </c>
      <c r="AD135">
        <v>0</v>
      </c>
      <c r="AE135">
        <v>0</v>
      </c>
      <c r="AQ135">
        <v>182378</v>
      </c>
      <c r="AR135" t="b">
        <v>1</v>
      </c>
      <c r="AS135" t="b">
        <v>1</v>
      </c>
      <c r="AT135" t="b">
        <v>1</v>
      </c>
      <c r="AU135" t="b">
        <v>1</v>
      </c>
      <c r="AV135" t="b">
        <v>1</v>
      </c>
      <c r="AW135" t="b">
        <v>1</v>
      </c>
      <c r="AX135" t="b">
        <v>1</v>
      </c>
      <c r="BA135" t="s">
        <v>404</v>
      </c>
    </row>
    <row r="136" spans="1:53" x14ac:dyDescent="0.25">
      <c r="A136" t="s">
        <v>386</v>
      </c>
      <c r="B136">
        <v>7</v>
      </c>
      <c r="C136">
        <v>3</v>
      </c>
      <c r="D136">
        <v>1</v>
      </c>
      <c r="E136">
        <v>56039200</v>
      </c>
      <c r="F136">
        <v>267890</v>
      </c>
      <c r="G136" t="s">
        <v>323</v>
      </c>
      <c r="H136" t="s">
        <v>60</v>
      </c>
      <c r="I136" t="s">
        <v>60</v>
      </c>
      <c r="J136" t="s">
        <v>60</v>
      </c>
      <c r="K136" t="s">
        <v>60</v>
      </c>
      <c r="L136" t="s">
        <v>11</v>
      </c>
      <c r="M136">
        <v>4.2</v>
      </c>
      <c r="P136">
        <v>40</v>
      </c>
      <c r="Q136" t="s">
        <v>80</v>
      </c>
      <c r="R136" t="s">
        <v>430</v>
      </c>
      <c r="S136" t="s">
        <v>377</v>
      </c>
      <c r="T136" t="s">
        <v>348</v>
      </c>
      <c r="V136">
        <v>0</v>
      </c>
      <c r="Y136">
        <v>0</v>
      </c>
      <c r="Z136">
        <v>0</v>
      </c>
      <c r="AA136">
        <v>0</v>
      </c>
      <c r="AB136">
        <v>24832.16</v>
      </c>
      <c r="AC136">
        <v>0</v>
      </c>
      <c r="AD136">
        <v>0</v>
      </c>
      <c r="AE136">
        <v>0</v>
      </c>
      <c r="AQ136">
        <v>182378</v>
      </c>
      <c r="AR136" t="b">
        <v>1</v>
      </c>
      <c r="AS136" t="b">
        <v>1</v>
      </c>
      <c r="AT136" t="b">
        <v>1</v>
      </c>
      <c r="AU136" t="b">
        <v>1</v>
      </c>
      <c r="AV136" t="b">
        <v>1</v>
      </c>
      <c r="AW136" t="b">
        <v>1</v>
      </c>
      <c r="AX136" t="b">
        <v>1</v>
      </c>
      <c r="BA136" t="s">
        <v>404</v>
      </c>
    </row>
    <row r="137" spans="1:53" x14ac:dyDescent="0.25">
      <c r="A137" t="s">
        <v>386</v>
      </c>
      <c r="B137">
        <v>7</v>
      </c>
      <c r="C137">
        <v>4</v>
      </c>
      <c r="D137">
        <v>1</v>
      </c>
      <c r="E137">
        <v>96062100</v>
      </c>
      <c r="F137">
        <v>270819</v>
      </c>
      <c r="G137" t="s">
        <v>324</v>
      </c>
      <c r="H137" t="s">
        <v>60</v>
      </c>
      <c r="I137" t="s">
        <v>60</v>
      </c>
      <c r="J137" t="s">
        <v>60</v>
      </c>
      <c r="K137" t="s">
        <v>60</v>
      </c>
      <c r="L137" t="s">
        <v>12</v>
      </c>
      <c r="M137">
        <v>276.5</v>
      </c>
      <c r="P137">
        <v>40</v>
      </c>
      <c r="Q137" t="s">
        <v>80</v>
      </c>
      <c r="R137" t="s">
        <v>431</v>
      </c>
      <c r="S137" t="s">
        <v>378</v>
      </c>
      <c r="T137" t="s">
        <v>349</v>
      </c>
      <c r="V137">
        <v>0</v>
      </c>
      <c r="Y137">
        <v>0</v>
      </c>
      <c r="Z137">
        <v>0</v>
      </c>
      <c r="AA137">
        <v>0</v>
      </c>
      <c r="AB137">
        <v>52535</v>
      </c>
      <c r="AC137">
        <v>0</v>
      </c>
      <c r="AD137">
        <v>0</v>
      </c>
      <c r="AE137">
        <v>0</v>
      </c>
      <c r="AQ137">
        <v>182378</v>
      </c>
      <c r="AR137" t="b">
        <v>1</v>
      </c>
      <c r="AS137" t="b">
        <v>1</v>
      </c>
      <c r="AT137" t="b">
        <v>1</v>
      </c>
      <c r="AU137" t="b">
        <v>1</v>
      </c>
      <c r="AV137" t="b">
        <v>1</v>
      </c>
      <c r="AW137" t="b">
        <v>1</v>
      </c>
      <c r="AX137" t="b">
        <v>1</v>
      </c>
      <c r="BA137" t="s">
        <v>404</v>
      </c>
    </row>
    <row r="138" spans="1:53" x14ac:dyDescent="0.25">
      <c r="A138" t="s">
        <v>386</v>
      </c>
      <c r="B138">
        <v>7</v>
      </c>
      <c r="C138">
        <v>5</v>
      </c>
      <c r="D138">
        <v>1</v>
      </c>
      <c r="E138">
        <v>96062100</v>
      </c>
      <c r="F138">
        <v>270819</v>
      </c>
      <c r="G138" t="s">
        <v>324</v>
      </c>
      <c r="H138" t="s">
        <v>60</v>
      </c>
      <c r="I138" t="s">
        <v>60</v>
      </c>
      <c r="J138" t="s">
        <v>60</v>
      </c>
      <c r="K138" t="s">
        <v>60</v>
      </c>
      <c r="L138" t="s">
        <v>12</v>
      </c>
      <c r="M138">
        <v>504.5</v>
      </c>
      <c r="P138">
        <v>40</v>
      </c>
      <c r="Q138" t="s">
        <v>80</v>
      </c>
      <c r="R138" t="s">
        <v>432</v>
      </c>
      <c r="S138" t="s">
        <v>379</v>
      </c>
      <c r="T138" t="s">
        <v>350</v>
      </c>
      <c r="V138">
        <v>0</v>
      </c>
      <c r="Y138">
        <v>0</v>
      </c>
      <c r="Z138">
        <v>0</v>
      </c>
      <c r="AA138">
        <v>0</v>
      </c>
      <c r="AB138">
        <v>95855</v>
      </c>
      <c r="AC138">
        <v>0</v>
      </c>
      <c r="AD138">
        <v>0</v>
      </c>
      <c r="AE138">
        <v>0</v>
      </c>
      <c r="AQ138">
        <v>182378</v>
      </c>
      <c r="AR138" t="b">
        <v>1</v>
      </c>
      <c r="AS138" t="b">
        <v>1</v>
      </c>
      <c r="AT138" t="b">
        <v>1</v>
      </c>
      <c r="AU138" t="b">
        <v>1</v>
      </c>
      <c r="AV138" t="b">
        <v>1</v>
      </c>
      <c r="AW138" t="b">
        <v>1</v>
      </c>
      <c r="AX138" t="b">
        <v>1</v>
      </c>
      <c r="BA138" t="s">
        <v>404</v>
      </c>
    </row>
    <row r="139" spans="1:53" x14ac:dyDescent="0.25">
      <c r="A139" t="s">
        <v>386</v>
      </c>
      <c r="B139">
        <v>7</v>
      </c>
      <c r="C139">
        <v>6</v>
      </c>
      <c r="D139">
        <v>1</v>
      </c>
      <c r="E139">
        <v>96062100</v>
      </c>
      <c r="F139">
        <v>270819</v>
      </c>
      <c r="G139" t="s">
        <v>324</v>
      </c>
      <c r="H139" t="s">
        <v>60</v>
      </c>
      <c r="I139" t="s">
        <v>60</v>
      </c>
      <c r="J139" t="s">
        <v>60</v>
      </c>
      <c r="K139" t="s">
        <v>60</v>
      </c>
      <c r="L139" t="s">
        <v>12</v>
      </c>
      <c r="M139">
        <v>269</v>
      </c>
      <c r="P139">
        <v>40</v>
      </c>
      <c r="Q139" t="s">
        <v>80</v>
      </c>
      <c r="R139" t="s">
        <v>433</v>
      </c>
      <c r="S139" t="s">
        <v>380</v>
      </c>
      <c r="T139" t="s">
        <v>351</v>
      </c>
      <c r="V139">
        <v>0</v>
      </c>
      <c r="Y139">
        <v>0</v>
      </c>
      <c r="Z139">
        <v>0</v>
      </c>
      <c r="AA139">
        <v>0</v>
      </c>
      <c r="AB139">
        <v>51110</v>
      </c>
      <c r="AC139">
        <v>0</v>
      </c>
      <c r="AD139">
        <v>0</v>
      </c>
      <c r="AE139">
        <v>0</v>
      </c>
      <c r="AQ139">
        <v>182378</v>
      </c>
      <c r="AR139" t="b">
        <v>1</v>
      </c>
      <c r="AS139" t="b">
        <v>1</v>
      </c>
      <c r="AT139" t="b">
        <v>1</v>
      </c>
      <c r="AU139" t="b">
        <v>1</v>
      </c>
      <c r="AV139" t="b">
        <v>1</v>
      </c>
      <c r="AW139" t="b">
        <v>1</v>
      </c>
      <c r="AX139" t="b">
        <v>1</v>
      </c>
      <c r="BA139" t="s">
        <v>404</v>
      </c>
    </row>
    <row r="140" spans="1:53" x14ac:dyDescent="0.25">
      <c r="A140" t="s">
        <v>386</v>
      </c>
      <c r="B140">
        <v>7</v>
      </c>
      <c r="C140">
        <v>7</v>
      </c>
      <c r="D140">
        <v>1</v>
      </c>
      <c r="E140">
        <v>39191020</v>
      </c>
      <c r="F140">
        <v>273158</v>
      </c>
      <c r="G140" t="s">
        <v>325</v>
      </c>
      <c r="H140" t="s">
        <v>60</v>
      </c>
      <c r="I140" t="s">
        <v>60</v>
      </c>
      <c r="J140" t="s">
        <v>60</v>
      </c>
      <c r="K140" t="s">
        <v>60</v>
      </c>
      <c r="L140" t="s">
        <v>27</v>
      </c>
      <c r="M140">
        <v>32.369999999999997</v>
      </c>
      <c r="P140">
        <v>40</v>
      </c>
      <c r="Q140" t="s">
        <v>80</v>
      </c>
      <c r="R140" t="s">
        <v>434</v>
      </c>
      <c r="S140" t="s">
        <v>381</v>
      </c>
      <c r="T140" t="s">
        <v>352</v>
      </c>
      <c r="V140">
        <v>0</v>
      </c>
      <c r="Y140">
        <v>0</v>
      </c>
      <c r="Z140">
        <v>0</v>
      </c>
      <c r="AA140">
        <v>0</v>
      </c>
      <c r="AB140">
        <v>9711000</v>
      </c>
      <c r="AC140">
        <v>0</v>
      </c>
      <c r="AD140">
        <v>0</v>
      </c>
      <c r="AE140">
        <v>0</v>
      </c>
      <c r="AQ140">
        <v>182378</v>
      </c>
      <c r="AR140" t="b">
        <v>1</v>
      </c>
      <c r="AS140" t="b">
        <v>1</v>
      </c>
      <c r="AT140" t="b">
        <v>1</v>
      </c>
      <c r="AU140" t="b">
        <v>1</v>
      </c>
      <c r="AV140" t="b">
        <v>1</v>
      </c>
      <c r="AW140" t="b">
        <v>1</v>
      </c>
      <c r="AX140" t="b">
        <v>1</v>
      </c>
      <c r="BA140" t="s">
        <v>404</v>
      </c>
    </row>
    <row r="141" spans="1:53" x14ac:dyDescent="0.25">
      <c r="A141" t="s">
        <v>386</v>
      </c>
      <c r="B141">
        <v>7</v>
      </c>
      <c r="C141">
        <v>8</v>
      </c>
      <c r="D141">
        <v>1</v>
      </c>
      <c r="E141">
        <v>48211090</v>
      </c>
      <c r="F141">
        <v>297274</v>
      </c>
      <c r="G141" t="s">
        <v>315</v>
      </c>
      <c r="H141" t="s">
        <v>60</v>
      </c>
      <c r="I141" t="s">
        <v>60</v>
      </c>
      <c r="J141" t="s">
        <v>60</v>
      </c>
      <c r="K141" t="s">
        <v>60</v>
      </c>
      <c r="L141" t="s">
        <v>12</v>
      </c>
      <c r="M141">
        <v>150</v>
      </c>
      <c r="P141">
        <v>40</v>
      </c>
      <c r="Q141" t="s">
        <v>80</v>
      </c>
      <c r="R141" t="s">
        <v>415</v>
      </c>
      <c r="S141" t="s">
        <v>363</v>
      </c>
      <c r="T141" t="s">
        <v>333</v>
      </c>
      <c r="V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Q141">
        <v>182378</v>
      </c>
      <c r="AR141" t="b">
        <v>1</v>
      </c>
      <c r="AS141" t="b">
        <v>1</v>
      </c>
      <c r="AT141" t="b">
        <v>1</v>
      </c>
      <c r="AU141" t="b">
        <v>1</v>
      </c>
      <c r="AV141" t="b">
        <v>1</v>
      </c>
      <c r="AW141" t="b">
        <v>1</v>
      </c>
      <c r="AX141" t="b">
        <v>1</v>
      </c>
      <c r="BA141" t="s">
        <v>404</v>
      </c>
    </row>
    <row r="142" spans="1:53" x14ac:dyDescent="0.25">
      <c r="A142" t="s">
        <v>386</v>
      </c>
      <c r="B142">
        <v>7</v>
      </c>
      <c r="C142">
        <v>9</v>
      </c>
      <c r="D142">
        <v>1</v>
      </c>
      <c r="E142">
        <v>48211090</v>
      </c>
      <c r="F142">
        <v>297275</v>
      </c>
      <c r="G142" t="s">
        <v>316</v>
      </c>
      <c r="H142" t="s">
        <v>60</v>
      </c>
      <c r="I142" t="s">
        <v>60</v>
      </c>
      <c r="J142" t="s">
        <v>60</v>
      </c>
      <c r="K142" t="s">
        <v>60</v>
      </c>
      <c r="L142" t="s">
        <v>12</v>
      </c>
      <c r="M142">
        <v>23</v>
      </c>
      <c r="P142">
        <v>40</v>
      </c>
      <c r="Q142" t="s">
        <v>80</v>
      </c>
      <c r="R142" t="s">
        <v>415</v>
      </c>
      <c r="S142" t="s">
        <v>363</v>
      </c>
      <c r="T142" t="s">
        <v>333</v>
      </c>
      <c r="V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Q142">
        <v>182378</v>
      </c>
      <c r="AR142" t="b">
        <v>1</v>
      </c>
      <c r="AS142" t="b">
        <v>1</v>
      </c>
      <c r="AT142" t="b">
        <v>1</v>
      </c>
      <c r="AU142" t="b">
        <v>1</v>
      </c>
      <c r="AV142" t="b">
        <v>1</v>
      </c>
      <c r="AW142" t="b">
        <v>1</v>
      </c>
      <c r="AX142" t="b">
        <v>1</v>
      </c>
      <c r="BA142" t="s">
        <v>404</v>
      </c>
    </row>
    <row r="143" spans="1:53" x14ac:dyDescent="0.25">
      <c r="A143" t="s">
        <v>386</v>
      </c>
      <c r="B143">
        <v>7</v>
      </c>
      <c r="C143">
        <v>10</v>
      </c>
      <c r="D143">
        <v>1</v>
      </c>
      <c r="E143">
        <v>48211090</v>
      </c>
      <c r="F143">
        <v>297276</v>
      </c>
      <c r="G143" t="s">
        <v>317</v>
      </c>
      <c r="H143" t="s">
        <v>60</v>
      </c>
      <c r="I143" t="s">
        <v>60</v>
      </c>
      <c r="J143" t="s">
        <v>60</v>
      </c>
      <c r="K143" t="s">
        <v>60</v>
      </c>
      <c r="L143" t="s">
        <v>12</v>
      </c>
      <c r="M143">
        <v>52</v>
      </c>
      <c r="P143">
        <v>40</v>
      </c>
      <c r="Q143" t="s">
        <v>80</v>
      </c>
      <c r="R143" t="s">
        <v>415</v>
      </c>
      <c r="S143" t="s">
        <v>363</v>
      </c>
      <c r="T143" t="s">
        <v>333</v>
      </c>
      <c r="V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Q143">
        <v>182378</v>
      </c>
      <c r="AR143" t="b">
        <v>1</v>
      </c>
      <c r="AS143" t="b">
        <v>1</v>
      </c>
      <c r="AT143" t="b">
        <v>1</v>
      </c>
      <c r="AU143" t="b">
        <v>1</v>
      </c>
      <c r="AV143" t="b">
        <v>1</v>
      </c>
      <c r="AW143" t="b">
        <v>1</v>
      </c>
      <c r="AX143" t="b">
        <v>1</v>
      </c>
      <c r="BA143" t="s">
        <v>404</v>
      </c>
    </row>
    <row r="144" spans="1:53" x14ac:dyDescent="0.25">
      <c r="A144" t="s">
        <v>386</v>
      </c>
      <c r="B144">
        <v>7</v>
      </c>
      <c r="C144">
        <v>11</v>
      </c>
      <c r="D144">
        <v>1</v>
      </c>
      <c r="E144">
        <v>48211090</v>
      </c>
      <c r="F144">
        <v>297277</v>
      </c>
      <c r="G144" t="s">
        <v>318</v>
      </c>
      <c r="H144" t="s">
        <v>60</v>
      </c>
      <c r="I144" t="s">
        <v>60</v>
      </c>
      <c r="J144" t="s">
        <v>60</v>
      </c>
      <c r="K144" t="s">
        <v>60</v>
      </c>
      <c r="L144" t="s">
        <v>12</v>
      </c>
      <c r="M144">
        <v>38</v>
      </c>
      <c r="P144">
        <v>40</v>
      </c>
      <c r="Q144" t="s">
        <v>80</v>
      </c>
      <c r="R144" t="s">
        <v>415</v>
      </c>
      <c r="S144" t="s">
        <v>363</v>
      </c>
      <c r="T144" t="s">
        <v>333</v>
      </c>
      <c r="V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Q144">
        <v>182378</v>
      </c>
      <c r="AR144" t="b">
        <v>1</v>
      </c>
      <c r="AS144" t="b">
        <v>1</v>
      </c>
      <c r="AT144" t="b">
        <v>1</v>
      </c>
      <c r="AU144" t="b">
        <v>1</v>
      </c>
      <c r="AV144" t="b">
        <v>1</v>
      </c>
      <c r="AW144" t="b">
        <v>1</v>
      </c>
      <c r="AX144" t="b">
        <v>1</v>
      </c>
      <c r="BA144" t="s">
        <v>404</v>
      </c>
    </row>
    <row r="145" spans="1:53" x14ac:dyDescent="0.25">
      <c r="A145" t="s">
        <v>386</v>
      </c>
      <c r="B145">
        <v>7</v>
      </c>
      <c r="C145">
        <v>12</v>
      </c>
      <c r="D145">
        <v>1</v>
      </c>
      <c r="E145">
        <v>48211090</v>
      </c>
      <c r="F145">
        <v>297278</v>
      </c>
      <c r="G145" t="s">
        <v>319</v>
      </c>
      <c r="H145" t="s">
        <v>60</v>
      </c>
      <c r="I145" t="s">
        <v>60</v>
      </c>
      <c r="J145" t="s">
        <v>60</v>
      </c>
      <c r="K145" t="s">
        <v>60</v>
      </c>
      <c r="L145" t="s">
        <v>12</v>
      </c>
      <c r="M145">
        <v>37</v>
      </c>
      <c r="P145">
        <v>40</v>
      </c>
      <c r="Q145" t="s">
        <v>80</v>
      </c>
      <c r="R145" t="s">
        <v>415</v>
      </c>
      <c r="S145" t="s">
        <v>363</v>
      </c>
      <c r="T145" t="s">
        <v>333</v>
      </c>
      <c r="V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Q145">
        <v>182378</v>
      </c>
      <c r="AR145" t="b">
        <v>1</v>
      </c>
      <c r="AS145" t="b">
        <v>1</v>
      </c>
      <c r="AT145" t="b">
        <v>1</v>
      </c>
      <c r="AU145" t="b">
        <v>1</v>
      </c>
      <c r="AV145" t="b">
        <v>1</v>
      </c>
      <c r="AW145" t="b">
        <v>1</v>
      </c>
      <c r="AX145" t="b">
        <v>1</v>
      </c>
      <c r="BA145" t="s">
        <v>404</v>
      </c>
    </row>
    <row r="146" spans="1:53" x14ac:dyDescent="0.25">
      <c r="A146" t="s">
        <v>386</v>
      </c>
      <c r="B146">
        <v>9</v>
      </c>
      <c r="C146">
        <v>1</v>
      </c>
      <c r="D146">
        <v>1</v>
      </c>
      <c r="E146">
        <v>52081900</v>
      </c>
      <c r="F146">
        <v>274799</v>
      </c>
      <c r="G146" t="s">
        <v>311</v>
      </c>
      <c r="H146" t="s">
        <v>60</v>
      </c>
      <c r="I146" t="s">
        <v>60</v>
      </c>
      <c r="J146" t="s">
        <v>60</v>
      </c>
      <c r="K146" t="s">
        <v>60</v>
      </c>
      <c r="L146" t="s">
        <v>27</v>
      </c>
      <c r="M146">
        <v>3.75</v>
      </c>
      <c r="P146">
        <v>40</v>
      </c>
      <c r="Q146" t="s">
        <v>80</v>
      </c>
      <c r="R146" t="s">
        <v>409</v>
      </c>
      <c r="S146" t="s">
        <v>358</v>
      </c>
      <c r="T146" t="s">
        <v>327</v>
      </c>
      <c r="V146">
        <v>0</v>
      </c>
      <c r="Y146">
        <v>0</v>
      </c>
      <c r="Z146">
        <v>0</v>
      </c>
      <c r="AA146">
        <v>0</v>
      </c>
      <c r="AB146">
        <v>899703.6</v>
      </c>
      <c r="AC146">
        <v>0</v>
      </c>
      <c r="AD146">
        <v>0</v>
      </c>
      <c r="AE146">
        <v>0</v>
      </c>
      <c r="AQ146">
        <v>182379</v>
      </c>
      <c r="AR146" t="b">
        <v>1</v>
      </c>
      <c r="AS146" t="b">
        <v>1</v>
      </c>
      <c r="AT146" t="b">
        <v>1</v>
      </c>
      <c r="AU146" t="b">
        <v>1</v>
      </c>
      <c r="AV146" t="b">
        <v>1</v>
      </c>
      <c r="AW146" t="b">
        <v>1</v>
      </c>
      <c r="AX146" t="b">
        <v>1</v>
      </c>
      <c r="BA146" t="s">
        <v>405</v>
      </c>
    </row>
    <row r="147" spans="1:53" x14ac:dyDescent="0.25">
      <c r="A147" t="s">
        <v>386</v>
      </c>
      <c r="B147">
        <v>9</v>
      </c>
      <c r="C147">
        <v>2</v>
      </c>
      <c r="D147">
        <v>1</v>
      </c>
      <c r="E147">
        <v>52081900</v>
      </c>
      <c r="F147">
        <v>275340</v>
      </c>
      <c r="G147" t="s">
        <v>312</v>
      </c>
      <c r="H147" t="s">
        <v>60</v>
      </c>
      <c r="I147" t="s">
        <v>60</v>
      </c>
      <c r="J147" t="s">
        <v>60</v>
      </c>
      <c r="K147" t="s">
        <v>60</v>
      </c>
      <c r="L147" t="s">
        <v>27</v>
      </c>
      <c r="M147">
        <v>3.75</v>
      </c>
      <c r="P147">
        <v>40</v>
      </c>
      <c r="Q147" t="s">
        <v>80</v>
      </c>
      <c r="R147" t="s">
        <v>429</v>
      </c>
      <c r="S147" t="s">
        <v>376</v>
      </c>
      <c r="T147" t="s">
        <v>347</v>
      </c>
      <c r="V147">
        <v>0</v>
      </c>
      <c r="Y147">
        <v>0</v>
      </c>
      <c r="Z147">
        <v>0</v>
      </c>
      <c r="AA147">
        <v>0</v>
      </c>
      <c r="AB147">
        <v>899703.6</v>
      </c>
      <c r="AC147">
        <v>0</v>
      </c>
      <c r="AD147">
        <v>0</v>
      </c>
      <c r="AE147">
        <v>0</v>
      </c>
      <c r="AQ147">
        <v>182379</v>
      </c>
      <c r="AR147" t="b">
        <v>1</v>
      </c>
      <c r="AS147" t="b">
        <v>1</v>
      </c>
      <c r="AT147" t="b">
        <v>1</v>
      </c>
      <c r="AU147" t="b">
        <v>1</v>
      </c>
      <c r="AV147" t="b">
        <v>1</v>
      </c>
      <c r="AW147" t="b">
        <v>1</v>
      </c>
      <c r="AX147" t="b">
        <v>1</v>
      </c>
      <c r="BA147" t="s">
        <v>405</v>
      </c>
    </row>
    <row r="148" spans="1:53" x14ac:dyDescent="0.25">
      <c r="A148" t="s">
        <v>386</v>
      </c>
      <c r="B148">
        <v>9</v>
      </c>
      <c r="C148">
        <v>3</v>
      </c>
      <c r="D148">
        <v>1</v>
      </c>
      <c r="E148">
        <v>56039200</v>
      </c>
      <c r="F148">
        <v>267890</v>
      </c>
      <c r="G148" t="s">
        <v>323</v>
      </c>
      <c r="H148" t="s">
        <v>60</v>
      </c>
      <c r="I148" t="s">
        <v>60</v>
      </c>
      <c r="J148" t="s">
        <v>60</v>
      </c>
      <c r="K148" t="s">
        <v>60</v>
      </c>
      <c r="L148" t="s">
        <v>11</v>
      </c>
      <c r="M148">
        <v>4.5999999999999996</v>
      </c>
      <c r="P148">
        <v>40</v>
      </c>
      <c r="Q148" t="s">
        <v>80</v>
      </c>
      <c r="R148" t="s">
        <v>430</v>
      </c>
      <c r="S148" t="s">
        <v>377</v>
      </c>
      <c r="T148" t="s">
        <v>348</v>
      </c>
      <c r="V148">
        <v>0</v>
      </c>
      <c r="Y148">
        <v>0</v>
      </c>
      <c r="Z148">
        <v>0</v>
      </c>
      <c r="AA148">
        <v>0</v>
      </c>
      <c r="AB148">
        <v>27197.13</v>
      </c>
      <c r="AC148">
        <v>0</v>
      </c>
      <c r="AD148">
        <v>0</v>
      </c>
      <c r="AE148">
        <v>0</v>
      </c>
      <c r="AQ148">
        <v>182379</v>
      </c>
      <c r="AR148" t="b">
        <v>1</v>
      </c>
      <c r="AS148" t="b">
        <v>1</v>
      </c>
      <c r="AT148" t="b">
        <v>1</v>
      </c>
      <c r="AU148" t="b">
        <v>1</v>
      </c>
      <c r="AV148" t="b">
        <v>1</v>
      </c>
      <c r="AW148" t="b">
        <v>1</v>
      </c>
      <c r="AX148" t="b">
        <v>1</v>
      </c>
      <c r="BA148" t="s">
        <v>405</v>
      </c>
    </row>
    <row r="149" spans="1:53" x14ac:dyDescent="0.25">
      <c r="A149" t="s">
        <v>386</v>
      </c>
      <c r="B149">
        <v>9</v>
      </c>
      <c r="C149">
        <v>4</v>
      </c>
      <c r="D149">
        <v>1</v>
      </c>
      <c r="E149">
        <v>96062100</v>
      </c>
      <c r="F149">
        <v>270819</v>
      </c>
      <c r="G149" t="s">
        <v>324</v>
      </c>
      <c r="H149" t="s">
        <v>60</v>
      </c>
      <c r="I149" t="s">
        <v>60</v>
      </c>
      <c r="J149" t="s">
        <v>60</v>
      </c>
      <c r="K149" t="s">
        <v>60</v>
      </c>
      <c r="L149" t="s">
        <v>12</v>
      </c>
      <c r="M149">
        <v>300</v>
      </c>
      <c r="P149">
        <v>40</v>
      </c>
      <c r="Q149" t="s">
        <v>80</v>
      </c>
      <c r="R149" t="s">
        <v>431</v>
      </c>
      <c r="S149" t="s">
        <v>378</v>
      </c>
      <c r="T149" t="s">
        <v>349</v>
      </c>
      <c r="V149">
        <v>0</v>
      </c>
      <c r="Y149">
        <v>0</v>
      </c>
      <c r="Z149">
        <v>0</v>
      </c>
      <c r="AA149">
        <v>0</v>
      </c>
      <c r="AB149">
        <v>57000</v>
      </c>
      <c r="AC149">
        <v>0</v>
      </c>
      <c r="AD149">
        <v>0</v>
      </c>
      <c r="AE149">
        <v>0</v>
      </c>
      <c r="AQ149">
        <v>182379</v>
      </c>
      <c r="AR149" t="b">
        <v>1</v>
      </c>
      <c r="AS149" t="b">
        <v>1</v>
      </c>
      <c r="AT149" t="b">
        <v>1</v>
      </c>
      <c r="AU149" t="b">
        <v>1</v>
      </c>
      <c r="AV149" t="b">
        <v>1</v>
      </c>
      <c r="AW149" t="b">
        <v>1</v>
      </c>
      <c r="AX149" t="b">
        <v>1</v>
      </c>
      <c r="BA149" t="s">
        <v>405</v>
      </c>
    </row>
    <row r="150" spans="1:53" x14ac:dyDescent="0.25">
      <c r="A150" t="s">
        <v>386</v>
      </c>
      <c r="B150">
        <v>9</v>
      </c>
      <c r="C150">
        <v>5</v>
      </c>
      <c r="D150">
        <v>1</v>
      </c>
      <c r="E150">
        <v>39191020</v>
      </c>
      <c r="F150">
        <v>273158</v>
      </c>
      <c r="G150" t="s">
        <v>325</v>
      </c>
      <c r="H150" t="s">
        <v>60</v>
      </c>
      <c r="I150" t="s">
        <v>60</v>
      </c>
      <c r="J150" t="s">
        <v>60</v>
      </c>
      <c r="K150" t="s">
        <v>60</v>
      </c>
      <c r="L150" t="s">
        <v>27</v>
      </c>
      <c r="M150">
        <v>21.58</v>
      </c>
      <c r="P150">
        <v>40</v>
      </c>
      <c r="Q150" t="s">
        <v>80</v>
      </c>
      <c r="R150" t="s">
        <v>434</v>
      </c>
      <c r="S150" t="s">
        <v>381</v>
      </c>
      <c r="T150" t="s">
        <v>352</v>
      </c>
      <c r="V150">
        <v>0</v>
      </c>
      <c r="Y150">
        <v>0</v>
      </c>
      <c r="Z150">
        <v>0</v>
      </c>
      <c r="AA150">
        <v>0</v>
      </c>
      <c r="AB150">
        <v>6474000</v>
      </c>
      <c r="AC150">
        <v>0</v>
      </c>
      <c r="AD150">
        <v>0</v>
      </c>
      <c r="AE150">
        <v>0</v>
      </c>
      <c r="AQ150">
        <v>182379</v>
      </c>
      <c r="AR150" t="b">
        <v>1</v>
      </c>
      <c r="AS150" t="b">
        <v>1</v>
      </c>
      <c r="AT150" t="b">
        <v>1</v>
      </c>
      <c r="AU150" t="b">
        <v>1</v>
      </c>
      <c r="AV150" t="b">
        <v>1</v>
      </c>
      <c r="AW150" t="b">
        <v>1</v>
      </c>
      <c r="AX150" t="b">
        <v>1</v>
      </c>
      <c r="BA150" t="s">
        <v>405</v>
      </c>
    </row>
    <row r="151" spans="1:53" x14ac:dyDescent="0.25">
      <c r="A151" t="s">
        <v>386</v>
      </c>
      <c r="B151">
        <v>9</v>
      </c>
      <c r="C151">
        <v>6</v>
      </c>
      <c r="D151">
        <v>1</v>
      </c>
      <c r="E151">
        <v>48211090</v>
      </c>
      <c r="F151">
        <v>297274</v>
      </c>
      <c r="G151" t="s">
        <v>315</v>
      </c>
      <c r="H151" t="s">
        <v>60</v>
      </c>
      <c r="I151" t="s">
        <v>60</v>
      </c>
      <c r="J151" t="s">
        <v>60</v>
      </c>
      <c r="K151" t="s">
        <v>60</v>
      </c>
      <c r="L151" t="s">
        <v>12</v>
      </c>
      <c r="M151">
        <v>100</v>
      </c>
      <c r="P151">
        <v>40</v>
      </c>
      <c r="Q151" t="s">
        <v>80</v>
      </c>
      <c r="R151" t="s">
        <v>415</v>
      </c>
      <c r="S151" t="s">
        <v>363</v>
      </c>
      <c r="T151" t="s">
        <v>333</v>
      </c>
      <c r="V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Q151">
        <v>182379</v>
      </c>
      <c r="AR151" t="b">
        <v>1</v>
      </c>
      <c r="AS151" t="b">
        <v>1</v>
      </c>
      <c r="AT151" t="b">
        <v>1</v>
      </c>
      <c r="AU151" t="b">
        <v>1</v>
      </c>
      <c r="AV151" t="b">
        <v>1</v>
      </c>
      <c r="AW151" t="b">
        <v>1</v>
      </c>
      <c r="AX151" t="b">
        <v>1</v>
      </c>
      <c r="BA151" t="s">
        <v>405</v>
      </c>
    </row>
    <row r="152" spans="1:53" x14ac:dyDescent="0.25">
      <c r="A152" t="s">
        <v>386</v>
      </c>
      <c r="B152">
        <v>9</v>
      </c>
      <c r="C152">
        <v>7</v>
      </c>
      <c r="D152">
        <v>1</v>
      </c>
      <c r="E152">
        <v>48211090</v>
      </c>
      <c r="F152">
        <v>297275</v>
      </c>
      <c r="G152" t="s">
        <v>316</v>
      </c>
      <c r="H152" t="s">
        <v>60</v>
      </c>
      <c r="I152" t="s">
        <v>60</v>
      </c>
      <c r="J152" t="s">
        <v>60</v>
      </c>
      <c r="K152" t="s">
        <v>60</v>
      </c>
      <c r="L152" t="s">
        <v>12</v>
      </c>
      <c r="M152">
        <v>15</v>
      </c>
      <c r="P152">
        <v>40</v>
      </c>
      <c r="Q152" t="s">
        <v>80</v>
      </c>
      <c r="R152" t="s">
        <v>415</v>
      </c>
      <c r="S152" t="s">
        <v>363</v>
      </c>
      <c r="T152" t="s">
        <v>333</v>
      </c>
      <c r="V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Q152">
        <v>182379</v>
      </c>
      <c r="AR152" t="b">
        <v>1</v>
      </c>
      <c r="AS152" t="b">
        <v>1</v>
      </c>
      <c r="AT152" t="b">
        <v>1</v>
      </c>
      <c r="AU152" t="b">
        <v>1</v>
      </c>
      <c r="AV152" t="b">
        <v>1</v>
      </c>
      <c r="AW152" t="b">
        <v>1</v>
      </c>
      <c r="AX152" t="b">
        <v>1</v>
      </c>
      <c r="BA152" t="s">
        <v>405</v>
      </c>
    </row>
    <row r="153" spans="1:53" x14ac:dyDescent="0.25">
      <c r="A153" t="s">
        <v>386</v>
      </c>
      <c r="B153">
        <v>9</v>
      </c>
      <c r="C153">
        <v>8</v>
      </c>
      <c r="D153">
        <v>1</v>
      </c>
      <c r="E153">
        <v>48211090</v>
      </c>
      <c r="F153">
        <v>297276</v>
      </c>
      <c r="G153" t="s">
        <v>317</v>
      </c>
      <c r="H153" t="s">
        <v>60</v>
      </c>
      <c r="I153" t="s">
        <v>60</v>
      </c>
      <c r="J153" t="s">
        <v>60</v>
      </c>
      <c r="K153" t="s">
        <v>60</v>
      </c>
      <c r="L153" t="s">
        <v>12</v>
      </c>
      <c r="M153">
        <v>35</v>
      </c>
      <c r="P153">
        <v>40</v>
      </c>
      <c r="Q153" t="s">
        <v>80</v>
      </c>
      <c r="R153" t="s">
        <v>415</v>
      </c>
      <c r="S153" t="s">
        <v>363</v>
      </c>
      <c r="T153" t="s">
        <v>333</v>
      </c>
      <c r="V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Q153">
        <v>182379</v>
      </c>
      <c r="AR153" t="b">
        <v>1</v>
      </c>
      <c r="AS153" t="b">
        <v>1</v>
      </c>
      <c r="AT153" t="b">
        <v>1</v>
      </c>
      <c r="AU153" t="b">
        <v>1</v>
      </c>
      <c r="AV153" t="b">
        <v>1</v>
      </c>
      <c r="AW153" t="b">
        <v>1</v>
      </c>
      <c r="AX153" t="b">
        <v>1</v>
      </c>
      <c r="BA153" t="s">
        <v>405</v>
      </c>
    </row>
    <row r="154" spans="1:53" x14ac:dyDescent="0.25">
      <c r="A154" t="s">
        <v>386</v>
      </c>
      <c r="B154">
        <v>9</v>
      </c>
      <c r="C154">
        <v>9</v>
      </c>
      <c r="D154">
        <v>1</v>
      </c>
      <c r="E154">
        <v>48211090</v>
      </c>
      <c r="F154">
        <v>297277</v>
      </c>
      <c r="G154" t="s">
        <v>318</v>
      </c>
      <c r="H154" t="s">
        <v>60</v>
      </c>
      <c r="I154" t="s">
        <v>60</v>
      </c>
      <c r="J154" t="s">
        <v>60</v>
      </c>
      <c r="K154" t="s">
        <v>60</v>
      </c>
      <c r="L154" t="s">
        <v>12</v>
      </c>
      <c r="M154">
        <v>25</v>
      </c>
      <c r="P154">
        <v>40</v>
      </c>
      <c r="Q154" t="s">
        <v>80</v>
      </c>
      <c r="R154" t="s">
        <v>415</v>
      </c>
      <c r="S154" t="s">
        <v>363</v>
      </c>
      <c r="T154" t="s">
        <v>333</v>
      </c>
      <c r="V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Q154">
        <v>182379</v>
      </c>
      <c r="AR154" t="b">
        <v>1</v>
      </c>
      <c r="AS154" t="b">
        <v>1</v>
      </c>
      <c r="AT154" t="b">
        <v>1</v>
      </c>
      <c r="AU154" t="b">
        <v>1</v>
      </c>
      <c r="AV154" t="b">
        <v>1</v>
      </c>
      <c r="AW154" t="b">
        <v>1</v>
      </c>
      <c r="AX154" t="b">
        <v>1</v>
      </c>
      <c r="BA154" t="s">
        <v>405</v>
      </c>
    </row>
    <row r="155" spans="1:53" x14ac:dyDescent="0.25">
      <c r="A155" t="s">
        <v>386</v>
      </c>
      <c r="B155">
        <v>9</v>
      </c>
      <c r="C155">
        <v>10</v>
      </c>
      <c r="D155">
        <v>1</v>
      </c>
      <c r="E155">
        <v>48211090</v>
      </c>
      <c r="F155">
        <v>297278</v>
      </c>
      <c r="G155" t="s">
        <v>319</v>
      </c>
      <c r="H155" t="s">
        <v>60</v>
      </c>
      <c r="I155" t="s">
        <v>60</v>
      </c>
      <c r="J155" t="s">
        <v>60</v>
      </c>
      <c r="K155" t="s">
        <v>60</v>
      </c>
      <c r="L155" t="s">
        <v>12</v>
      </c>
      <c r="M155">
        <v>25</v>
      </c>
      <c r="P155">
        <v>40</v>
      </c>
      <c r="Q155" t="s">
        <v>80</v>
      </c>
      <c r="R155" t="s">
        <v>415</v>
      </c>
      <c r="S155" t="s">
        <v>363</v>
      </c>
      <c r="T155" t="s">
        <v>333</v>
      </c>
      <c r="V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Q155">
        <v>182379</v>
      </c>
      <c r="AR155" t="b">
        <v>1</v>
      </c>
      <c r="AS155" t="b">
        <v>1</v>
      </c>
      <c r="AT155" t="b">
        <v>1</v>
      </c>
      <c r="AU155" t="b">
        <v>1</v>
      </c>
      <c r="AV155" t="b">
        <v>1</v>
      </c>
      <c r="AW155" t="b">
        <v>1</v>
      </c>
      <c r="AX155" t="b">
        <v>1</v>
      </c>
      <c r="BA155" t="s">
        <v>405</v>
      </c>
    </row>
    <row r="156" spans="1:53" x14ac:dyDescent="0.25">
      <c r="A156" t="s">
        <v>386</v>
      </c>
      <c r="B156">
        <v>11</v>
      </c>
      <c r="C156">
        <v>1</v>
      </c>
      <c r="D156">
        <v>1</v>
      </c>
      <c r="E156">
        <v>52081900</v>
      </c>
      <c r="F156">
        <v>274799</v>
      </c>
      <c r="G156" t="s">
        <v>311</v>
      </c>
      <c r="H156" t="s">
        <v>60</v>
      </c>
      <c r="I156" t="s">
        <v>60</v>
      </c>
      <c r="J156" t="s">
        <v>60</v>
      </c>
      <c r="K156" t="s">
        <v>60</v>
      </c>
      <c r="L156" t="s">
        <v>27</v>
      </c>
      <c r="M156">
        <v>9.6</v>
      </c>
      <c r="P156">
        <v>40</v>
      </c>
      <c r="Q156" t="s">
        <v>80</v>
      </c>
      <c r="R156" t="s">
        <v>409</v>
      </c>
      <c r="S156" t="s">
        <v>358</v>
      </c>
      <c r="T156" t="s">
        <v>327</v>
      </c>
      <c r="V156">
        <v>0</v>
      </c>
      <c r="Y156">
        <v>0</v>
      </c>
      <c r="Z156">
        <v>0</v>
      </c>
      <c r="AA156">
        <v>0</v>
      </c>
      <c r="AB156">
        <v>2303241.2200000002</v>
      </c>
      <c r="AC156">
        <v>0</v>
      </c>
      <c r="AD156">
        <v>0</v>
      </c>
      <c r="AE156">
        <v>0</v>
      </c>
      <c r="AQ156">
        <v>182380</v>
      </c>
      <c r="AR156" t="b">
        <v>1</v>
      </c>
      <c r="AS156" t="b">
        <v>1</v>
      </c>
      <c r="AT156" t="b">
        <v>1</v>
      </c>
      <c r="AU156" t="b">
        <v>1</v>
      </c>
      <c r="AV156" t="b">
        <v>1</v>
      </c>
      <c r="AW156" t="b">
        <v>1</v>
      </c>
      <c r="AX156" t="b">
        <v>1</v>
      </c>
      <c r="BA156" t="s">
        <v>406</v>
      </c>
    </row>
    <row r="157" spans="1:53" x14ac:dyDescent="0.25">
      <c r="A157" t="s">
        <v>386</v>
      </c>
      <c r="B157">
        <v>11</v>
      </c>
      <c r="C157">
        <v>2</v>
      </c>
      <c r="D157">
        <v>1</v>
      </c>
      <c r="E157">
        <v>52081900</v>
      </c>
      <c r="F157">
        <v>275340</v>
      </c>
      <c r="G157" t="s">
        <v>312</v>
      </c>
      <c r="H157" t="s">
        <v>60</v>
      </c>
      <c r="I157" t="s">
        <v>60</v>
      </c>
      <c r="J157" t="s">
        <v>60</v>
      </c>
      <c r="K157" t="s">
        <v>60</v>
      </c>
      <c r="L157" t="s">
        <v>27</v>
      </c>
      <c r="M157">
        <v>9.6</v>
      </c>
      <c r="P157">
        <v>40</v>
      </c>
      <c r="Q157" t="s">
        <v>80</v>
      </c>
      <c r="R157" t="s">
        <v>435</v>
      </c>
      <c r="S157" t="s">
        <v>382</v>
      </c>
      <c r="T157" t="s">
        <v>353</v>
      </c>
      <c r="V157">
        <v>0</v>
      </c>
      <c r="Y157">
        <v>0</v>
      </c>
      <c r="Z157">
        <v>0</v>
      </c>
      <c r="AA157">
        <v>0</v>
      </c>
      <c r="AB157">
        <v>2303241.2200000002</v>
      </c>
      <c r="AC157">
        <v>0</v>
      </c>
      <c r="AD157">
        <v>0</v>
      </c>
      <c r="AE157">
        <v>0</v>
      </c>
      <c r="AQ157">
        <v>182380</v>
      </c>
      <c r="AR157" t="b">
        <v>1</v>
      </c>
      <c r="AS157" t="b">
        <v>1</v>
      </c>
      <c r="AT157" t="b">
        <v>1</v>
      </c>
      <c r="AU157" t="b">
        <v>1</v>
      </c>
      <c r="AV157" t="b">
        <v>1</v>
      </c>
      <c r="AW157" t="b">
        <v>1</v>
      </c>
      <c r="AX157" t="b">
        <v>1</v>
      </c>
      <c r="BA157" t="s">
        <v>406</v>
      </c>
    </row>
    <row r="158" spans="1:53" x14ac:dyDescent="0.25">
      <c r="A158" t="s">
        <v>386</v>
      </c>
      <c r="B158">
        <v>11</v>
      </c>
      <c r="C158">
        <v>3</v>
      </c>
      <c r="D158">
        <v>1</v>
      </c>
      <c r="E158">
        <v>56039200</v>
      </c>
      <c r="F158">
        <v>267890</v>
      </c>
      <c r="G158" t="s">
        <v>323</v>
      </c>
      <c r="H158" t="s">
        <v>60</v>
      </c>
      <c r="I158" t="s">
        <v>60</v>
      </c>
      <c r="J158" t="s">
        <v>60</v>
      </c>
      <c r="K158" t="s">
        <v>60</v>
      </c>
      <c r="L158" t="s">
        <v>11</v>
      </c>
      <c r="M158">
        <v>4</v>
      </c>
      <c r="P158">
        <v>40</v>
      </c>
      <c r="Q158" t="s">
        <v>80</v>
      </c>
      <c r="R158" t="s">
        <v>430</v>
      </c>
      <c r="S158" t="s">
        <v>377</v>
      </c>
      <c r="T158" t="s">
        <v>348</v>
      </c>
      <c r="V158">
        <v>0</v>
      </c>
      <c r="Y158">
        <v>0</v>
      </c>
      <c r="Z158">
        <v>0</v>
      </c>
      <c r="AA158">
        <v>0</v>
      </c>
      <c r="AB158">
        <v>23649.68</v>
      </c>
      <c r="AC158">
        <v>0</v>
      </c>
      <c r="AD158">
        <v>0</v>
      </c>
      <c r="AE158">
        <v>0</v>
      </c>
      <c r="AQ158">
        <v>182380</v>
      </c>
      <c r="AR158" t="b">
        <v>1</v>
      </c>
      <c r="AS158" t="b">
        <v>1</v>
      </c>
      <c r="AT158" t="b">
        <v>1</v>
      </c>
      <c r="AU158" t="b">
        <v>1</v>
      </c>
      <c r="AV158" t="b">
        <v>1</v>
      </c>
      <c r="AW158" t="b">
        <v>1</v>
      </c>
      <c r="AX158" t="b">
        <v>1</v>
      </c>
      <c r="BA158" t="s">
        <v>406</v>
      </c>
    </row>
    <row r="159" spans="1:53" x14ac:dyDescent="0.25">
      <c r="A159" t="s">
        <v>386</v>
      </c>
      <c r="B159">
        <v>11</v>
      </c>
      <c r="C159">
        <v>4</v>
      </c>
      <c r="D159">
        <v>1</v>
      </c>
      <c r="E159">
        <v>39191020</v>
      </c>
      <c r="F159">
        <v>273158</v>
      </c>
      <c r="G159" t="s">
        <v>325</v>
      </c>
      <c r="H159" t="s">
        <v>60</v>
      </c>
      <c r="I159" t="s">
        <v>60</v>
      </c>
      <c r="J159" t="s">
        <v>60</v>
      </c>
      <c r="K159" t="s">
        <v>60</v>
      </c>
      <c r="L159" t="s">
        <v>27</v>
      </c>
      <c r="M159">
        <v>43.16</v>
      </c>
      <c r="P159">
        <v>40</v>
      </c>
      <c r="Q159" t="s">
        <v>80</v>
      </c>
      <c r="R159" t="s">
        <v>436</v>
      </c>
      <c r="S159" t="s">
        <v>383</v>
      </c>
      <c r="T159" t="s">
        <v>354</v>
      </c>
      <c r="V159">
        <v>0</v>
      </c>
      <c r="Y159">
        <v>0</v>
      </c>
      <c r="Z159">
        <v>0</v>
      </c>
      <c r="AA159">
        <v>0</v>
      </c>
      <c r="AB159">
        <v>12948000</v>
      </c>
      <c r="AC159">
        <v>0</v>
      </c>
      <c r="AD159">
        <v>0</v>
      </c>
      <c r="AE159">
        <v>0</v>
      </c>
      <c r="AQ159">
        <v>182380</v>
      </c>
      <c r="AR159" t="b">
        <v>1</v>
      </c>
      <c r="AS159" t="b">
        <v>1</v>
      </c>
      <c r="AT159" t="b">
        <v>1</v>
      </c>
      <c r="AU159" t="b">
        <v>1</v>
      </c>
      <c r="AV159" t="b">
        <v>1</v>
      </c>
      <c r="AW159" t="b">
        <v>1</v>
      </c>
      <c r="AX159" t="b">
        <v>1</v>
      </c>
      <c r="BA159" t="s">
        <v>406</v>
      </c>
    </row>
    <row r="160" spans="1:53" x14ac:dyDescent="0.25">
      <c r="A160" t="s">
        <v>386</v>
      </c>
      <c r="B160">
        <v>11</v>
      </c>
      <c r="C160">
        <v>5</v>
      </c>
      <c r="D160">
        <v>1</v>
      </c>
      <c r="E160">
        <v>48211090</v>
      </c>
      <c r="F160">
        <v>297274</v>
      </c>
      <c r="G160" t="s">
        <v>315</v>
      </c>
      <c r="H160" t="s">
        <v>60</v>
      </c>
      <c r="I160" t="s">
        <v>60</v>
      </c>
      <c r="J160" t="s">
        <v>60</v>
      </c>
      <c r="K160" t="s">
        <v>60</v>
      </c>
      <c r="L160" t="s">
        <v>12</v>
      </c>
      <c r="M160">
        <v>200</v>
      </c>
      <c r="P160">
        <v>40</v>
      </c>
      <c r="Q160" t="s">
        <v>80</v>
      </c>
      <c r="R160" t="s">
        <v>415</v>
      </c>
      <c r="S160" t="s">
        <v>363</v>
      </c>
      <c r="T160" t="s">
        <v>333</v>
      </c>
      <c r="V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Q160">
        <v>182380</v>
      </c>
      <c r="AR160" t="b">
        <v>1</v>
      </c>
      <c r="AS160" t="b">
        <v>1</v>
      </c>
      <c r="AT160" t="b">
        <v>1</v>
      </c>
      <c r="AU160" t="b">
        <v>1</v>
      </c>
      <c r="AV160" t="b">
        <v>1</v>
      </c>
      <c r="AW160" t="b">
        <v>1</v>
      </c>
      <c r="AX160" t="b">
        <v>1</v>
      </c>
      <c r="BA160" t="s">
        <v>406</v>
      </c>
    </row>
    <row r="161" spans="1:53" x14ac:dyDescent="0.25">
      <c r="A161" t="s">
        <v>386</v>
      </c>
      <c r="B161">
        <v>11</v>
      </c>
      <c r="C161">
        <v>6</v>
      </c>
      <c r="D161">
        <v>1</v>
      </c>
      <c r="E161">
        <v>48211090</v>
      </c>
      <c r="F161">
        <v>297275</v>
      </c>
      <c r="G161" t="s">
        <v>316</v>
      </c>
      <c r="H161" t="s">
        <v>60</v>
      </c>
      <c r="I161" t="s">
        <v>60</v>
      </c>
      <c r="J161" t="s">
        <v>60</v>
      </c>
      <c r="K161" t="s">
        <v>60</v>
      </c>
      <c r="L161" t="s">
        <v>12</v>
      </c>
      <c r="M161">
        <v>30</v>
      </c>
      <c r="P161">
        <v>40</v>
      </c>
      <c r="Q161" t="s">
        <v>80</v>
      </c>
      <c r="R161" t="s">
        <v>415</v>
      </c>
      <c r="S161" t="s">
        <v>363</v>
      </c>
      <c r="T161" t="s">
        <v>333</v>
      </c>
      <c r="V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Q161">
        <v>182380</v>
      </c>
      <c r="AR161" t="b">
        <v>1</v>
      </c>
      <c r="AS161" t="b">
        <v>1</v>
      </c>
      <c r="AT161" t="b">
        <v>1</v>
      </c>
      <c r="AU161" t="b">
        <v>1</v>
      </c>
      <c r="AV161" t="b">
        <v>1</v>
      </c>
      <c r="AW161" t="b">
        <v>1</v>
      </c>
      <c r="AX161" t="b">
        <v>1</v>
      </c>
      <c r="BA161" t="s">
        <v>406</v>
      </c>
    </row>
    <row r="162" spans="1:53" x14ac:dyDescent="0.25">
      <c r="A162" t="s">
        <v>386</v>
      </c>
      <c r="B162">
        <v>11</v>
      </c>
      <c r="C162">
        <v>7</v>
      </c>
      <c r="D162">
        <v>1</v>
      </c>
      <c r="E162">
        <v>48211090</v>
      </c>
      <c r="F162">
        <v>297276</v>
      </c>
      <c r="G162" t="s">
        <v>317</v>
      </c>
      <c r="H162" t="s">
        <v>60</v>
      </c>
      <c r="I162" t="s">
        <v>60</v>
      </c>
      <c r="J162" t="s">
        <v>60</v>
      </c>
      <c r="K162" t="s">
        <v>60</v>
      </c>
      <c r="L162" t="s">
        <v>12</v>
      </c>
      <c r="M162">
        <v>70</v>
      </c>
      <c r="P162">
        <v>40</v>
      </c>
      <c r="Q162" t="s">
        <v>80</v>
      </c>
      <c r="R162" t="s">
        <v>415</v>
      </c>
      <c r="S162" t="s">
        <v>363</v>
      </c>
      <c r="T162" t="s">
        <v>333</v>
      </c>
      <c r="V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Q162">
        <v>182380</v>
      </c>
      <c r="AR162" t="b">
        <v>1</v>
      </c>
      <c r="AS162" t="b">
        <v>1</v>
      </c>
      <c r="AT162" t="b">
        <v>1</v>
      </c>
      <c r="AU162" t="b">
        <v>1</v>
      </c>
      <c r="AV162" t="b">
        <v>1</v>
      </c>
      <c r="AW162" t="b">
        <v>1</v>
      </c>
      <c r="AX162" t="b">
        <v>1</v>
      </c>
      <c r="BA162" t="s">
        <v>406</v>
      </c>
    </row>
    <row r="163" spans="1:53" x14ac:dyDescent="0.25">
      <c r="A163" t="s">
        <v>386</v>
      </c>
      <c r="B163">
        <v>11</v>
      </c>
      <c r="C163">
        <v>8</v>
      </c>
      <c r="D163">
        <v>1</v>
      </c>
      <c r="E163">
        <v>48211090</v>
      </c>
      <c r="F163">
        <v>297277</v>
      </c>
      <c r="G163" t="s">
        <v>318</v>
      </c>
      <c r="H163" t="s">
        <v>60</v>
      </c>
      <c r="I163" t="s">
        <v>60</v>
      </c>
      <c r="J163" t="s">
        <v>60</v>
      </c>
      <c r="K163" t="s">
        <v>60</v>
      </c>
      <c r="L163" t="s">
        <v>12</v>
      </c>
      <c r="M163">
        <v>50</v>
      </c>
      <c r="P163">
        <v>40</v>
      </c>
      <c r="Q163" t="s">
        <v>80</v>
      </c>
      <c r="R163" t="s">
        <v>415</v>
      </c>
      <c r="S163" t="s">
        <v>363</v>
      </c>
      <c r="T163" t="s">
        <v>333</v>
      </c>
      <c r="V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Q163">
        <v>182380</v>
      </c>
      <c r="AR163" t="b">
        <v>1</v>
      </c>
      <c r="AS163" t="b">
        <v>1</v>
      </c>
      <c r="AT163" t="b">
        <v>1</v>
      </c>
      <c r="AU163" t="b">
        <v>1</v>
      </c>
      <c r="AV163" t="b">
        <v>1</v>
      </c>
      <c r="AW163" t="b">
        <v>1</v>
      </c>
      <c r="AX163" t="b">
        <v>1</v>
      </c>
      <c r="BA163" t="s">
        <v>406</v>
      </c>
    </row>
    <row r="164" spans="1:53" x14ac:dyDescent="0.25">
      <c r="A164" t="s">
        <v>386</v>
      </c>
      <c r="B164">
        <v>11</v>
      </c>
      <c r="C164">
        <v>9</v>
      </c>
      <c r="D164">
        <v>1</v>
      </c>
      <c r="E164">
        <v>48211090</v>
      </c>
      <c r="F164">
        <v>297278</v>
      </c>
      <c r="G164" t="s">
        <v>319</v>
      </c>
      <c r="H164" t="s">
        <v>60</v>
      </c>
      <c r="I164" t="s">
        <v>60</v>
      </c>
      <c r="J164" t="s">
        <v>60</v>
      </c>
      <c r="K164" t="s">
        <v>60</v>
      </c>
      <c r="L164" t="s">
        <v>12</v>
      </c>
      <c r="M164">
        <v>50</v>
      </c>
      <c r="P164">
        <v>40</v>
      </c>
      <c r="Q164" t="s">
        <v>80</v>
      </c>
      <c r="R164" t="s">
        <v>415</v>
      </c>
      <c r="S164" t="s">
        <v>363</v>
      </c>
      <c r="T164" t="s">
        <v>333</v>
      </c>
      <c r="V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Q164">
        <v>182380</v>
      </c>
      <c r="AR164" t="b">
        <v>1</v>
      </c>
      <c r="AS164" t="b">
        <v>1</v>
      </c>
      <c r="AT164" t="b">
        <v>1</v>
      </c>
      <c r="AU164" t="b">
        <v>1</v>
      </c>
      <c r="AV164" t="b">
        <v>1</v>
      </c>
      <c r="AW164" t="b">
        <v>1</v>
      </c>
      <c r="AX164" t="b">
        <v>1</v>
      </c>
      <c r="BA164" t="s">
        <v>406</v>
      </c>
    </row>
    <row r="165" spans="1:53" x14ac:dyDescent="0.25">
      <c r="A165" t="s">
        <v>386</v>
      </c>
      <c r="B165">
        <v>11</v>
      </c>
      <c r="C165">
        <v>10</v>
      </c>
      <c r="D165">
        <v>1</v>
      </c>
      <c r="E165">
        <v>96062100</v>
      </c>
      <c r="F165">
        <v>297279</v>
      </c>
      <c r="G165" t="s">
        <v>326</v>
      </c>
      <c r="H165" t="s">
        <v>60</v>
      </c>
      <c r="I165" t="s">
        <v>60</v>
      </c>
      <c r="J165" t="s">
        <v>60</v>
      </c>
      <c r="K165" t="s">
        <v>60</v>
      </c>
      <c r="L165" t="s">
        <v>12</v>
      </c>
      <c r="M165">
        <v>800</v>
      </c>
      <c r="P165">
        <v>40</v>
      </c>
      <c r="Q165" t="s">
        <v>80</v>
      </c>
      <c r="R165" t="s">
        <v>415</v>
      </c>
      <c r="S165" t="s">
        <v>363</v>
      </c>
      <c r="T165" t="s">
        <v>333</v>
      </c>
      <c r="V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Q165">
        <v>182380</v>
      </c>
      <c r="AR165" t="b">
        <v>1</v>
      </c>
      <c r="AS165" t="b">
        <v>1</v>
      </c>
      <c r="AT165" t="b">
        <v>1</v>
      </c>
      <c r="AU165" t="b">
        <v>1</v>
      </c>
      <c r="AV165" t="b">
        <v>1</v>
      </c>
      <c r="AW165" t="b">
        <v>1</v>
      </c>
      <c r="AX165" t="b">
        <v>1</v>
      </c>
      <c r="BA165" t="s">
        <v>406</v>
      </c>
    </row>
    <row r="166" spans="1:53" x14ac:dyDescent="0.25">
      <c r="A166" t="s">
        <v>386</v>
      </c>
      <c r="B166">
        <v>1</v>
      </c>
      <c r="C166">
        <v>1</v>
      </c>
      <c r="D166">
        <v>1</v>
      </c>
      <c r="E166">
        <v>52081900</v>
      </c>
      <c r="F166">
        <v>274799</v>
      </c>
      <c r="G166" t="s">
        <v>311</v>
      </c>
      <c r="H166" t="s">
        <v>60</v>
      </c>
      <c r="I166" t="s">
        <v>60</v>
      </c>
      <c r="J166" t="s">
        <v>60</v>
      </c>
      <c r="K166" t="s">
        <v>60</v>
      </c>
      <c r="L166" t="s">
        <v>27</v>
      </c>
      <c r="M166">
        <v>9.4</v>
      </c>
      <c r="P166">
        <v>40</v>
      </c>
      <c r="Q166" t="s">
        <v>80</v>
      </c>
      <c r="R166" t="s">
        <v>409</v>
      </c>
      <c r="S166" t="s">
        <v>358</v>
      </c>
      <c r="T166" t="s">
        <v>327</v>
      </c>
      <c r="V166">
        <v>0</v>
      </c>
      <c r="Y166">
        <v>0</v>
      </c>
      <c r="Z166">
        <v>0</v>
      </c>
      <c r="AA166">
        <v>0</v>
      </c>
      <c r="AB166">
        <v>2255257.02</v>
      </c>
      <c r="AC166">
        <v>0</v>
      </c>
      <c r="AD166">
        <v>0</v>
      </c>
      <c r="AE166">
        <v>0</v>
      </c>
      <c r="AQ166">
        <v>182375</v>
      </c>
      <c r="AR166" t="b">
        <v>1</v>
      </c>
      <c r="AS166" t="b">
        <v>1</v>
      </c>
      <c r="AT166" t="b">
        <v>1</v>
      </c>
      <c r="AU166" t="b">
        <v>1</v>
      </c>
      <c r="AV166" t="b">
        <v>1</v>
      </c>
      <c r="AW166" t="b">
        <v>1</v>
      </c>
      <c r="AX166" t="b">
        <v>1</v>
      </c>
      <c r="BA166" t="s">
        <v>407</v>
      </c>
    </row>
    <row r="167" spans="1:53" x14ac:dyDescent="0.25">
      <c r="A167" t="s">
        <v>386</v>
      </c>
      <c r="B167">
        <v>1</v>
      </c>
      <c r="C167">
        <v>2</v>
      </c>
      <c r="D167">
        <v>1</v>
      </c>
      <c r="E167">
        <v>52081900</v>
      </c>
      <c r="F167">
        <v>275340</v>
      </c>
      <c r="G167" t="s">
        <v>312</v>
      </c>
      <c r="H167" t="s">
        <v>60</v>
      </c>
      <c r="I167" t="s">
        <v>60</v>
      </c>
      <c r="J167" t="s">
        <v>60</v>
      </c>
      <c r="K167" t="s">
        <v>60</v>
      </c>
      <c r="L167" t="s">
        <v>27</v>
      </c>
      <c r="M167">
        <v>9.4</v>
      </c>
      <c r="P167">
        <v>40</v>
      </c>
      <c r="Q167" t="s">
        <v>80</v>
      </c>
      <c r="R167" t="s">
        <v>410</v>
      </c>
      <c r="S167" t="s">
        <v>359</v>
      </c>
      <c r="T167" t="s">
        <v>328</v>
      </c>
      <c r="V167">
        <v>0</v>
      </c>
      <c r="Y167">
        <v>0</v>
      </c>
      <c r="Z167">
        <v>0</v>
      </c>
      <c r="AA167">
        <v>0</v>
      </c>
      <c r="AB167">
        <v>2255257.02</v>
      </c>
      <c r="AC167">
        <v>0</v>
      </c>
      <c r="AD167">
        <v>0</v>
      </c>
      <c r="AE167">
        <v>0</v>
      </c>
      <c r="AQ167">
        <v>182375</v>
      </c>
      <c r="AR167" t="b">
        <v>1</v>
      </c>
      <c r="AS167" t="b">
        <v>1</v>
      </c>
      <c r="AT167" t="b">
        <v>1</v>
      </c>
      <c r="AU167" t="b">
        <v>1</v>
      </c>
      <c r="AV167" t="b">
        <v>1</v>
      </c>
      <c r="AW167" t="b">
        <v>1</v>
      </c>
      <c r="AX167" t="b">
        <v>1</v>
      </c>
      <c r="BA167" t="s">
        <v>407</v>
      </c>
    </row>
    <row r="168" spans="1:53" x14ac:dyDescent="0.25">
      <c r="A168" t="s">
        <v>386</v>
      </c>
      <c r="B168">
        <v>1</v>
      </c>
      <c r="C168">
        <v>3</v>
      </c>
      <c r="D168">
        <v>1</v>
      </c>
      <c r="E168">
        <v>58062090</v>
      </c>
      <c r="F168">
        <v>248283</v>
      </c>
      <c r="G168" t="s">
        <v>313</v>
      </c>
      <c r="H168" t="s">
        <v>60</v>
      </c>
      <c r="I168" t="s">
        <v>60</v>
      </c>
      <c r="J168" t="s">
        <v>60</v>
      </c>
      <c r="K168" t="s">
        <v>60</v>
      </c>
      <c r="L168" t="s">
        <v>59</v>
      </c>
      <c r="M168">
        <v>5.0000000000000001E-3</v>
      </c>
      <c r="P168">
        <v>40</v>
      </c>
      <c r="Q168" t="s">
        <v>80</v>
      </c>
      <c r="R168" t="s">
        <v>411</v>
      </c>
      <c r="S168" t="s">
        <v>357</v>
      </c>
      <c r="T168" t="s">
        <v>329</v>
      </c>
      <c r="V168">
        <v>0</v>
      </c>
      <c r="Y168">
        <v>0</v>
      </c>
      <c r="Z168">
        <v>0</v>
      </c>
      <c r="AA168">
        <v>0</v>
      </c>
      <c r="AB168">
        <v>305</v>
      </c>
      <c r="AC168">
        <v>0</v>
      </c>
      <c r="AD168">
        <v>0</v>
      </c>
      <c r="AE168">
        <v>0</v>
      </c>
      <c r="AQ168">
        <v>182375</v>
      </c>
      <c r="AR168" t="b">
        <v>1</v>
      </c>
      <c r="AS168" t="b">
        <v>1</v>
      </c>
      <c r="AT168" t="b">
        <v>1</v>
      </c>
      <c r="AU168" t="b">
        <v>1</v>
      </c>
      <c r="AV168" t="b">
        <v>1</v>
      </c>
      <c r="AW168" t="b">
        <v>1</v>
      </c>
      <c r="AX168" t="b">
        <v>1</v>
      </c>
      <c r="BA168" t="s">
        <v>407</v>
      </c>
    </row>
    <row r="169" spans="1:53" x14ac:dyDescent="0.25">
      <c r="A169" t="s">
        <v>386</v>
      </c>
      <c r="B169">
        <v>1</v>
      </c>
      <c r="C169">
        <v>4</v>
      </c>
      <c r="D169">
        <v>1</v>
      </c>
      <c r="E169">
        <v>58062090</v>
      </c>
      <c r="F169">
        <v>248283</v>
      </c>
      <c r="G169" t="s">
        <v>313</v>
      </c>
      <c r="H169" t="s">
        <v>60</v>
      </c>
      <c r="I169" t="s">
        <v>60</v>
      </c>
      <c r="J169" t="s">
        <v>60</v>
      </c>
      <c r="K169" t="s">
        <v>60</v>
      </c>
      <c r="L169" t="s">
        <v>59</v>
      </c>
      <c r="M169">
        <v>0.01</v>
      </c>
      <c r="P169">
        <v>40</v>
      </c>
      <c r="Q169" t="s">
        <v>80</v>
      </c>
      <c r="R169" t="s">
        <v>412</v>
      </c>
      <c r="S169" t="s">
        <v>360</v>
      </c>
      <c r="T169" t="s">
        <v>330</v>
      </c>
      <c r="V169">
        <v>0</v>
      </c>
      <c r="Y169">
        <v>0</v>
      </c>
      <c r="Z169">
        <v>0</v>
      </c>
      <c r="AA169">
        <v>0</v>
      </c>
      <c r="AB169">
        <v>640</v>
      </c>
      <c r="AC169">
        <v>0</v>
      </c>
      <c r="AD169">
        <v>0</v>
      </c>
      <c r="AE169">
        <v>0</v>
      </c>
      <c r="AQ169">
        <v>182375</v>
      </c>
      <c r="AR169" t="b">
        <v>1</v>
      </c>
      <c r="AS169" t="b">
        <v>1</v>
      </c>
      <c r="AT169" t="b">
        <v>1</v>
      </c>
      <c r="AU169" t="b">
        <v>1</v>
      </c>
      <c r="AV169" t="b">
        <v>1</v>
      </c>
      <c r="AW169" t="b">
        <v>1</v>
      </c>
      <c r="AX169" t="b">
        <v>1</v>
      </c>
      <c r="BA169" t="s">
        <v>407</v>
      </c>
    </row>
    <row r="170" spans="1:53" x14ac:dyDescent="0.25">
      <c r="A170" t="s">
        <v>386</v>
      </c>
      <c r="B170">
        <v>1</v>
      </c>
      <c r="C170">
        <v>5</v>
      </c>
      <c r="D170">
        <v>1</v>
      </c>
      <c r="E170">
        <v>58062090</v>
      </c>
      <c r="F170">
        <v>248283</v>
      </c>
      <c r="G170" t="s">
        <v>313</v>
      </c>
      <c r="H170" t="s">
        <v>60</v>
      </c>
      <c r="I170" t="s">
        <v>60</v>
      </c>
      <c r="J170" t="s">
        <v>60</v>
      </c>
      <c r="K170" t="s">
        <v>60</v>
      </c>
      <c r="L170" t="s">
        <v>59</v>
      </c>
      <c r="M170">
        <v>0.01</v>
      </c>
      <c r="P170">
        <v>40</v>
      </c>
      <c r="Q170" t="s">
        <v>80</v>
      </c>
      <c r="R170" t="s">
        <v>413</v>
      </c>
      <c r="S170" t="s">
        <v>361</v>
      </c>
      <c r="T170" t="s">
        <v>331</v>
      </c>
      <c r="V170">
        <v>0</v>
      </c>
      <c r="Y170">
        <v>0</v>
      </c>
      <c r="Z170">
        <v>0</v>
      </c>
      <c r="AA170">
        <v>0</v>
      </c>
      <c r="AB170">
        <v>640</v>
      </c>
      <c r="AC170">
        <v>0</v>
      </c>
      <c r="AD170">
        <v>0</v>
      </c>
      <c r="AE170">
        <v>0</v>
      </c>
      <c r="AQ170">
        <v>182375</v>
      </c>
      <c r="AR170" t="b">
        <v>1</v>
      </c>
      <c r="AS170" t="b">
        <v>1</v>
      </c>
      <c r="AT170" t="b">
        <v>1</v>
      </c>
      <c r="AU170" t="b">
        <v>1</v>
      </c>
      <c r="AV170" t="b">
        <v>1</v>
      </c>
      <c r="AW170" t="b">
        <v>1</v>
      </c>
      <c r="AX170" t="b">
        <v>1</v>
      </c>
      <c r="BA170" t="s">
        <v>407</v>
      </c>
    </row>
    <row r="171" spans="1:53" x14ac:dyDescent="0.25">
      <c r="A171" t="s">
        <v>386</v>
      </c>
      <c r="B171">
        <v>1</v>
      </c>
      <c r="C171">
        <v>6</v>
      </c>
      <c r="D171">
        <v>1</v>
      </c>
      <c r="E171">
        <v>58062090</v>
      </c>
      <c r="F171">
        <v>248283</v>
      </c>
      <c r="G171" t="s">
        <v>314</v>
      </c>
      <c r="H171" t="s">
        <v>60</v>
      </c>
      <c r="I171" t="s">
        <v>60</v>
      </c>
      <c r="J171" t="s">
        <v>60</v>
      </c>
      <c r="K171" t="s">
        <v>60</v>
      </c>
      <c r="L171" t="s">
        <v>59</v>
      </c>
      <c r="M171">
        <v>0.01</v>
      </c>
      <c r="P171">
        <v>40</v>
      </c>
      <c r="Q171" t="s">
        <v>80</v>
      </c>
      <c r="R171" t="s">
        <v>414</v>
      </c>
      <c r="S171" t="s">
        <v>362</v>
      </c>
      <c r="T171" t="s">
        <v>332</v>
      </c>
      <c r="V171">
        <v>0</v>
      </c>
      <c r="Y171">
        <v>0</v>
      </c>
      <c r="Z171">
        <v>0</v>
      </c>
      <c r="AA171">
        <v>0</v>
      </c>
      <c r="AB171">
        <v>640</v>
      </c>
      <c r="AC171">
        <v>0</v>
      </c>
      <c r="AD171">
        <v>0</v>
      </c>
      <c r="AE171">
        <v>0</v>
      </c>
      <c r="AQ171">
        <v>182375</v>
      </c>
      <c r="AR171" t="b">
        <v>1</v>
      </c>
      <c r="AS171" t="b">
        <v>1</v>
      </c>
      <c r="AT171" t="b">
        <v>1</v>
      </c>
      <c r="AU171" t="b">
        <v>1</v>
      </c>
      <c r="AV171" t="b">
        <v>1</v>
      </c>
      <c r="AW171" t="b">
        <v>1</v>
      </c>
      <c r="AX171" t="b">
        <v>1</v>
      </c>
      <c r="BA171" t="s">
        <v>407</v>
      </c>
    </row>
    <row r="172" spans="1:53" x14ac:dyDescent="0.25">
      <c r="A172" t="s">
        <v>386</v>
      </c>
      <c r="B172">
        <v>1</v>
      </c>
      <c r="C172">
        <v>7</v>
      </c>
      <c r="D172">
        <v>1</v>
      </c>
      <c r="E172">
        <v>48211090</v>
      </c>
      <c r="F172">
        <v>297274</v>
      </c>
      <c r="G172" t="s">
        <v>315</v>
      </c>
      <c r="H172" t="s">
        <v>60</v>
      </c>
      <c r="I172" t="s">
        <v>60</v>
      </c>
      <c r="J172" t="s">
        <v>60</v>
      </c>
      <c r="K172" t="s">
        <v>60</v>
      </c>
      <c r="L172" t="s">
        <v>12</v>
      </c>
      <c r="M172">
        <v>200</v>
      </c>
      <c r="P172">
        <v>40</v>
      </c>
      <c r="Q172" t="s">
        <v>80</v>
      </c>
      <c r="R172" t="s">
        <v>415</v>
      </c>
      <c r="S172" t="s">
        <v>363</v>
      </c>
      <c r="T172" t="s">
        <v>333</v>
      </c>
      <c r="V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Q172">
        <v>182375</v>
      </c>
      <c r="AR172" t="b">
        <v>1</v>
      </c>
      <c r="AS172" t="b">
        <v>1</v>
      </c>
      <c r="AT172" t="b">
        <v>1</v>
      </c>
      <c r="AU172" t="b">
        <v>1</v>
      </c>
      <c r="AV172" t="b">
        <v>1</v>
      </c>
      <c r="AW172" t="b">
        <v>1</v>
      </c>
      <c r="AX172" t="b">
        <v>1</v>
      </c>
      <c r="BA172" t="s">
        <v>407</v>
      </c>
    </row>
    <row r="173" spans="1:53" x14ac:dyDescent="0.25">
      <c r="A173" t="s">
        <v>386</v>
      </c>
      <c r="B173">
        <v>1</v>
      </c>
      <c r="C173">
        <v>8</v>
      </c>
      <c r="D173">
        <v>1</v>
      </c>
      <c r="E173">
        <v>48211090</v>
      </c>
      <c r="F173">
        <v>297275</v>
      </c>
      <c r="G173" t="s">
        <v>316</v>
      </c>
      <c r="H173" t="s">
        <v>60</v>
      </c>
      <c r="I173" t="s">
        <v>60</v>
      </c>
      <c r="J173" t="s">
        <v>60</v>
      </c>
      <c r="K173" t="s">
        <v>60</v>
      </c>
      <c r="L173" t="s">
        <v>12</v>
      </c>
      <c r="M173">
        <v>30</v>
      </c>
      <c r="P173">
        <v>40</v>
      </c>
      <c r="Q173" t="s">
        <v>80</v>
      </c>
      <c r="R173" t="s">
        <v>415</v>
      </c>
      <c r="S173" t="s">
        <v>363</v>
      </c>
      <c r="T173" t="s">
        <v>333</v>
      </c>
      <c r="V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Q173">
        <v>182375</v>
      </c>
      <c r="AR173" t="b">
        <v>1</v>
      </c>
      <c r="AS173" t="b">
        <v>1</v>
      </c>
      <c r="AT173" t="b">
        <v>1</v>
      </c>
      <c r="AU173" t="b">
        <v>1</v>
      </c>
      <c r="AV173" t="b">
        <v>1</v>
      </c>
      <c r="AW173" t="b">
        <v>1</v>
      </c>
      <c r="AX173" t="b">
        <v>1</v>
      </c>
      <c r="BA173" t="s">
        <v>407</v>
      </c>
    </row>
    <row r="174" spans="1:53" x14ac:dyDescent="0.25">
      <c r="A174" t="s">
        <v>386</v>
      </c>
      <c r="B174">
        <v>1</v>
      </c>
      <c r="C174">
        <v>9</v>
      </c>
      <c r="D174">
        <v>1</v>
      </c>
      <c r="E174">
        <v>48211090</v>
      </c>
      <c r="F174">
        <v>297276</v>
      </c>
      <c r="G174" t="s">
        <v>317</v>
      </c>
      <c r="H174" t="s">
        <v>60</v>
      </c>
      <c r="I174" t="s">
        <v>60</v>
      </c>
      <c r="J174" t="s">
        <v>60</v>
      </c>
      <c r="K174" t="s">
        <v>60</v>
      </c>
      <c r="L174" t="s">
        <v>12</v>
      </c>
      <c r="M174">
        <v>70</v>
      </c>
      <c r="P174">
        <v>40</v>
      </c>
      <c r="Q174" t="s">
        <v>80</v>
      </c>
      <c r="R174" t="s">
        <v>415</v>
      </c>
      <c r="S174" t="s">
        <v>363</v>
      </c>
      <c r="T174" t="s">
        <v>333</v>
      </c>
      <c r="V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Q174">
        <v>182375</v>
      </c>
      <c r="AR174" t="b">
        <v>1</v>
      </c>
      <c r="AS174" t="b">
        <v>1</v>
      </c>
      <c r="AT174" t="b">
        <v>1</v>
      </c>
      <c r="AU174" t="b">
        <v>1</v>
      </c>
      <c r="AV174" t="b">
        <v>1</v>
      </c>
      <c r="AW174" t="b">
        <v>1</v>
      </c>
      <c r="AX174" t="b">
        <v>1</v>
      </c>
      <c r="BA174" t="s">
        <v>407</v>
      </c>
    </row>
    <row r="175" spans="1:53" x14ac:dyDescent="0.25">
      <c r="A175" t="s">
        <v>386</v>
      </c>
      <c r="B175">
        <v>1</v>
      </c>
      <c r="C175">
        <v>10</v>
      </c>
      <c r="D175">
        <v>1</v>
      </c>
      <c r="E175">
        <v>48211090</v>
      </c>
      <c r="F175">
        <v>297277</v>
      </c>
      <c r="G175" t="s">
        <v>318</v>
      </c>
      <c r="H175" t="s">
        <v>60</v>
      </c>
      <c r="I175" t="s">
        <v>60</v>
      </c>
      <c r="J175" t="s">
        <v>60</v>
      </c>
      <c r="K175" t="s">
        <v>60</v>
      </c>
      <c r="L175" t="s">
        <v>12</v>
      </c>
      <c r="M175">
        <v>50</v>
      </c>
      <c r="P175">
        <v>40</v>
      </c>
      <c r="Q175" t="s">
        <v>80</v>
      </c>
      <c r="R175" t="s">
        <v>415</v>
      </c>
      <c r="S175" t="s">
        <v>363</v>
      </c>
      <c r="T175" t="s">
        <v>333</v>
      </c>
      <c r="V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Q175">
        <v>182375</v>
      </c>
      <c r="AR175" t="b">
        <v>1</v>
      </c>
      <c r="AS175" t="b">
        <v>1</v>
      </c>
      <c r="AT175" t="b">
        <v>1</v>
      </c>
      <c r="AU175" t="b">
        <v>1</v>
      </c>
      <c r="AV175" t="b">
        <v>1</v>
      </c>
      <c r="AW175" t="b">
        <v>1</v>
      </c>
      <c r="AX175" t="b">
        <v>1</v>
      </c>
      <c r="BA175" t="s">
        <v>407</v>
      </c>
    </row>
    <row r="176" spans="1:53" x14ac:dyDescent="0.25">
      <c r="A176" t="s">
        <v>386</v>
      </c>
      <c r="B176">
        <v>1</v>
      </c>
      <c r="C176">
        <v>11</v>
      </c>
      <c r="D176">
        <v>1</v>
      </c>
      <c r="E176">
        <v>48211090</v>
      </c>
      <c r="F176">
        <v>297278</v>
      </c>
      <c r="G176" t="s">
        <v>319</v>
      </c>
      <c r="H176" t="s">
        <v>60</v>
      </c>
      <c r="I176" t="s">
        <v>60</v>
      </c>
      <c r="J176" t="s">
        <v>60</v>
      </c>
      <c r="K176" t="s">
        <v>60</v>
      </c>
      <c r="L176" t="s">
        <v>12</v>
      </c>
      <c r="M176">
        <v>50</v>
      </c>
      <c r="P176">
        <v>40</v>
      </c>
      <c r="Q176" t="s">
        <v>80</v>
      </c>
      <c r="R176" t="s">
        <v>415</v>
      </c>
      <c r="S176" t="s">
        <v>363</v>
      </c>
      <c r="T176" t="s">
        <v>333</v>
      </c>
      <c r="V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Q176">
        <v>182375</v>
      </c>
      <c r="AR176" t="b">
        <v>1</v>
      </c>
      <c r="AS176" t="b">
        <v>1</v>
      </c>
      <c r="AT176" t="b">
        <v>1</v>
      </c>
      <c r="AU176" t="b">
        <v>1</v>
      </c>
      <c r="AV176" t="b">
        <v>1</v>
      </c>
      <c r="AW176" t="b">
        <v>1</v>
      </c>
      <c r="AX176" t="b">
        <v>1</v>
      </c>
      <c r="BA176" t="s">
        <v>407</v>
      </c>
    </row>
    <row r="177" spans="1:53" x14ac:dyDescent="0.25">
      <c r="A177" t="s">
        <v>386</v>
      </c>
      <c r="B177">
        <v>1</v>
      </c>
      <c r="C177">
        <v>12</v>
      </c>
      <c r="D177">
        <v>1</v>
      </c>
      <c r="E177">
        <v>52081900</v>
      </c>
      <c r="F177">
        <v>275340</v>
      </c>
      <c r="G177" t="s">
        <v>312</v>
      </c>
      <c r="H177" t="s">
        <v>60</v>
      </c>
      <c r="I177" t="s">
        <v>60</v>
      </c>
      <c r="J177" t="s">
        <v>60</v>
      </c>
      <c r="K177" t="s">
        <v>60</v>
      </c>
      <c r="L177" t="s">
        <v>27</v>
      </c>
      <c r="M177">
        <v>4.7</v>
      </c>
      <c r="P177">
        <v>40</v>
      </c>
      <c r="Q177" t="s">
        <v>80</v>
      </c>
      <c r="R177" t="s">
        <v>410</v>
      </c>
      <c r="S177" t="s">
        <v>359</v>
      </c>
      <c r="T177" t="s">
        <v>328</v>
      </c>
      <c r="V177">
        <v>0</v>
      </c>
      <c r="Y177">
        <v>0</v>
      </c>
      <c r="Z177">
        <v>0</v>
      </c>
      <c r="AA177">
        <v>0</v>
      </c>
      <c r="AB177">
        <v>2255257.02</v>
      </c>
      <c r="AC177">
        <v>0</v>
      </c>
      <c r="AD177">
        <v>0</v>
      </c>
      <c r="AE177">
        <v>0</v>
      </c>
      <c r="AQ177">
        <v>182375</v>
      </c>
      <c r="AR177" t="b">
        <v>1</v>
      </c>
      <c r="AS177" t="b">
        <v>1</v>
      </c>
      <c r="AT177" t="b">
        <v>1</v>
      </c>
      <c r="AU177" t="b">
        <v>1</v>
      </c>
      <c r="AV177" t="b">
        <v>1</v>
      </c>
      <c r="AW177" t="b">
        <v>1</v>
      </c>
      <c r="AX177" t="b">
        <v>1</v>
      </c>
      <c r="BA177" t="s">
        <v>407</v>
      </c>
    </row>
    <row r="178" spans="1:53" x14ac:dyDescent="0.25">
      <c r="A178" t="s">
        <v>386</v>
      </c>
      <c r="B178">
        <v>1</v>
      </c>
      <c r="C178">
        <v>13</v>
      </c>
      <c r="D178">
        <v>1</v>
      </c>
      <c r="E178">
        <v>58062090</v>
      </c>
      <c r="F178">
        <v>248283</v>
      </c>
      <c r="G178" t="s">
        <v>313</v>
      </c>
      <c r="H178" t="s">
        <v>60</v>
      </c>
      <c r="I178" t="s">
        <v>60</v>
      </c>
      <c r="J178" t="s">
        <v>60</v>
      </c>
      <c r="K178" t="s">
        <v>60</v>
      </c>
      <c r="L178" t="s">
        <v>59</v>
      </c>
      <c r="M178">
        <v>2.5000000000000001E-3</v>
      </c>
      <c r="P178">
        <v>40</v>
      </c>
      <c r="Q178" t="s">
        <v>80</v>
      </c>
      <c r="R178" t="s">
        <v>411</v>
      </c>
      <c r="S178" t="s">
        <v>357</v>
      </c>
      <c r="T178" t="s">
        <v>329</v>
      </c>
      <c r="V178">
        <v>0</v>
      </c>
      <c r="Y178">
        <v>0</v>
      </c>
      <c r="Z178">
        <v>0</v>
      </c>
      <c r="AA178">
        <v>0</v>
      </c>
      <c r="AB178">
        <v>305</v>
      </c>
      <c r="AC178">
        <v>0</v>
      </c>
      <c r="AD178">
        <v>0</v>
      </c>
      <c r="AE178">
        <v>0</v>
      </c>
      <c r="AQ178">
        <v>182375</v>
      </c>
      <c r="AR178" t="b">
        <v>1</v>
      </c>
      <c r="AS178" t="b">
        <v>1</v>
      </c>
      <c r="AT178" t="b">
        <v>1</v>
      </c>
      <c r="AU178" t="b">
        <v>1</v>
      </c>
      <c r="AV178" t="b">
        <v>1</v>
      </c>
      <c r="AW178" t="b">
        <v>1</v>
      </c>
      <c r="AX178" t="b">
        <v>1</v>
      </c>
      <c r="BA178" t="s">
        <v>407</v>
      </c>
    </row>
    <row r="179" spans="1:53" x14ac:dyDescent="0.25">
      <c r="A179" t="s">
        <v>386</v>
      </c>
      <c r="B179">
        <v>1</v>
      </c>
      <c r="C179">
        <v>14</v>
      </c>
      <c r="D179">
        <v>1</v>
      </c>
      <c r="E179">
        <v>58062090</v>
      </c>
      <c r="F179">
        <v>248283</v>
      </c>
      <c r="G179" t="s">
        <v>313</v>
      </c>
      <c r="H179" t="s">
        <v>60</v>
      </c>
      <c r="I179" t="s">
        <v>60</v>
      </c>
      <c r="J179" t="s">
        <v>60</v>
      </c>
      <c r="K179" t="s">
        <v>60</v>
      </c>
      <c r="L179" t="s">
        <v>59</v>
      </c>
      <c r="M179">
        <v>5.0000000000000001E-3</v>
      </c>
      <c r="P179">
        <v>40</v>
      </c>
      <c r="Q179" t="s">
        <v>80</v>
      </c>
      <c r="R179" t="s">
        <v>412</v>
      </c>
      <c r="S179" t="s">
        <v>360</v>
      </c>
      <c r="T179" t="s">
        <v>330</v>
      </c>
      <c r="V179">
        <v>0</v>
      </c>
      <c r="Y179">
        <v>0</v>
      </c>
      <c r="Z179">
        <v>0</v>
      </c>
      <c r="AA179">
        <v>0</v>
      </c>
      <c r="AB179">
        <v>640</v>
      </c>
      <c r="AC179">
        <v>0</v>
      </c>
      <c r="AD179">
        <v>0</v>
      </c>
      <c r="AE179">
        <v>0</v>
      </c>
      <c r="AQ179">
        <v>182375</v>
      </c>
      <c r="AR179" t="b">
        <v>1</v>
      </c>
      <c r="AS179" t="b">
        <v>1</v>
      </c>
      <c r="AT179" t="b">
        <v>1</v>
      </c>
      <c r="AU179" t="b">
        <v>1</v>
      </c>
      <c r="AV179" t="b">
        <v>1</v>
      </c>
      <c r="AW179" t="b">
        <v>1</v>
      </c>
      <c r="AX179" t="b">
        <v>1</v>
      </c>
      <c r="BA179" t="s">
        <v>407</v>
      </c>
    </row>
    <row r="180" spans="1:53" x14ac:dyDescent="0.25">
      <c r="A180" t="s">
        <v>386</v>
      </c>
      <c r="B180">
        <v>1</v>
      </c>
      <c r="C180">
        <v>15</v>
      </c>
      <c r="D180">
        <v>1</v>
      </c>
      <c r="E180">
        <v>58062090</v>
      </c>
      <c r="F180">
        <v>248283</v>
      </c>
      <c r="G180" t="s">
        <v>313</v>
      </c>
      <c r="H180" t="s">
        <v>60</v>
      </c>
      <c r="I180" t="s">
        <v>60</v>
      </c>
      <c r="J180" t="s">
        <v>60</v>
      </c>
      <c r="K180" t="s">
        <v>60</v>
      </c>
      <c r="L180" t="s">
        <v>59</v>
      </c>
      <c r="M180">
        <v>5.0000000000000001E-3</v>
      </c>
      <c r="P180">
        <v>40</v>
      </c>
      <c r="Q180" t="s">
        <v>80</v>
      </c>
      <c r="R180" t="s">
        <v>413</v>
      </c>
      <c r="S180" t="s">
        <v>361</v>
      </c>
      <c r="T180" t="s">
        <v>331</v>
      </c>
      <c r="V180">
        <v>0</v>
      </c>
      <c r="Y180">
        <v>0</v>
      </c>
      <c r="Z180">
        <v>0</v>
      </c>
      <c r="AA180">
        <v>0</v>
      </c>
      <c r="AB180">
        <v>640</v>
      </c>
      <c r="AC180">
        <v>0</v>
      </c>
      <c r="AD180">
        <v>0</v>
      </c>
      <c r="AE180">
        <v>0</v>
      </c>
      <c r="AQ180">
        <v>182375</v>
      </c>
      <c r="AR180" t="b">
        <v>1</v>
      </c>
      <c r="AS180" t="b">
        <v>1</v>
      </c>
      <c r="AT180" t="b">
        <v>1</v>
      </c>
      <c r="AU180" t="b">
        <v>1</v>
      </c>
      <c r="AV180" t="b">
        <v>1</v>
      </c>
      <c r="AW180" t="b">
        <v>1</v>
      </c>
      <c r="AX180" t="b">
        <v>1</v>
      </c>
      <c r="BA180" t="s">
        <v>407</v>
      </c>
    </row>
    <row r="181" spans="1:53" x14ac:dyDescent="0.25">
      <c r="A181" t="s">
        <v>386</v>
      </c>
      <c r="B181">
        <v>1</v>
      </c>
      <c r="C181">
        <v>16</v>
      </c>
      <c r="D181">
        <v>1</v>
      </c>
      <c r="E181">
        <v>58062090</v>
      </c>
      <c r="F181">
        <v>248283</v>
      </c>
      <c r="G181" t="s">
        <v>314</v>
      </c>
      <c r="H181" t="s">
        <v>60</v>
      </c>
      <c r="I181" t="s">
        <v>60</v>
      </c>
      <c r="J181" t="s">
        <v>60</v>
      </c>
      <c r="K181" t="s">
        <v>60</v>
      </c>
      <c r="L181" t="s">
        <v>59</v>
      </c>
      <c r="M181">
        <v>5.0000000000000001E-3</v>
      </c>
      <c r="P181">
        <v>40</v>
      </c>
      <c r="Q181" t="s">
        <v>80</v>
      </c>
      <c r="R181" t="s">
        <v>414</v>
      </c>
      <c r="S181" t="s">
        <v>362</v>
      </c>
      <c r="T181" t="s">
        <v>332</v>
      </c>
      <c r="V181">
        <v>0</v>
      </c>
      <c r="Y181">
        <v>0</v>
      </c>
      <c r="Z181">
        <v>0</v>
      </c>
      <c r="AA181">
        <v>0</v>
      </c>
      <c r="AB181">
        <v>640</v>
      </c>
      <c r="AC181">
        <v>0</v>
      </c>
      <c r="AD181">
        <v>0</v>
      </c>
      <c r="AE181">
        <v>0</v>
      </c>
      <c r="AQ181">
        <v>182375</v>
      </c>
      <c r="AR181" t="b">
        <v>1</v>
      </c>
      <c r="AS181" t="b">
        <v>1</v>
      </c>
      <c r="AT181" t="b">
        <v>1</v>
      </c>
      <c r="AU181" t="b">
        <v>1</v>
      </c>
      <c r="AV181" t="b">
        <v>1</v>
      </c>
      <c r="AW181" t="b">
        <v>1</v>
      </c>
      <c r="AX181" t="b">
        <v>1</v>
      </c>
      <c r="BA181" t="s">
        <v>407</v>
      </c>
    </row>
    <row r="182" spans="1:53" x14ac:dyDescent="0.25">
      <c r="A182" t="s">
        <v>386</v>
      </c>
      <c r="B182">
        <v>1</v>
      </c>
      <c r="C182">
        <v>17</v>
      </c>
      <c r="D182">
        <v>1</v>
      </c>
      <c r="E182">
        <v>48211090</v>
      </c>
      <c r="F182">
        <v>297274</v>
      </c>
      <c r="G182" t="s">
        <v>315</v>
      </c>
      <c r="H182" t="s">
        <v>60</v>
      </c>
      <c r="I182" t="s">
        <v>60</v>
      </c>
      <c r="J182" t="s">
        <v>60</v>
      </c>
      <c r="K182" t="s">
        <v>60</v>
      </c>
      <c r="L182" t="s">
        <v>12</v>
      </c>
      <c r="M182">
        <v>100</v>
      </c>
      <c r="P182">
        <v>40</v>
      </c>
      <c r="Q182" t="s">
        <v>80</v>
      </c>
      <c r="R182" t="s">
        <v>415</v>
      </c>
      <c r="S182" t="s">
        <v>363</v>
      </c>
      <c r="T182" t="s">
        <v>333</v>
      </c>
      <c r="V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Q182">
        <v>182375</v>
      </c>
      <c r="AR182" t="b">
        <v>1</v>
      </c>
      <c r="AS182" t="b">
        <v>1</v>
      </c>
      <c r="AT182" t="b">
        <v>1</v>
      </c>
      <c r="AU182" t="b">
        <v>1</v>
      </c>
      <c r="AV182" t="b">
        <v>1</v>
      </c>
      <c r="AW182" t="b">
        <v>1</v>
      </c>
      <c r="AX182" t="b">
        <v>1</v>
      </c>
      <c r="BA182" t="s">
        <v>407</v>
      </c>
    </row>
    <row r="183" spans="1:53" x14ac:dyDescent="0.25">
      <c r="A183" t="s">
        <v>386</v>
      </c>
      <c r="B183">
        <v>1</v>
      </c>
      <c r="C183">
        <v>18</v>
      </c>
      <c r="D183">
        <v>1</v>
      </c>
      <c r="E183">
        <v>48211090</v>
      </c>
      <c r="F183">
        <v>297275</v>
      </c>
      <c r="G183" t="s">
        <v>316</v>
      </c>
      <c r="H183" t="s">
        <v>60</v>
      </c>
      <c r="I183" t="s">
        <v>60</v>
      </c>
      <c r="J183" t="s">
        <v>60</v>
      </c>
      <c r="K183" t="s">
        <v>60</v>
      </c>
      <c r="L183" t="s">
        <v>12</v>
      </c>
      <c r="M183">
        <v>15</v>
      </c>
      <c r="P183">
        <v>40</v>
      </c>
      <c r="Q183" t="s">
        <v>80</v>
      </c>
      <c r="R183" t="s">
        <v>415</v>
      </c>
      <c r="S183" t="s">
        <v>363</v>
      </c>
      <c r="T183" t="s">
        <v>333</v>
      </c>
      <c r="V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Q183">
        <v>182375</v>
      </c>
      <c r="AR183" t="b">
        <v>1</v>
      </c>
      <c r="AS183" t="b">
        <v>1</v>
      </c>
      <c r="AT183" t="b">
        <v>1</v>
      </c>
      <c r="AU183" t="b">
        <v>1</v>
      </c>
      <c r="AV183" t="b">
        <v>1</v>
      </c>
      <c r="AW183" t="b">
        <v>1</v>
      </c>
      <c r="AX183" t="b">
        <v>1</v>
      </c>
      <c r="BA183" t="s">
        <v>407</v>
      </c>
    </row>
    <row r="184" spans="1:53" x14ac:dyDescent="0.25">
      <c r="A184" t="s">
        <v>386</v>
      </c>
      <c r="B184">
        <v>1</v>
      </c>
      <c r="C184">
        <v>19</v>
      </c>
      <c r="D184">
        <v>1</v>
      </c>
      <c r="E184">
        <v>48211090</v>
      </c>
      <c r="F184">
        <v>297276</v>
      </c>
      <c r="G184" t="s">
        <v>317</v>
      </c>
      <c r="H184" t="s">
        <v>60</v>
      </c>
      <c r="I184" t="s">
        <v>60</v>
      </c>
      <c r="J184" t="s">
        <v>60</v>
      </c>
      <c r="K184" t="s">
        <v>60</v>
      </c>
      <c r="L184" t="s">
        <v>12</v>
      </c>
      <c r="M184">
        <v>35</v>
      </c>
      <c r="P184">
        <v>40</v>
      </c>
      <c r="Q184" t="s">
        <v>80</v>
      </c>
      <c r="R184" t="s">
        <v>415</v>
      </c>
      <c r="S184" t="s">
        <v>363</v>
      </c>
      <c r="T184" t="s">
        <v>333</v>
      </c>
      <c r="V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Q184">
        <v>182375</v>
      </c>
      <c r="AR184" t="b">
        <v>1</v>
      </c>
      <c r="AS184" t="b">
        <v>1</v>
      </c>
      <c r="AT184" t="b">
        <v>1</v>
      </c>
      <c r="AU184" t="b">
        <v>1</v>
      </c>
      <c r="AV184" t="b">
        <v>1</v>
      </c>
      <c r="AW184" t="b">
        <v>1</v>
      </c>
      <c r="AX184" t="b">
        <v>1</v>
      </c>
      <c r="BA184" t="s">
        <v>407</v>
      </c>
    </row>
    <row r="185" spans="1:53" x14ac:dyDescent="0.25">
      <c r="A185" t="s">
        <v>386</v>
      </c>
      <c r="B185">
        <v>1</v>
      </c>
      <c r="C185">
        <v>20</v>
      </c>
      <c r="D185">
        <v>1</v>
      </c>
      <c r="E185">
        <v>48211090</v>
      </c>
      <c r="F185">
        <v>297277</v>
      </c>
      <c r="G185" t="s">
        <v>318</v>
      </c>
      <c r="H185" t="s">
        <v>60</v>
      </c>
      <c r="I185" t="s">
        <v>60</v>
      </c>
      <c r="J185" t="s">
        <v>60</v>
      </c>
      <c r="K185" t="s">
        <v>60</v>
      </c>
      <c r="L185" t="s">
        <v>12</v>
      </c>
      <c r="M185">
        <v>25</v>
      </c>
      <c r="P185">
        <v>40</v>
      </c>
      <c r="Q185" t="s">
        <v>80</v>
      </c>
      <c r="R185" t="s">
        <v>415</v>
      </c>
      <c r="S185" t="s">
        <v>363</v>
      </c>
      <c r="T185" t="s">
        <v>333</v>
      </c>
      <c r="V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Q185">
        <v>182375</v>
      </c>
      <c r="AR185" t="b">
        <v>1</v>
      </c>
      <c r="AS185" t="b">
        <v>1</v>
      </c>
      <c r="AT185" t="b">
        <v>1</v>
      </c>
      <c r="AU185" t="b">
        <v>1</v>
      </c>
      <c r="AV185" t="b">
        <v>1</v>
      </c>
      <c r="AW185" t="b">
        <v>1</v>
      </c>
      <c r="AX185" t="b">
        <v>1</v>
      </c>
      <c r="BA185" t="s">
        <v>407</v>
      </c>
    </row>
    <row r="186" spans="1:53" x14ac:dyDescent="0.25">
      <c r="A186" t="s">
        <v>386</v>
      </c>
      <c r="B186">
        <v>1</v>
      </c>
      <c r="C186">
        <v>21</v>
      </c>
      <c r="D186">
        <v>1</v>
      </c>
      <c r="E186">
        <v>48211090</v>
      </c>
      <c r="F186">
        <v>297278</v>
      </c>
      <c r="G186" t="s">
        <v>319</v>
      </c>
      <c r="H186" t="s">
        <v>60</v>
      </c>
      <c r="I186" t="s">
        <v>60</v>
      </c>
      <c r="J186" t="s">
        <v>60</v>
      </c>
      <c r="K186" t="s">
        <v>60</v>
      </c>
      <c r="L186" t="s">
        <v>12</v>
      </c>
      <c r="M186">
        <v>25</v>
      </c>
      <c r="P186">
        <v>40</v>
      </c>
      <c r="Q186" t="s">
        <v>80</v>
      </c>
      <c r="R186" t="s">
        <v>415</v>
      </c>
      <c r="S186" t="s">
        <v>363</v>
      </c>
      <c r="T186" t="s">
        <v>333</v>
      </c>
      <c r="V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Q186">
        <v>182375</v>
      </c>
      <c r="AR186" t="b">
        <v>1</v>
      </c>
      <c r="AS186" t="b">
        <v>1</v>
      </c>
      <c r="AT186" t="b">
        <v>1</v>
      </c>
      <c r="AU186" t="b">
        <v>1</v>
      </c>
      <c r="AV186" t="b">
        <v>1</v>
      </c>
      <c r="AW186" t="b">
        <v>1</v>
      </c>
      <c r="AX186" t="b">
        <v>1</v>
      </c>
      <c r="BA186" t="s">
        <v>407</v>
      </c>
    </row>
    <row r="187" spans="1:53" x14ac:dyDescent="0.25">
      <c r="A187" t="s">
        <v>386</v>
      </c>
      <c r="B187">
        <v>1</v>
      </c>
      <c r="C187">
        <v>22</v>
      </c>
      <c r="D187">
        <v>1</v>
      </c>
      <c r="E187">
        <v>52081900</v>
      </c>
      <c r="F187">
        <v>274799</v>
      </c>
      <c r="G187" t="s">
        <v>311</v>
      </c>
      <c r="H187" t="s">
        <v>60</v>
      </c>
      <c r="I187" t="s">
        <v>60</v>
      </c>
      <c r="J187" t="s">
        <v>60</v>
      </c>
      <c r="K187" t="s">
        <v>60</v>
      </c>
      <c r="L187" t="s">
        <v>27</v>
      </c>
      <c r="M187">
        <v>4.7</v>
      </c>
      <c r="P187">
        <v>40</v>
      </c>
      <c r="Q187" t="s">
        <v>80</v>
      </c>
      <c r="R187" t="s">
        <v>409</v>
      </c>
      <c r="S187" t="s">
        <v>358</v>
      </c>
      <c r="T187" t="s">
        <v>327</v>
      </c>
      <c r="V187">
        <v>0</v>
      </c>
      <c r="Y187">
        <v>0</v>
      </c>
      <c r="Z187">
        <v>0</v>
      </c>
      <c r="AA187">
        <v>0</v>
      </c>
      <c r="AB187">
        <v>2255257.02</v>
      </c>
      <c r="AC187">
        <v>0</v>
      </c>
      <c r="AD187">
        <v>0</v>
      </c>
      <c r="AE187">
        <v>0</v>
      </c>
      <c r="AQ187">
        <v>182375</v>
      </c>
      <c r="AR187" t="b">
        <v>1</v>
      </c>
      <c r="AS187" t="b">
        <v>1</v>
      </c>
      <c r="AT187" t="b">
        <v>1</v>
      </c>
      <c r="AU187" t="b">
        <v>1</v>
      </c>
      <c r="AV187" t="b">
        <v>1</v>
      </c>
      <c r="AW187" t="b">
        <v>1</v>
      </c>
      <c r="AX187" t="b">
        <v>1</v>
      </c>
      <c r="BA187" t="s">
        <v>407</v>
      </c>
    </row>
    <row r="188" spans="1:53" x14ac:dyDescent="0.25">
      <c r="A188" t="s">
        <v>386</v>
      </c>
      <c r="B188">
        <v>1</v>
      </c>
      <c r="C188">
        <v>23</v>
      </c>
      <c r="D188">
        <v>1</v>
      </c>
      <c r="E188">
        <v>52081900</v>
      </c>
      <c r="F188">
        <v>275340</v>
      </c>
      <c r="G188" t="s">
        <v>312</v>
      </c>
      <c r="H188" t="s">
        <v>60</v>
      </c>
      <c r="I188" t="s">
        <v>60</v>
      </c>
      <c r="J188" t="s">
        <v>60</v>
      </c>
      <c r="K188" t="s">
        <v>60</v>
      </c>
      <c r="L188" t="s">
        <v>27</v>
      </c>
      <c r="M188">
        <v>4.7</v>
      </c>
      <c r="P188">
        <v>40</v>
      </c>
      <c r="Q188" t="s">
        <v>80</v>
      </c>
      <c r="R188" t="s">
        <v>410</v>
      </c>
      <c r="S188" t="s">
        <v>359</v>
      </c>
      <c r="T188" t="s">
        <v>328</v>
      </c>
      <c r="V188">
        <v>0</v>
      </c>
      <c r="Y188">
        <v>0</v>
      </c>
      <c r="Z188">
        <v>0</v>
      </c>
      <c r="AA188">
        <v>0</v>
      </c>
      <c r="AB188">
        <v>2255257.02</v>
      </c>
      <c r="AC188">
        <v>0</v>
      </c>
      <c r="AD188">
        <v>0</v>
      </c>
      <c r="AE188">
        <v>0</v>
      </c>
      <c r="AQ188">
        <v>182375</v>
      </c>
      <c r="AR188" t="b">
        <v>1</v>
      </c>
      <c r="AS188" t="b">
        <v>1</v>
      </c>
      <c r="AT188" t="b">
        <v>1</v>
      </c>
      <c r="AU188" t="b">
        <v>1</v>
      </c>
      <c r="AV188" t="b">
        <v>1</v>
      </c>
      <c r="AW188" t="b">
        <v>1</v>
      </c>
      <c r="AX188" t="b">
        <v>1</v>
      </c>
      <c r="BA188" t="s">
        <v>407</v>
      </c>
    </row>
    <row r="189" spans="1:53" x14ac:dyDescent="0.25">
      <c r="A189" t="s">
        <v>386</v>
      </c>
      <c r="B189">
        <v>1</v>
      </c>
      <c r="C189">
        <v>24</v>
      </c>
      <c r="D189">
        <v>1</v>
      </c>
      <c r="E189">
        <v>58062090</v>
      </c>
      <c r="F189">
        <v>248283</v>
      </c>
      <c r="G189" t="s">
        <v>313</v>
      </c>
      <c r="H189" t="s">
        <v>60</v>
      </c>
      <c r="I189" t="s">
        <v>60</v>
      </c>
      <c r="J189" t="s">
        <v>60</v>
      </c>
      <c r="K189" t="s">
        <v>60</v>
      </c>
      <c r="L189" t="s">
        <v>59</v>
      </c>
      <c r="M189">
        <v>2.5000000000000001E-3</v>
      </c>
      <c r="P189">
        <v>40</v>
      </c>
      <c r="Q189" t="s">
        <v>80</v>
      </c>
      <c r="R189" t="s">
        <v>411</v>
      </c>
      <c r="S189" t="s">
        <v>357</v>
      </c>
      <c r="T189" t="s">
        <v>329</v>
      </c>
      <c r="V189">
        <v>0</v>
      </c>
      <c r="Y189">
        <v>0</v>
      </c>
      <c r="Z189">
        <v>0</v>
      </c>
      <c r="AA189">
        <v>0</v>
      </c>
      <c r="AB189">
        <v>305</v>
      </c>
      <c r="AC189">
        <v>0</v>
      </c>
      <c r="AD189">
        <v>0</v>
      </c>
      <c r="AE189">
        <v>0</v>
      </c>
      <c r="AQ189">
        <v>182375</v>
      </c>
      <c r="AR189" t="b">
        <v>1</v>
      </c>
      <c r="AS189" t="b">
        <v>1</v>
      </c>
      <c r="AT189" t="b">
        <v>1</v>
      </c>
      <c r="AU189" t="b">
        <v>1</v>
      </c>
      <c r="AV189" t="b">
        <v>1</v>
      </c>
      <c r="AW189" t="b">
        <v>1</v>
      </c>
      <c r="AX189" t="b">
        <v>1</v>
      </c>
      <c r="BA189" t="s">
        <v>407</v>
      </c>
    </row>
    <row r="190" spans="1:53" x14ac:dyDescent="0.25">
      <c r="A190" t="s">
        <v>386</v>
      </c>
      <c r="B190">
        <v>1</v>
      </c>
      <c r="C190">
        <v>25</v>
      </c>
      <c r="D190">
        <v>1</v>
      </c>
      <c r="E190">
        <v>58062090</v>
      </c>
      <c r="F190">
        <v>248283</v>
      </c>
      <c r="G190" t="s">
        <v>313</v>
      </c>
      <c r="H190" t="s">
        <v>60</v>
      </c>
      <c r="I190" t="s">
        <v>60</v>
      </c>
      <c r="J190" t="s">
        <v>60</v>
      </c>
      <c r="K190" t="s">
        <v>60</v>
      </c>
      <c r="L190" t="s">
        <v>59</v>
      </c>
      <c r="M190">
        <v>5.0000000000000001E-3</v>
      </c>
      <c r="P190">
        <v>40</v>
      </c>
      <c r="Q190" t="s">
        <v>80</v>
      </c>
      <c r="R190" t="s">
        <v>412</v>
      </c>
      <c r="S190" t="s">
        <v>360</v>
      </c>
      <c r="T190" t="s">
        <v>330</v>
      </c>
      <c r="V190">
        <v>0</v>
      </c>
      <c r="Y190">
        <v>0</v>
      </c>
      <c r="Z190">
        <v>0</v>
      </c>
      <c r="AA190">
        <v>0</v>
      </c>
      <c r="AB190">
        <v>640</v>
      </c>
      <c r="AC190">
        <v>0</v>
      </c>
      <c r="AD190">
        <v>0</v>
      </c>
      <c r="AE190">
        <v>0</v>
      </c>
      <c r="AQ190">
        <v>182375</v>
      </c>
      <c r="AR190" t="b">
        <v>1</v>
      </c>
      <c r="AS190" t="b">
        <v>1</v>
      </c>
      <c r="AT190" t="b">
        <v>1</v>
      </c>
      <c r="AU190" t="b">
        <v>1</v>
      </c>
      <c r="AV190" t="b">
        <v>1</v>
      </c>
      <c r="AW190" t="b">
        <v>1</v>
      </c>
      <c r="AX190" t="b">
        <v>1</v>
      </c>
      <c r="BA190" t="s">
        <v>407</v>
      </c>
    </row>
    <row r="191" spans="1:53" x14ac:dyDescent="0.25">
      <c r="A191" t="s">
        <v>386</v>
      </c>
      <c r="B191">
        <v>1</v>
      </c>
      <c r="C191">
        <v>26</v>
      </c>
      <c r="D191">
        <v>1</v>
      </c>
      <c r="E191">
        <v>58062090</v>
      </c>
      <c r="F191">
        <v>248283</v>
      </c>
      <c r="G191" t="s">
        <v>313</v>
      </c>
      <c r="H191" t="s">
        <v>60</v>
      </c>
      <c r="I191" t="s">
        <v>60</v>
      </c>
      <c r="J191" t="s">
        <v>60</v>
      </c>
      <c r="K191" t="s">
        <v>60</v>
      </c>
      <c r="L191" t="s">
        <v>59</v>
      </c>
      <c r="M191">
        <v>5.0000000000000001E-3</v>
      </c>
      <c r="P191">
        <v>40</v>
      </c>
      <c r="Q191" t="s">
        <v>80</v>
      </c>
      <c r="R191" t="s">
        <v>413</v>
      </c>
      <c r="S191" t="s">
        <v>361</v>
      </c>
      <c r="T191" t="s">
        <v>331</v>
      </c>
      <c r="V191">
        <v>0</v>
      </c>
      <c r="Y191">
        <v>0</v>
      </c>
      <c r="Z191">
        <v>0</v>
      </c>
      <c r="AA191">
        <v>0</v>
      </c>
      <c r="AB191">
        <v>640</v>
      </c>
      <c r="AC191">
        <v>0</v>
      </c>
      <c r="AD191">
        <v>0</v>
      </c>
      <c r="AE191">
        <v>0</v>
      </c>
      <c r="AQ191">
        <v>182375</v>
      </c>
      <c r="AR191" t="b">
        <v>1</v>
      </c>
      <c r="AS191" t="b">
        <v>1</v>
      </c>
      <c r="AT191" t="b">
        <v>1</v>
      </c>
      <c r="AU191" t="b">
        <v>1</v>
      </c>
      <c r="AV191" t="b">
        <v>1</v>
      </c>
      <c r="AW191" t="b">
        <v>1</v>
      </c>
      <c r="AX191" t="b">
        <v>1</v>
      </c>
      <c r="BA191" t="s">
        <v>407</v>
      </c>
    </row>
    <row r="192" spans="1:53" x14ac:dyDescent="0.25">
      <c r="A192" t="s">
        <v>386</v>
      </c>
      <c r="B192">
        <v>1</v>
      </c>
      <c r="C192">
        <v>27</v>
      </c>
      <c r="D192">
        <v>1</v>
      </c>
      <c r="E192">
        <v>58062090</v>
      </c>
      <c r="F192">
        <v>248283</v>
      </c>
      <c r="G192" t="s">
        <v>314</v>
      </c>
      <c r="H192" t="s">
        <v>60</v>
      </c>
      <c r="I192" t="s">
        <v>60</v>
      </c>
      <c r="J192" t="s">
        <v>60</v>
      </c>
      <c r="K192" t="s">
        <v>60</v>
      </c>
      <c r="L192" t="s">
        <v>59</v>
      </c>
      <c r="M192">
        <v>5.0000000000000001E-3</v>
      </c>
      <c r="P192">
        <v>40</v>
      </c>
      <c r="Q192" t="s">
        <v>80</v>
      </c>
      <c r="R192" t="s">
        <v>414</v>
      </c>
      <c r="S192" t="s">
        <v>362</v>
      </c>
      <c r="T192" t="s">
        <v>332</v>
      </c>
      <c r="V192">
        <v>0</v>
      </c>
      <c r="Y192">
        <v>0</v>
      </c>
      <c r="Z192">
        <v>0</v>
      </c>
      <c r="AA192">
        <v>0</v>
      </c>
      <c r="AB192">
        <v>640</v>
      </c>
      <c r="AC192">
        <v>0</v>
      </c>
      <c r="AD192">
        <v>0</v>
      </c>
      <c r="AE192">
        <v>0</v>
      </c>
      <c r="AQ192">
        <v>182375</v>
      </c>
      <c r="AR192" t="b">
        <v>1</v>
      </c>
      <c r="AS192" t="b">
        <v>1</v>
      </c>
      <c r="AT192" t="b">
        <v>1</v>
      </c>
      <c r="AU192" t="b">
        <v>1</v>
      </c>
      <c r="AV192" t="b">
        <v>1</v>
      </c>
      <c r="AW192" t="b">
        <v>1</v>
      </c>
      <c r="AX192" t="b">
        <v>1</v>
      </c>
      <c r="BA192" t="s">
        <v>407</v>
      </c>
    </row>
    <row r="193" spans="1:53" x14ac:dyDescent="0.25">
      <c r="A193" t="s">
        <v>386</v>
      </c>
      <c r="B193">
        <v>1</v>
      </c>
      <c r="C193">
        <v>28</v>
      </c>
      <c r="D193">
        <v>1</v>
      </c>
      <c r="E193">
        <v>48211090</v>
      </c>
      <c r="F193">
        <v>297274</v>
      </c>
      <c r="G193" t="s">
        <v>315</v>
      </c>
      <c r="H193" t="s">
        <v>60</v>
      </c>
      <c r="I193" t="s">
        <v>60</v>
      </c>
      <c r="J193" t="s">
        <v>60</v>
      </c>
      <c r="K193" t="s">
        <v>60</v>
      </c>
      <c r="L193" t="s">
        <v>12</v>
      </c>
      <c r="M193">
        <v>100</v>
      </c>
      <c r="P193">
        <v>40</v>
      </c>
      <c r="Q193" t="s">
        <v>80</v>
      </c>
      <c r="R193" t="s">
        <v>415</v>
      </c>
      <c r="S193" t="s">
        <v>363</v>
      </c>
      <c r="T193" t="s">
        <v>333</v>
      </c>
      <c r="V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Q193">
        <v>182375</v>
      </c>
      <c r="AR193" t="b">
        <v>1</v>
      </c>
      <c r="AS193" t="b">
        <v>1</v>
      </c>
      <c r="AT193" t="b">
        <v>1</v>
      </c>
      <c r="AU193" t="b">
        <v>1</v>
      </c>
      <c r="AV193" t="b">
        <v>1</v>
      </c>
      <c r="AW193" t="b">
        <v>1</v>
      </c>
      <c r="AX193" t="b">
        <v>1</v>
      </c>
      <c r="BA193" t="s">
        <v>407</v>
      </c>
    </row>
    <row r="194" spans="1:53" x14ac:dyDescent="0.25">
      <c r="A194" t="s">
        <v>386</v>
      </c>
      <c r="B194">
        <v>1</v>
      </c>
      <c r="C194">
        <v>29</v>
      </c>
      <c r="D194">
        <v>1</v>
      </c>
      <c r="E194">
        <v>48211090</v>
      </c>
      <c r="F194">
        <v>297275</v>
      </c>
      <c r="G194" t="s">
        <v>316</v>
      </c>
      <c r="H194" t="s">
        <v>60</v>
      </c>
      <c r="I194" t="s">
        <v>60</v>
      </c>
      <c r="J194" t="s">
        <v>60</v>
      </c>
      <c r="K194" t="s">
        <v>60</v>
      </c>
      <c r="L194" t="s">
        <v>12</v>
      </c>
      <c r="M194">
        <v>15</v>
      </c>
      <c r="P194">
        <v>40</v>
      </c>
      <c r="Q194" t="s">
        <v>80</v>
      </c>
      <c r="R194" t="s">
        <v>415</v>
      </c>
      <c r="S194" t="s">
        <v>363</v>
      </c>
      <c r="T194" t="s">
        <v>333</v>
      </c>
      <c r="V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Q194">
        <v>182375</v>
      </c>
      <c r="AR194" t="b">
        <v>1</v>
      </c>
      <c r="AS194" t="b">
        <v>1</v>
      </c>
      <c r="AT194" t="b">
        <v>1</v>
      </c>
      <c r="AU194" t="b">
        <v>1</v>
      </c>
      <c r="AV194" t="b">
        <v>1</v>
      </c>
      <c r="AW194" t="b">
        <v>1</v>
      </c>
      <c r="AX194" t="b">
        <v>1</v>
      </c>
      <c r="BA194" t="s">
        <v>407</v>
      </c>
    </row>
    <row r="195" spans="1:53" x14ac:dyDescent="0.25">
      <c r="A195" t="s">
        <v>386</v>
      </c>
      <c r="B195">
        <v>1</v>
      </c>
      <c r="C195">
        <v>30</v>
      </c>
      <c r="D195">
        <v>1</v>
      </c>
      <c r="E195">
        <v>48211090</v>
      </c>
      <c r="F195">
        <v>297276</v>
      </c>
      <c r="G195" t="s">
        <v>317</v>
      </c>
      <c r="H195" t="s">
        <v>60</v>
      </c>
      <c r="I195" t="s">
        <v>60</v>
      </c>
      <c r="J195" t="s">
        <v>60</v>
      </c>
      <c r="K195" t="s">
        <v>60</v>
      </c>
      <c r="L195" t="s">
        <v>12</v>
      </c>
      <c r="M195">
        <v>35</v>
      </c>
      <c r="P195">
        <v>40</v>
      </c>
      <c r="Q195" t="s">
        <v>80</v>
      </c>
      <c r="R195" t="s">
        <v>415</v>
      </c>
      <c r="S195" t="s">
        <v>363</v>
      </c>
      <c r="T195" t="s">
        <v>333</v>
      </c>
      <c r="V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Q195">
        <v>182375</v>
      </c>
      <c r="AR195" t="b">
        <v>1</v>
      </c>
      <c r="AS195" t="b">
        <v>1</v>
      </c>
      <c r="AT195" t="b">
        <v>1</v>
      </c>
      <c r="AU195" t="b">
        <v>1</v>
      </c>
      <c r="AV195" t="b">
        <v>1</v>
      </c>
      <c r="AW195" t="b">
        <v>1</v>
      </c>
      <c r="AX195" t="b">
        <v>1</v>
      </c>
      <c r="BA195" t="s">
        <v>407</v>
      </c>
    </row>
    <row r="196" spans="1:53" x14ac:dyDescent="0.25">
      <c r="A196" t="s">
        <v>386</v>
      </c>
      <c r="B196">
        <v>1</v>
      </c>
      <c r="C196">
        <v>31</v>
      </c>
      <c r="D196">
        <v>1</v>
      </c>
      <c r="E196">
        <v>48211090</v>
      </c>
      <c r="F196">
        <v>297277</v>
      </c>
      <c r="G196" t="s">
        <v>318</v>
      </c>
      <c r="H196" t="s">
        <v>60</v>
      </c>
      <c r="I196" t="s">
        <v>60</v>
      </c>
      <c r="J196" t="s">
        <v>60</v>
      </c>
      <c r="K196" t="s">
        <v>60</v>
      </c>
      <c r="L196" t="s">
        <v>12</v>
      </c>
      <c r="M196">
        <v>25</v>
      </c>
      <c r="P196">
        <v>40</v>
      </c>
      <c r="Q196" t="s">
        <v>80</v>
      </c>
      <c r="R196" t="s">
        <v>415</v>
      </c>
      <c r="S196" t="s">
        <v>363</v>
      </c>
      <c r="T196" t="s">
        <v>333</v>
      </c>
      <c r="V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Q196">
        <v>182375</v>
      </c>
      <c r="AR196" t="b">
        <v>1</v>
      </c>
      <c r="AS196" t="b">
        <v>1</v>
      </c>
      <c r="AT196" t="b">
        <v>1</v>
      </c>
      <c r="AU196" t="b">
        <v>1</v>
      </c>
      <c r="AV196" t="b">
        <v>1</v>
      </c>
      <c r="AW196" t="b">
        <v>1</v>
      </c>
      <c r="AX196" t="b">
        <v>1</v>
      </c>
      <c r="BA196" t="s">
        <v>407</v>
      </c>
    </row>
    <row r="197" spans="1:53" x14ac:dyDescent="0.25">
      <c r="A197" t="s">
        <v>386</v>
      </c>
      <c r="B197">
        <v>1</v>
      </c>
      <c r="C197">
        <v>32</v>
      </c>
      <c r="D197">
        <v>1</v>
      </c>
      <c r="E197">
        <v>48211090</v>
      </c>
      <c r="F197">
        <v>297278</v>
      </c>
      <c r="G197" t="s">
        <v>319</v>
      </c>
      <c r="H197" t="s">
        <v>60</v>
      </c>
      <c r="I197" t="s">
        <v>60</v>
      </c>
      <c r="J197" t="s">
        <v>60</v>
      </c>
      <c r="K197" t="s">
        <v>60</v>
      </c>
      <c r="L197" t="s">
        <v>12</v>
      </c>
      <c r="M197">
        <v>25</v>
      </c>
      <c r="P197">
        <v>40</v>
      </c>
      <c r="Q197" t="s">
        <v>80</v>
      </c>
      <c r="R197" t="s">
        <v>415</v>
      </c>
      <c r="S197" t="s">
        <v>363</v>
      </c>
      <c r="T197" t="s">
        <v>333</v>
      </c>
      <c r="V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Q197">
        <v>182375</v>
      </c>
      <c r="AR197" t="b">
        <v>1</v>
      </c>
      <c r="AS197" t="b">
        <v>1</v>
      </c>
      <c r="AT197" t="b">
        <v>1</v>
      </c>
      <c r="AU197" t="b">
        <v>1</v>
      </c>
      <c r="AV197" t="b">
        <v>1</v>
      </c>
      <c r="AW197" t="b">
        <v>1</v>
      </c>
      <c r="AX197" t="b">
        <v>1</v>
      </c>
      <c r="BA197" t="s">
        <v>407</v>
      </c>
    </row>
    <row r="198" spans="1:53" x14ac:dyDescent="0.25">
      <c r="A198" t="s">
        <v>386</v>
      </c>
      <c r="B198">
        <v>1</v>
      </c>
      <c r="C198">
        <v>33</v>
      </c>
      <c r="D198">
        <v>1</v>
      </c>
      <c r="E198">
        <v>52081900</v>
      </c>
      <c r="F198">
        <v>275340</v>
      </c>
      <c r="G198" t="s">
        <v>312</v>
      </c>
      <c r="H198" t="s">
        <v>60</v>
      </c>
      <c r="I198" t="s">
        <v>60</v>
      </c>
      <c r="J198" t="s">
        <v>60</v>
      </c>
      <c r="K198" t="s">
        <v>60</v>
      </c>
      <c r="L198" t="s">
        <v>27</v>
      </c>
      <c r="M198">
        <v>4.7</v>
      </c>
      <c r="P198">
        <v>40</v>
      </c>
      <c r="Q198" t="s">
        <v>80</v>
      </c>
      <c r="R198" t="s">
        <v>410</v>
      </c>
      <c r="S198" t="s">
        <v>359</v>
      </c>
      <c r="T198" t="s">
        <v>328</v>
      </c>
      <c r="V198">
        <v>0</v>
      </c>
      <c r="Y198">
        <v>0</v>
      </c>
      <c r="Z198">
        <v>0</v>
      </c>
      <c r="AA198">
        <v>0</v>
      </c>
      <c r="AB198">
        <v>2255257.02</v>
      </c>
      <c r="AC198">
        <v>0</v>
      </c>
      <c r="AD198">
        <v>0</v>
      </c>
      <c r="AE198">
        <v>0</v>
      </c>
      <c r="AQ198">
        <v>182375</v>
      </c>
      <c r="AR198" t="b">
        <v>1</v>
      </c>
      <c r="AS198" t="b">
        <v>1</v>
      </c>
      <c r="AT198" t="b">
        <v>1</v>
      </c>
      <c r="AU198" t="b">
        <v>1</v>
      </c>
      <c r="AV198" t="b">
        <v>1</v>
      </c>
      <c r="AW198" t="b">
        <v>1</v>
      </c>
      <c r="AX198" t="b">
        <v>1</v>
      </c>
      <c r="BA198" t="s">
        <v>407</v>
      </c>
    </row>
    <row r="199" spans="1:53" x14ac:dyDescent="0.25">
      <c r="A199" t="s">
        <v>386</v>
      </c>
      <c r="B199">
        <v>1</v>
      </c>
      <c r="C199">
        <v>34</v>
      </c>
      <c r="D199">
        <v>1</v>
      </c>
      <c r="E199">
        <v>58062090</v>
      </c>
      <c r="F199">
        <v>248283</v>
      </c>
      <c r="G199" t="s">
        <v>313</v>
      </c>
      <c r="H199" t="s">
        <v>60</v>
      </c>
      <c r="I199" t="s">
        <v>60</v>
      </c>
      <c r="J199" t="s">
        <v>60</v>
      </c>
      <c r="K199" t="s">
        <v>60</v>
      </c>
      <c r="L199" t="s">
        <v>59</v>
      </c>
      <c r="M199">
        <v>2.5000000000000001E-3</v>
      </c>
      <c r="P199">
        <v>40</v>
      </c>
      <c r="Q199" t="s">
        <v>80</v>
      </c>
      <c r="R199" t="s">
        <v>411</v>
      </c>
      <c r="S199" t="s">
        <v>357</v>
      </c>
      <c r="T199" t="s">
        <v>329</v>
      </c>
      <c r="V199">
        <v>0</v>
      </c>
      <c r="Y199">
        <v>0</v>
      </c>
      <c r="Z199">
        <v>0</v>
      </c>
      <c r="AA199">
        <v>0</v>
      </c>
      <c r="AB199">
        <v>305</v>
      </c>
      <c r="AC199">
        <v>0</v>
      </c>
      <c r="AD199">
        <v>0</v>
      </c>
      <c r="AE199">
        <v>0</v>
      </c>
      <c r="AQ199">
        <v>182375</v>
      </c>
      <c r="AR199" t="b">
        <v>1</v>
      </c>
      <c r="AS199" t="b">
        <v>1</v>
      </c>
      <c r="AT199" t="b">
        <v>1</v>
      </c>
      <c r="AU199" t="b">
        <v>1</v>
      </c>
      <c r="AV199" t="b">
        <v>1</v>
      </c>
      <c r="AW199" t="b">
        <v>1</v>
      </c>
      <c r="AX199" t="b">
        <v>1</v>
      </c>
      <c r="BA199" t="s">
        <v>407</v>
      </c>
    </row>
    <row r="200" spans="1:53" x14ac:dyDescent="0.25">
      <c r="A200" t="s">
        <v>386</v>
      </c>
      <c r="B200">
        <v>1</v>
      </c>
      <c r="C200">
        <v>35</v>
      </c>
      <c r="D200">
        <v>1</v>
      </c>
      <c r="E200">
        <v>58062090</v>
      </c>
      <c r="F200">
        <v>248283</v>
      </c>
      <c r="G200" t="s">
        <v>313</v>
      </c>
      <c r="H200" t="s">
        <v>60</v>
      </c>
      <c r="I200" t="s">
        <v>60</v>
      </c>
      <c r="J200" t="s">
        <v>60</v>
      </c>
      <c r="K200" t="s">
        <v>60</v>
      </c>
      <c r="L200" t="s">
        <v>59</v>
      </c>
      <c r="M200">
        <v>5.0000000000000001E-3</v>
      </c>
      <c r="P200">
        <v>40</v>
      </c>
      <c r="Q200" t="s">
        <v>80</v>
      </c>
      <c r="R200" t="s">
        <v>412</v>
      </c>
      <c r="S200" t="s">
        <v>360</v>
      </c>
      <c r="T200" t="s">
        <v>330</v>
      </c>
      <c r="V200">
        <v>0</v>
      </c>
      <c r="Y200">
        <v>0</v>
      </c>
      <c r="Z200">
        <v>0</v>
      </c>
      <c r="AA200">
        <v>0</v>
      </c>
      <c r="AB200">
        <v>640</v>
      </c>
      <c r="AC200">
        <v>0</v>
      </c>
      <c r="AD200">
        <v>0</v>
      </c>
      <c r="AE200">
        <v>0</v>
      </c>
      <c r="AQ200">
        <v>182375</v>
      </c>
      <c r="AR200" t="b">
        <v>1</v>
      </c>
      <c r="AS200" t="b">
        <v>1</v>
      </c>
      <c r="AT200" t="b">
        <v>1</v>
      </c>
      <c r="AU200" t="b">
        <v>1</v>
      </c>
      <c r="AV200" t="b">
        <v>1</v>
      </c>
      <c r="AW200" t="b">
        <v>1</v>
      </c>
      <c r="AX200" t="b">
        <v>1</v>
      </c>
      <c r="BA200" t="s">
        <v>407</v>
      </c>
    </row>
    <row r="201" spans="1:53" x14ac:dyDescent="0.25">
      <c r="A201" t="s">
        <v>386</v>
      </c>
      <c r="B201">
        <v>1</v>
      </c>
      <c r="C201">
        <v>36</v>
      </c>
      <c r="D201">
        <v>1</v>
      </c>
      <c r="E201">
        <v>58062090</v>
      </c>
      <c r="F201">
        <v>248283</v>
      </c>
      <c r="G201" t="s">
        <v>313</v>
      </c>
      <c r="H201" t="s">
        <v>60</v>
      </c>
      <c r="I201" t="s">
        <v>60</v>
      </c>
      <c r="J201" t="s">
        <v>60</v>
      </c>
      <c r="K201" t="s">
        <v>60</v>
      </c>
      <c r="L201" t="s">
        <v>59</v>
      </c>
      <c r="M201">
        <v>5.0000000000000001E-3</v>
      </c>
      <c r="P201">
        <v>40</v>
      </c>
      <c r="Q201" t="s">
        <v>80</v>
      </c>
      <c r="R201" t="s">
        <v>413</v>
      </c>
      <c r="S201" t="s">
        <v>361</v>
      </c>
      <c r="T201" t="s">
        <v>331</v>
      </c>
      <c r="V201">
        <v>0</v>
      </c>
      <c r="Y201">
        <v>0</v>
      </c>
      <c r="Z201">
        <v>0</v>
      </c>
      <c r="AA201">
        <v>0</v>
      </c>
      <c r="AB201">
        <v>640</v>
      </c>
      <c r="AC201">
        <v>0</v>
      </c>
      <c r="AD201">
        <v>0</v>
      </c>
      <c r="AE201">
        <v>0</v>
      </c>
      <c r="AQ201">
        <v>182375</v>
      </c>
      <c r="AR201" t="b">
        <v>1</v>
      </c>
      <c r="AS201" t="b">
        <v>1</v>
      </c>
      <c r="AT201" t="b">
        <v>1</v>
      </c>
      <c r="AU201" t="b">
        <v>1</v>
      </c>
      <c r="AV201" t="b">
        <v>1</v>
      </c>
      <c r="AW201" t="b">
        <v>1</v>
      </c>
      <c r="AX201" t="b">
        <v>1</v>
      </c>
      <c r="BA201" t="s">
        <v>407</v>
      </c>
    </row>
    <row r="202" spans="1:53" x14ac:dyDescent="0.25">
      <c r="A202" t="s">
        <v>386</v>
      </c>
      <c r="B202">
        <v>1</v>
      </c>
      <c r="C202">
        <v>37</v>
      </c>
      <c r="D202">
        <v>1</v>
      </c>
      <c r="E202">
        <v>58062090</v>
      </c>
      <c r="F202">
        <v>248283</v>
      </c>
      <c r="G202" t="s">
        <v>314</v>
      </c>
      <c r="H202" t="s">
        <v>60</v>
      </c>
      <c r="I202" t="s">
        <v>60</v>
      </c>
      <c r="J202" t="s">
        <v>60</v>
      </c>
      <c r="K202" t="s">
        <v>60</v>
      </c>
      <c r="L202" t="s">
        <v>59</v>
      </c>
      <c r="M202">
        <v>5.0000000000000001E-3</v>
      </c>
      <c r="P202">
        <v>40</v>
      </c>
      <c r="Q202" t="s">
        <v>80</v>
      </c>
      <c r="R202" t="s">
        <v>414</v>
      </c>
      <c r="S202" t="s">
        <v>362</v>
      </c>
      <c r="T202" t="s">
        <v>332</v>
      </c>
      <c r="V202">
        <v>0</v>
      </c>
      <c r="Y202">
        <v>0</v>
      </c>
      <c r="Z202">
        <v>0</v>
      </c>
      <c r="AA202">
        <v>0</v>
      </c>
      <c r="AB202">
        <v>640</v>
      </c>
      <c r="AC202">
        <v>0</v>
      </c>
      <c r="AD202">
        <v>0</v>
      </c>
      <c r="AE202">
        <v>0</v>
      </c>
      <c r="AQ202">
        <v>182375</v>
      </c>
      <c r="AR202" t="b">
        <v>1</v>
      </c>
      <c r="AS202" t="b">
        <v>1</v>
      </c>
      <c r="AT202" t="b">
        <v>1</v>
      </c>
      <c r="AU202" t="b">
        <v>1</v>
      </c>
      <c r="AV202" t="b">
        <v>1</v>
      </c>
      <c r="AW202" t="b">
        <v>1</v>
      </c>
      <c r="AX202" t="b">
        <v>1</v>
      </c>
      <c r="BA202" t="s">
        <v>407</v>
      </c>
    </row>
    <row r="203" spans="1:53" x14ac:dyDescent="0.25">
      <c r="A203" t="s">
        <v>386</v>
      </c>
      <c r="B203">
        <v>1</v>
      </c>
      <c r="C203">
        <v>38</v>
      </c>
      <c r="D203">
        <v>1</v>
      </c>
      <c r="E203">
        <v>48211090</v>
      </c>
      <c r="F203">
        <v>297274</v>
      </c>
      <c r="G203" t="s">
        <v>315</v>
      </c>
      <c r="H203" t="s">
        <v>60</v>
      </c>
      <c r="I203" t="s">
        <v>60</v>
      </c>
      <c r="J203" t="s">
        <v>60</v>
      </c>
      <c r="K203" t="s">
        <v>60</v>
      </c>
      <c r="L203" t="s">
        <v>12</v>
      </c>
      <c r="M203">
        <v>100</v>
      </c>
      <c r="P203">
        <v>40</v>
      </c>
      <c r="Q203" t="s">
        <v>80</v>
      </c>
      <c r="R203" t="s">
        <v>415</v>
      </c>
      <c r="S203" t="s">
        <v>363</v>
      </c>
      <c r="T203" t="s">
        <v>333</v>
      </c>
      <c r="V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Q203">
        <v>182375</v>
      </c>
      <c r="AR203" t="b">
        <v>1</v>
      </c>
      <c r="AS203" t="b">
        <v>1</v>
      </c>
      <c r="AT203" t="b">
        <v>1</v>
      </c>
      <c r="AU203" t="b">
        <v>1</v>
      </c>
      <c r="AV203" t="b">
        <v>1</v>
      </c>
      <c r="AW203" t="b">
        <v>1</v>
      </c>
      <c r="AX203" t="b">
        <v>1</v>
      </c>
      <c r="BA203" t="s">
        <v>407</v>
      </c>
    </row>
    <row r="204" spans="1:53" x14ac:dyDescent="0.25">
      <c r="A204" t="s">
        <v>386</v>
      </c>
      <c r="B204">
        <v>1</v>
      </c>
      <c r="C204">
        <v>39</v>
      </c>
      <c r="D204">
        <v>1</v>
      </c>
      <c r="E204">
        <v>48211090</v>
      </c>
      <c r="F204">
        <v>297275</v>
      </c>
      <c r="G204" t="s">
        <v>316</v>
      </c>
      <c r="H204" t="s">
        <v>60</v>
      </c>
      <c r="I204" t="s">
        <v>60</v>
      </c>
      <c r="J204" t="s">
        <v>60</v>
      </c>
      <c r="K204" t="s">
        <v>60</v>
      </c>
      <c r="L204" t="s">
        <v>12</v>
      </c>
      <c r="M204">
        <v>15</v>
      </c>
      <c r="P204">
        <v>40</v>
      </c>
      <c r="Q204" t="s">
        <v>80</v>
      </c>
      <c r="R204" t="s">
        <v>415</v>
      </c>
      <c r="S204" t="s">
        <v>363</v>
      </c>
      <c r="T204" t="s">
        <v>333</v>
      </c>
      <c r="V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Q204">
        <v>182375</v>
      </c>
      <c r="AR204" t="b">
        <v>1</v>
      </c>
      <c r="AS204" t="b">
        <v>1</v>
      </c>
      <c r="AT204" t="b">
        <v>1</v>
      </c>
      <c r="AU204" t="b">
        <v>1</v>
      </c>
      <c r="AV204" t="b">
        <v>1</v>
      </c>
      <c r="AW204" t="b">
        <v>1</v>
      </c>
      <c r="AX204" t="b">
        <v>1</v>
      </c>
      <c r="BA204" t="s">
        <v>407</v>
      </c>
    </row>
    <row r="205" spans="1:53" x14ac:dyDescent="0.25">
      <c r="A205" t="s">
        <v>386</v>
      </c>
      <c r="B205">
        <v>1</v>
      </c>
      <c r="C205">
        <v>40</v>
      </c>
      <c r="D205">
        <v>1</v>
      </c>
      <c r="E205">
        <v>48211090</v>
      </c>
      <c r="F205">
        <v>297276</v>
      </c>
      <c r="G205" t="s">
        <v>317</v>
      </c>
      <c r="H205" t="s">
        <v>60</v>
      </c>
      <c r="I205" t="s">
        <v>60</v>
      </c>
      <c r="J205" t="s">
        <v>60</v>
      </c>
      <c r="K205" t="s">
        <v>60</v>
      </c>
      <c r="L205" t="s">
        <v>12</v>
      </c>
      <c r="M205">
        <v>35</v>
      </c>
      <c r="P205">
        <v>40</v>
      </c>
      <c r="Q205" t="s">
        <v>80</v>
      </c>
      <c r="R205" t="s">
        <v>415</v>
      </c>
      <c r="S205" t="s">
        <v>363</v>
      </c>
      <c r="T205" t="s">
        <v>333</v>
      </c>
      <c r="V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Q205">
        <v>182375</v>
      </c>
      <c r="AR205" t="b">
        <v>1</v>
      </c>
      <c r="AS205" t="b">
        <v>1</v>
      </c>
      <c r="AT205" t="b">
        <v>1</v>
      </c>
      <c r="AU205" t="b">
        <v>1</v>
      </c>
      <c r="AV205" t="b">
        <v>1</v>
      </c>
      <c r="AW205" t="b">
        <v>1</v>
      </c>
      <c r="AX205" t="b">
        <v>1</v>
      </c>
      <c r="BA205" t="s">
        <v>407</v>
      </c>
    </row>
    <row r="206" spans="1:53" x14ac:dyDescent="0.25">
      <c r="A206" t="s">
        <v>386</v>
      </c>
      <c r="B206">
        <v>1</v>
      </c>
      <c r="C206">
        <v>41</v>
      </c>
      <c r="D206">
        <v>1</v>
      </c>
      <c r="E206">
        <v>48211090</v>
      </c>
      <c r="F206">
        <v>297277</v>
      </c>
      <c r="G206" t="s">
        <v>318</v>
      </c>
      <c r="H206" t="s">
        <v>60</v>
      </c>
      <c r="I206" t="s">
        <v>60</v>
      </c>
      <c r="J206" t="s">
        <v>60</v>
      </c>
      <c r="K206" t="s">
        <v>60</v>
      </c>
      <c r="L206" t="s">
        <v>12</v>
      </c>
      <c r="M206">
        <v>25</v>
      </c>
      <c r="P206">
        <v>40</v>
      </c>
      <c r="Q206" t="s">
        <v>80</v>
      </c>
      <c r="R206" t="s">
        <v>415</v>
      </c>
      <c r="S206" t="s">
        <v>363</v>
      </c>
      <c r="T206" t="s">
        <v>333</v>
      </c>
      <c r="V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Q206">
        <v>182375</v>
      </c>
      <c r="AR206" t="b">
        <v>1</v>
      </c>
      <c r="AS206" t="b">
        <v>1</v>
      </c>
      <c r="AT206" t="b">
        <v>1</v>
      </c>
      <c r="AU206" t="b">
        <v>1</v>
      </c>
      <c r="AV206" t="b">
        <v>1</v>
      </c>
      <c r="AW206" t="b">
        <v>1</v>
      </c>
      <c r="AX206" t="b">
        <v>1</v>
      </c>
      <c r="BA206" t="s">
        <v>407</v>
      </c>
    </row>
    <row r="207" spans="1:53" x14ac:dyDescent="0.25">
      <c r="A207" t="s">
        <v>386</v>
      </c>
      <c r="B207">
        <v>1</v>
      </c>
      <c r="C207">
        <v>42</v>
      </c>
      <c r="D207">
        <v>1</v>
      </c>
      <c r="E207">
        <v>48211090</v>
      </c>
      <c r="F207">
        <v>297278</v>
      </c>
      <c r="G207" t="s">
        <v>319</v>
      </c>
      <c r="H207" t="s">
        <v>60</v>
      </c>
      <c r="I207" t="s">
        <v>60</v>
      </c>
      <c r="J207" t="s">
        <v>60</v>
      </c>
      <c r="K207" t="s">
        <v>60</v>
      </c>
      <c r="L207" t="s">
        <v>12</v>
      </c>
      <c r="M207">
        <v>25</v>
      </c>
      <c r="P207">
        <v>40</v>
      </c>
      <c r="Q207" t="s">
        <v>80</v>
      </c>
      <c r="R207" t="s">
        <v>415</v>
      </c>
      <c r="S207" t="s">
        <v>363</v>
      </c>
      <c r="T207" t="s">
        <v>333</v>
      </c>
      <c r="V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Q207">
        <v>182375</v>
      </c>
      <c r="AR207" t="b">
        <v>1</v>
      </c>
      <c r="AS207" t="b">
        <v>1</v>
      </c>
      <c r="AT207" t="b">
        <v>1</v>
      </c>
      <c r="AU207" t="b">
        <v>1</v>
      </c>
      <c r="AV207" t="b">
        <v>1</v>
      </c>
      <c r="AW207" t="b">
        <v>1</v>
      </c>
      <c r="AX207" t="b">
        <v>1</v>
      </c>
      <c r="BA207" t="s">
        <v>407</v>
      </c>
    </row>
    <row r="208" spans="1:53" x14ac:dyDescent="0.25">
      <c r="A208" t="s">
        <v>386</v>
      </c>
      <c r="B208">
        <v>3</v>
      </c>
      <c r="C208">
        <v>1</v>
      </c>
      <c r="D208">
        <v>1</v>
      </c>
      <c r="E208">
        <v>52081900</v>
      </c>
      <c r="F208">
        <v>274799</v>
      </c>
      <c r="G208" t="s">
        <v>311</v>
      </c>
      <c r="H208" t="s">
        <v>60</v>
      </c>
      <c r="I208" t="s">
        <v>60</v>
      </c>
      <c r="J208" t="s">
        <v>60</v>
      </c>
      <c r="K208" t="s">
        <v>60</v>
      </c>
      <c r="L208" t="s">
        <v>27</v>
      </c>
      <c r="M208">
        <v>5.8</v>
      </c>
      <c r="P208">
        <v>40</v>
      </c>
      <c r="Q208" t="s">
        <v>80</v>
      </c>
      <c r="R208" t="s">
        <v>409</v>
      </c>
      <c r="S208" t="s">
        <v>358</v>
      </c>
      <c r="T208" t="s">
        <v>327</v>
      </c>
      <c r="V208">
        <v>0</v>
      </c>
      <c r="Y208">
        <v>0</v>
      </c>
      <c r="Z208">
        <v>0</v>
      </c>
      <c r="AA208">
        <v>0</v>
      </c>
      <c r="AB208">
        <v>1391541.57</v>
      </c>
      <c r="AC208">
        <v>0</v>
      </c>
      <c r="AD208">
        <v>0</v>
      </c>
      <c r="AE208">
        <v>0</v>
      </c>
      <c r="AQ208">
        <v>182376</v>
      </c>
      <c r="AR208" t="b">
        <v>1</v>
      </c>
      <c r="AS208" t="b">
        <v>1</v>
      </c>
      <c r="AT208" t="b">
        <v>1</v>
      </c>
      <c r="AU208" t="b">
        <v>1</v>
      </c>
      <c r="AV208" t="b">
        <v>1</v>
      </c>
      <c r="AW208" t="b">
        <v>1</v>
      </c>
      <c r="AX208" t="b">
        <v>1</v>
      </c>
      <c r="BA208" t="s">
        <v>437</v>
      </c>
    </row>
    <row r="209" spans="1:53" x14ac:dyDescent="0.25">
      <c r="A209" t="s">
        <v>386</v>
      </c>
      <c r="B209">
        <v>3</v>
      </c>
      <c r="C209">
        <v>2</v>
      </c>
      <c r="D209">
        <v>1</v>
      </c>
      <c r="E209">
        <v>52081900</v>
      </c>
      <c r="F209">
        <v>275340</v>
      </c>
      <c r="G209" t="s">
        <v>312</v>
      </c>
      <c r="H209" t="s">
        <v>60</v>
      </c>
      <c r="I209" t="s">
        <v>60</v>
      </c>
      <c r="J209" t="s">
        <v>60</v>
      </c>
      <c r="K209" t="s">
        <v>60</v>
      </c>
      <c r="L209" t="s">
        <v>27</v>
      </c>
      <c r="M209">
        <v>5.8</v>
      </c>
      <c r="P209">
        <v>40</v>
      </c>
      <c r="Q209" t="s">
        <v>80</v>
      </c>
      <c r="R209" t="s">
        <v>410</v>
      </c>
      <c r="S209" t="s">
        <v>359</v>
      </c>
      <c r="T209" t="s">
        <v>328</v>
      </c>
      <c r="V209">
        <v>0</v>
      </c>
      <c r="Y209">
        <v>0</v>
      </c>
      <c r="Z209">
        <v>0</v>
      </c>
      <c r="AA209">
        <v>0</v>
      </c>
      <c r="AB209">
        <v>1391541.57</v>
      </c>
      <c r="AC209">
        <v>0</v>
      </c>
      <c r="AD209">
        <v>0</v>
      </c>
      <c r="AE209">
        <v>0</v>
      </c>
      <c r="AQ209">
        <v>182376</v>
      </c>
      <c r="AR209" t="b">
        <v>1</v>
      </c>
      <c r="AS209" t="b">
        <v>1</v>
      </c>
      <c r="AT209" t="b">
        <v>1</v>
      </c>
      <c r="AU209" t="b">
        <v>1</v>
      </c>
      <c r="AV209" t="b">
        <v>1</v>
      </c>
      <c r="AW209" t="b">
        <v>1</v>
      </c>
      <c r="AX209" t="b">
        <v>1</v>
      </c>
      <c r="BA209" t="s">
        <v>437</v>
      </c>
    </row>
    <row r="210" spans="1:53" x14ac:dyDescent="0.25">
      <c r="A210" t="s">
        <v>386</v>
      </c>
      <c r="B210">
        <v>3</v>
      </c>
      <c r="C210">
        <v>3</v>
      </c>
      <c r="D210">
        <v>1</v>
      </c>
      <c r="E210">
        <v>58062090</v>
      </c>
      <c r="F210">
        <v>262938</v>
      </c>
      <c r="G210" t="s">
        <v>320</v>
      </c>
      <c r="H210" t="s">
        <v>60</v>
      </c>
      <c r="I210" t="s">
        <v>60</v>
      </c>
      <c r="J210" t="s">
        <v>60</v>
      </c>
      <c r="K210" t="s">
        <v>60</v>
      </c>
      <c r="L210" t="s">
        <v>59</v>
      </c>
      <c r="M210">
        <v>0.39500000000000002</v>
      </c>
      <c r="P210">
        <v>40</v>
      </c>
      <c r="Q210" t="s">
        <v>80</v>
      </c>
      <c r="R210" t="s">
        <v>416</v>
      </c>
      <c r="S210" t="s">
        <v>360</v>
      </c>
      <c r="T210" t="s">
        <v>334</v>
      </c>
      <c r="V210">
        <v>0</v>
      </c>
      <c r="Y210">
        <v>0</v>
      </c>
      <c r="Z210">
        <v>0</v>
      </c>
      <c r="AA210">
        <v>0</v>
      </c>
      <c r="AB210">
        <v>32390</v>
      </c>
      <c r="AC210">
        <v>0</v>
      </c>
      <c r="AD210">
        <v>0</v>
      </c>
      <c r="AE210">
        <v>0</v>
      </c>
      <c r="AQ210">
        <v>182376</v>
      </c>
      <c r="AR210" t="b">
        <v>1</v>
      </c>
      <c r="AS210" t="b">
        <v>1</v>
      </c>
      <c r="AT210" t="b">
        <v>1</v>
      </c>
      <c r="AU210" t="b">
        <v>1</v>
      </c>
      <c r="AV210" t="b">
        <v>1</v>
      </c>
      <c r="AW210" t="b">
        <v>1</v>
      </c>
      <c r="AX210" t="b">
        <v>1</v>
      </c>
      <c r="BA210" t="s">
        <v>437</v>
      </c>
    </row>
    <row r="211" spans="1:53" x14ac:dyDescent="0.25">
      <c r="A211" t="s">
        <v>386</v>
      </c>
      <c r="B211">
        <v>3</v>
      </c>
      <c r="C211">
        <v>4</v>
      </c>
      <c r="D211">
        <v>1</v>
      </c>
      <c r="E211">
        <v>58061090</v>
      </c>
      <c r="F211">
        <v>262938</v>
      </c>
      <c r="G211" t="s">
        <v>320</v>
      </c>
      <c r="H211" t="s">
        <v>60</v>
      </c>
      <c r="I211" t="s">
        <v>60</v>
      </c>
      <c r="J211" t="s">
        <v>60</v>
      </c>
      <c r="K211" t="s">
        <v>60</v>
      </c>
      <c r="L211" t="s">
        <v>59</v>
      </c>
      <c r="M211">
        <v>0.2</v>
      </c>
      <c r="P211">
        <v>40</v>
      </c>
      <c r="Q211" t="s">
        <v>80</v>
      </c>
      <c r="R211" t="s">
        <v>417</v>
      </c>
      <c r="S211" t="s">
        <v>364</v>
      </c>
      <c r="T211" t="s">
        <v>335</v>
      </c>
      <c r="V211">
        <v>0</v>
      </c>
      <c r="Y211">
        <v>0</v>
      </c>
      <c r="Z211">
        <v>0</v>
      </c>
      <c r="AA211">
        <v>0</v>
      </c>
      <c r="AB211">
        <v>16400</v>
      </c>
      <c r="AC211">
        <v>0</v>
      </c>
      <c r="AD211">
        <v>0</v>
      </c>
      <c r="AE211">
        <v>0</v>
      </c>
      <c r="AQ211">
        <v>182376</v>
      </c>
      <c r="AR211" t="b">
        <v>1</v>
      </c>
      <c r="AS211" t="b">
        <v>1</v>
      </c>
      <c r="AT211" t="b">
        <v>1</v>
      </c>
      <c r="AU211" t="b">
        <v>1</v>
      </c>
      <c r="AV211" t="b">
        <v>1</v>
      </c>
      <c r="AW211" t="b">
        <v>1</v>
      </c>
      <c r="AX211" t="b">
        <v>1</v>
      </c>
      <c r="BA211" t="s">
        <v>437</v>
      </c>
    </row>
    <row r="212" spans="1:53" x14ac:dyDescent="0.25">
      <c r="A212" t="s">
        <v>386</v>
      </c>
      <c r="B212">
        <v>3</v>
      </c>
      <c r="C212">
        <v>5</v>
      </c>
      <c r="D212">
        <v>1</v>
      </c>
      <c r="E212">
        <v>58062090</v>
      </c>
      <c r="F212">
        <v>262938</v>
      </c>
      <c r="G212" t="s">
        <v>321</v>
      </c>
      <c r="H212" t="s">
        <v>60</v>
      </c>
      <c r="I212" t="s">
        <v>60</v>
      </c>
      <c r="J212" t="s">
        <v>60</v>
      </c>
      <c r="K212" t="s">
        <v>60</v>
      </c>
      <c r="L212" t="s">
        <v>59</v>
      </c>
      <c r="M212">
        <v>0.39</v>
      </c>
      <c r="P212">
        <v>40</v>
      </c>
      <c r="Q212" t="s">
        <v>80</v>
      </c>
      <c r="R212" t="s">
        <v>418</v>
      </c>
      <c r="S212" t="s">
        <v>365</v>
      </c>
      <c r="T212" t="s">
        <v>336</v>
      </c>
      <c r="V212">
        <v>0</v>
      </c>
      <c r="Y212">
        <v>0</v>
      </c>
      <c r="Z212">
        <v>0</v>
      </c>
      <c r="AA212">
        <v>0</v>
      </c>
      <c r="AB212">
        <v>31980</v>
      </c>
      <c r="AC212">
        <v>0</v>
      </c>
      <c r="AD212">
        <v>0</v>
      </c>
      <c r="AE212">
        <v>0</v>
      </c>
      <c r="AQ212">
        <v>182376</v>
      </c>
      <c r="AR212" t="b">
        <v>1</v>
      </c>
      <c r="AS212" t="b">
        <v>1</v>
      </c>
      <c r="AT212" t="b">
        <v>1</v>
      </c>
      <c r="AU212" t="b">
        <v>1</v>
      </c>
      <c r="AV212" t="b">
        <v>1</v>
      </c>
      <c r="AW212" t="b">
        <v>1</v>
      </c>
      <c r="AX212" t="b">
        <v>1</v>
      </c>
      <c r="BA212" t="s">
        <v>437</v>
      </c>
    </row>
    <row r="213" spans="1:53" x14ac:dyDescent="0.25">
      <c r="A213" t="s">
        <v>386</v>
      </c>
      <c r="B213">
        <v>3</v>
      </c>
      <c r="C213">
        <v>6</v>
      </c>
      <c r="D213">
        <v>1</v>
      </c>
      <c r="E213">
        <v>48211090</v>
      </c>
      <c r="F213">
        <v>297274</v>
      </c>
      <c r="G213" t="s">
        <v>315</v>
      </c>
      <c r="H213" t="s">
        <v>60</v>
      </c>
      <c r="I213" t="s">
        <v>60</v>
      </c>
      <c r="J213" t="s">
        <v>60</v>
      </c>
      <c r="K213" t="s">
        <v>60</v>
      </c>
      <c r="L213" t="s">
        <v>12</v>
      </c>
      <c r="M213">
        <v>100</v>
      </c>
      <c r="P213">
        <v>40</v>
      </c>
      <c r="Q213" t="s">
        <v>80</v>
      </c>
      <c r="R213" t="s">
        <v>415</v>
      </c>
      <c r="S213" t="s">
        <v>363</v>
      </c>
      <c r="T213" t="s">
        <v>333</v>
      </c>
      <c r="V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Q213">
        <v>182376</v>
      </c>
      <c r="AR213" t="b">
        <v>1</v>
      </c>
      <c r="AS213" t="b">
        <v>1</v>
      </c>
      <c r="AT213" t="b">
        <v>1</v>
      </c>
      <c r="AU213" t="b">
        <v>1</v>
      </c>
      <c r="AV213" t="b">
        <v>1</v>
      </c>
      <c r="AW213" t="b">
        <v>1</v>
      </c>
      <c r="AX213" t="b">
        <v>1</v>
      </c>
      <c r="BA213" t="s">
        <v>437</v>
      </c>
    </row>
    <row r="214" spans="1:53" x14ac:dyDescent="0.25">
      <c r="A214" t="s">
        <v>386</v>
      </c>
      <c r="B214">
        <v>3</v>
      </c>
      <c r="C214">
        <v>7</v>
      </c>
      <c r="D214">
        <v>1</v>
      </c>
      <c r="E214">
        <v>48211090</v>
      </c>
      <c r="F214">
        <v>297275</v>
      </c>
      <c r="G214" t="s">
        <v>316</v>
      </c>
      <c r="H214" t="s">
        <v>60</v>
      </c>
      <c r="I214" t="s">
        <v>60</v>
      </c>
      <c r="J214" t="s">
        <v>60</v>
      </c>
      <c r="K214" t="s">
        <v>60</v>
      </c>
      <c r="L214" t="s">
        <v>12</v>
      </c>
      <c r="M214">
        <v>15</v>
      </c>
      <c r="P214">
        <v>40</v>
      </c>
      <c r="Q214" t="s">
        <v>80</v>
      </c>
      <c r="R214" t="s">
        <v>415</v>
      </c>
      <c r="S214" t="s">
        <v>363</v>
      </c>
      <c r="T214" t="s">
        <v>333</v>
      </c>
      <c r="V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Q214">
        <v>182376</v>
      </c>
      <c r="AR214" t="b">
        <v>1</v>
      </c>
      <c r="AS214" t="b">
        <v>1</v>
      </c>
      <c r="AT214" t="b">
        <v>1</v>
      </c>
      <c r="AU214" t="b">
        <v>1</v>
      </c>
      <c r="AV214" t="b">
        <v>1</v>
      </c>
      <c r="AW214" t="b">
        <v>1</v>
      </c>
      <c r="AX214" t="b">
        <v>1</v>
      </c>
      <c r="BA214" t="s">
        <v>437</v>
      </c>
    </row>
    <row r="215" spans="1:53" x14ac:dyDescent="0.25">
      <c r="A215" t="s">
        <v>386</v>
      </c>
      <c r="B215">
        <v>3</v>
      </c>
      <c r="C215">
        <v>8</v>
      </c>
      <c r="D215">
        <v>1</v>
      </c>
      <c r="E215">
        <v>48211090</v>
      </c>
      <c r="F215">
        <v>297276</v>
      </c>
      <c r="G215" t="s">
        <v>317</v>
      </c>
      <c r="H215" t="s">
        <v>60</v>
      </c>
      <c r="I215" t="s">
        <v>60</v>
      </c>
      <c r="J215" t="s">
        <v>60</v>
      </c>
      <c r="K215" t="s">
        <v>60</v>
      </c>
      <c r="L215" t="s">
        <v>12</v>
      </c>
      <c r="M215">
        <v>35</v>
      </c>
      <c r="P215">
        <v>40</v>
      </c>
      <c r="Q215" t="s">
        <v>80</v>
      </c>
      <c r="R215" t="s">
        <v>415</v>
      </c>
      <c r="S215" t="s">
        <v>363</v>
      </c>
      <c r="T215" t="s">
        <v>333</v>
      </c>
      <c r="V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Q215">
        <v>182376</v>
      </c>
      <c r="AR215" t="b">
        <v>1</v>
      </c>
      <c r="AS215" t="b">
        <v>1</v>
      </c>
      <c r="AT215" t="b">
        <v>1</v>
      </c>
      <c r="AU215" t="b">
        <v>1</v>
      </c>
      <c r="AV215" t="b">
        <v>1</v>
      </c>
      <c r="AW215" t="b">
        <v>1</v>
      </c>
      <c r="AX215" t="b">
        <v>1</v>
      </c>
      <c r="BA215" t="s">
        <v>437</v>
      </c>
    </row>
    <row r="216" spans="1:53" x14ac:dyDescent="0.25">
      <c r="A216" t="s">
        <v>386</v>
      </c>
      <c r="B216">
        <v>3</v>
      </c>
      <c r="C216">
        <v>9</v>
      </c>
      <c r="D216">
        <v>1</v>
      </c>
      <c r="E216">
        <v>48211090</v>
      </c>
      <c r="F216">
        <v>297277</v>
      </c>
      <c r="G216" t="s">
        <v>318</v>
      </c>
      <c r="H216" t="s">
        <v>60</v>
      </c>
      <c r="I216" t="s">
        <v>60</v>
      </c>
      <c r="J216" t="s">
        <v>60</v>
      </c>
      <c r="K216" t="s">
        <v>60</v>
      </c>
      <c r="L216" t="s">
        <v>12</v>
      </c>
      <c r="M216">
        <v>25</v>
      </c>
      <c r="P216">
        <v>40</v>
      </c>
      <c r="Q216" t="s">
        <v>80</v>
      </c>
      <c r="R216" t="s">
        <v>415</v>
      </c>
      <c r="S216" t="s">
        <v>363</v>
      </c>
      <c r="T216" t="s">
        <v>333</v>
      </c>
      <c r="V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Q216">
        <v>182376</v>
      </c>
      <c r="AR216" t="b">
        <v>1</v>
      </c>
      <c r="AS216" t="b">
        <v>1</v>
      </c>
      <c r="AT216" t="b">
        <v>1</v>
      </c>
      <c r="AU216" t="b">
        <v>1</v>
      </c>
      <c r="AV216" t="b">
        <v>1</v>
      </c>
      <c r="AW216" t="b">
        <v>1</v>
      </c>
      <c r="AX216" t="b">
        <v>1</v>
      </c>
      <c r="BA216" t="s">
        <v>437</v>
      </c>
    </row>
    <row r="217" spans="1:53" x14ac:dyDescent="0.25">
      <c r="A217" t="s">
        <v>386</v>
      </c>
      <c r="B217">
        <v>3</v>
      </c>
      <c r="C217">
        <v>10</v>
      </c>
      <c r="D217">
        <v>1</v>
      </c>
      <c r="E217">
        <v>48211090</v>
      </c>
      <c r="F217">
        <v>297278</v>
      </c>
      <c r="G217" t="s">
        <v>319</v>
      </c>
      <c r="H217" t="s">
        <v>60</v>
      </c>
      <c r="I217" t="s">
        <v>60</v>
      </c>
      <c r="J217" t="s">
        <v>60</v>
      </c>
      <c r="K217" t="s">
        <v>60</v>
      </c>
      <c r="L217" t="s">
        <v>12</v>
      </c>
      <c r="M217">
        <v>25</v>
      </c>
      <c r="P217">
        <v>40</v>
      </c>
      <c r="Q217" t="s">
        <v>80</v>
      </c>
      <c r="R217" t="s">
        <v>415</v>
      </c>
      <c r="S217" t="s">
        <v>363</v>
      </c>
      <c r="T217" t="s">
        <v>333</v>
      </c>
      <c r="V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Q217">
        <v>182376</v>
      </c>
      <c r="AR217" t="b">
        <v>1</v>
      </c>
      <c r="AS217" t="b">
        <v>1</v>
      </c>
      <c r="AT217" t="b">
        <v>1</v>
      </c>
      <c r="AU217" t="b">
        <v>1</v>
      </c>
      <c r="AV217" t="b">
        <v>1</v>
      </c>
      <c r="AW217" t="b">
        <v>1</v>
      </c>
      <c r="AX217" t="b">
        <v>1</v>
      </c>
      <c r="BA217" t="s">
        <v>437</v>
      </c>
    </row>
    <row r="218" spans="1:53" x14ac:dyDescent="0.25">
      <c r="A218" t="s">
        <v>386</v>
      </c>
      <c r="B218">
        <v>3</v>
      </c>
      <c r="C218">
        <v>11</v>
      </c>
      <c r="D218">
        <v>1</v>
      </c>
      <c r="E218">
        <v>52081900</v>
      </c>
      <c r="F218">
        <v>274799</v>
      </c>
      <c r="G218" t="s">
        <v>311</v>
      </c>
      <c r="H218" t="s">
        <v>60</v>
      </c>
      <c r="I218" t="s">
        <v>60</v>
      </c>
      <c r="J218" t="s">
        <v>60</v>
      </c>
      <c r="K218" t="s">
        <v>60</v>
      </c>
      <c r="L218" t="s">
        <v>27</v>
      </c>
      <c r="M218">
        <v>2.9</v>
      </c>
      <c r="P218">
        <v>40</v>
      </c>
      <c r="Q218" t="s">
        <v>80</v>
      </c>
      <c r="R218" t="s">
        <v>409</v>
      </c>
      <c r="S218" t="s">
        <v>358</v>
      </c>
      <c r="T218" t="s">
        <v>327</v>
      </c>
      <c r="V218">
        <v>0</v>
      </c>
      <c r="Y218">
        <v>0</v>
      </c>
      <c r="Z218">
        <v>0</v>
      </c>
      <c r="AA218">
        <v>0</v>
      </c>
      <c r="AB218">
        <v>1391541.57</v>
      </c>
      <c r="AC218">
        <v>0</v>
      </c>
      <c r="AD218">
        <v>0</v>
      </c>
      <c r="AE218">
        <v>0</v>
      </c>
      <c r="AQ218">
        <v>182376</v>
      </c>
      <c r="AR218" t="b">
        <v>1</v>
      </c>
      <c r="AS218" t="b">
        <v>1</v>
      </c>
      <c r="AT218" t="b">
        <v>1</v>
      </c>
      <c r="AU218" t="b">
        <v>1</v>
      </c>
      <c r="AV218" t="b">
        <v>1</v>
      </c>
      <c r="AW218" t="b">
        <v>1</v>
      </c>
      <c r="AX218" t="b">
        <v>1</v>
      </c>
      <c r="BA218" t="s">
        <v>437</v>
      </c>
    </row>
    <row r="219" spans="1:53" x14ac:dyDescent="0.25">
      <c r="A219" t="s">
        <v>386</v>
      </c>
      <c r="B219">
        <v>3</v>
      </c>
      <c r="C219">
        <v>12</v>
      </c>
      <c r="D219">
        <v>1</v>
      </c>
      <c r="E219">
        <v>52081900</v>
      </c>
      <c r="F219">
        <v>275340</v>
      </c>
      <c r="G219" t="s">
        <v>312</v>
      </c>
      <c r="H219" t="s">
        <v>60</v>
      </c>
      <c r="I219" t="s">
        <v>60</v>
      </c>
      <c r="J219" t="s">
        <v>60</v>
      </c>
      <c r="K219" t="s">
        <v>60</v>
      </c>
      <c r="L219" t="s">
        <v>27</v>
      </c>
      <c r="M219">
        <v>2.9</v>
      </c>
      <c r="P219">
        <v>40</v>
      </c>
      <c r="Q219" t="s">
        <v>80</v>
      </c>
      <c r="R219" t="s">
        <v>410</v>
      </c>
      <c r="S219" t="s">
        <v>359</v>
      </c>
      <c r="T219" t="s">
        <v>328</v>
      </c>
      <c r="V219">
        <v>0</v>
      </c>
      <c r="Y219">
        <v>0</v>
      </c>
      <c r="Z219">
        <v>0</v>
      </c>
      <c r="AA219">
        <v>0</v>
      </c>
      <c r="AB219">
        <v>1391541.57</v>
      </c>
      <c r="AC219">
        <v>0</v>
      </c>
      <c r="AD219">
        <v>0</v>
      </c>
      <c r="AE219">
        <v>0</v>
      </c>
      <c r="AQ219">
        <v>182376</v>
      </c>
      <c r="AR219" t="b">
        <v>1</v>
      </c>
      <c r="AS219" t="b">
        <v>1</v>
      </c>
      <c r="AT219" t="b">
        <v>1</v>
      </c>
      <c r="AU219" t="b">
        <v>1</v>
      </c>
      <c r="AV219" t="b">
        <v>1</v>
      </c>
      <c r="AW219" t="b">
        <v>1</v>
      </c>
      <c r="AX219" t="b">
        <v>1</v>
      </c>
      <c r="BA219" t="s">
        <v>437</v>
      </c>
    </row>
    <row r="220" spans="1:53" x14ac:dyDescent="0.25">
      <c r="A220" t="s">
        <v>386</v>
      </c>
      <c r="B220">
        <v>3</v>
      </c>
      <c r="C220">
        <v>13</v>
      </c>
      <c r="D220">
        <v>1</v>
      </c>
      <c r="E220">
        <v>58062090</v>
      </c>
      <c r="F220">
        <v>262938</v>
      </c>
      <c r="G220" t="s">
        <v>320</v>
      </c>
      <c r="H220" t="s">
        <v>60</v>
      </c>
      <c r="I220" t="s">
        <v>60</v>
      </c>
      <c r="J220" t="s">
        <v>60</v>
      </c>
      <c r="K220" t="s">
        <v>60</v>
      </c>
      <c r="L220" t="s">
        <v>59</v>
      </c>
      <c r="M220">
        <v>0.19750000000000001</v>
      </c>
      <c r="P220">
        <v>40</v>
      </c>
      <c r="Q220" t="s">
        <v>80</v>
      </c>
      <c r="R220" t="s">
        <v>416</v>
      </c>
      <c r="S220" t="s">
        <v>360</v>
      </c>
      <c r="T220" t="s">
        <v>334</v>
      </c>
      <c r="V220">
        <v>0</v>
      </c>
      <c r="Y220">
        <v>0</v>
      </c>
      <c r="Z220">
        <v>0</v>
      </c>
      <c r="AA220">
        <v>0</v>
      </c>
      <c r="AB220">
        <v>32390</v>
      </c>
      <c r="AC220">
        <v>0</v>
      </c>
      <c r="AD220">
        <v>0</v>
      </c>
      <c r="AE220">
        <v>0</v>
      </c>
      <c r="AQ220">
        <v>182376</v>
      </c>
      <c r="AR220" t="b">
        <v>1</v>
      </c>
      <c r="AS220" t="b">
        <v>1</v>
      </c>
      <c r="AT220" t="b">
        <v>1</v>
      </c>
      <c r="AU220" t="b">
        <v>1</v>
      </c>
      <c r="AV220" t="b">
        <v>1</v>
      </c>
      <c r="AW220" t="b">
        <v>1</v>
      </c>
      <c r="AX220" t="b">
        <v>1</v>
      </c>
      <c r="BA220" t="s">
        <v>437</v>
      </c>
    </row>
    <row r="221" spans="1:53" x14ac:dyDescent="0.25">
      <c r="A221" t="s">
        <v>386</v>
      </c>
      <c r="B221">
        <v>3</v>
      </c>
      <c r="C221">
        <v>14</v>
      </c>
      <c r="D221">
        <v>1</v>
      </c>
      <c r="E221">
        <v>58061090</v>
      </c>
      <c r="F221">
        <v>262938</v>
      </c>
      <c r="G221" t="s">
        <v>320</v>
      </c>
      <c r="H221" t="s">
        <v>60</v>
      </c>
      <c r="I221" t="s">
        <v>60</v>
      </c>
      <c r="J221" t="s">
        <v>60</v>
      </c>
      <c r="K221" t="s">
        <v>60</v>
      </c>
      <c r="L221" t="s">
        <v>59</v>
      </c>
      <c r="M221">
        <v>0.1</v>
      </c>
      <c r="P221">
        <v>40</v>
      </c>
      <c r="Q221" t="s">
        <v>80</v>
      </c>
      <c r="R221" t="s">
        <v>417</v>
      </c>
      <c r="S221" t="s">
        <v>364</v>
      </c>
      <c r="T221" t="s">
        <v>335</v>
      </c>
      <c r="V221">
        <v>0</v>
      </c>
      <c r="Y221">
        <v>0</v>
      </c>
      <c r="Z221">
        <v>0</v>
      </c>
      <c r="AA221">
        <v>0</v>
      </c>
      <c r="AB221">
        <v>16400</v>
      </c>
      <c r="AC221">
        <v>0</v>
      </c>
      <c r="AD221">
        <v>0</v>
      </c>
      <c r="AE221">
        <v>0</v>
      </c>
      <c r="AQ221">
        <v>182376</v>
      </c>
      <c r="AR221" t="b">
        <v>1</v>
      </c>
      <c r="AS221" t="b">
        <v>1</v>
      </c>
      <c r="AT221" t="b">
        <v>1</v>
      </c>
      <c r="AU221" t="b">
        <v>1</v>
      </c>
      <c r="AV221" t="b">
        <v>1</v>
      </c>
      <c r="AW221" t="b">
        <v>1</v>
      </c>
      <c r="AX221" t="b">
        <v>1</v>
      </c>
      <c r="BA221" t="s">
        <v>437</v>
      </c>
    </row>
    <row r="222" spans="1:53" x14ac:dyDescent="0.25">
      <c r="A222" t="s">
        <v>386</v>
      </c>
      <c r="B222">
        <v>3</v>
      </c>
      <c r="C222">
        <v>15</v>
      </c>
      <c r="D222">
        <v>1</v>
      </c>
      <c r="E222">
        <v>58062090</v>
      </c>
      <c r="F222">
        <v>262938</v>
      </c>
      <c r="G222" t="s">
        <v>321</v>
      </c>
      <c r="H222" t="s">
        <v>60</v>
      </c>
      <c r="I222" t="s">
        <v>60</v>
      </c>
      <c r="J222" t="s">
        <v>60</v>
      </c>
      <c r="K222" t="s">
        <v>60</v>
      </c>
      <c r="L222" t="s">
        <v>59</v>
      </c>
      <c r="M222">
        <v>0.19500000000000001</v>
      </c>
      <c r="P222">
        <v>40</v>
      </c>
      <c r="Q222" t="s">
        <v>80</v>
      </c>
      <c r="R222" t="s">
        <v>418</v>
      </c>
      <c r="S222" t="s">
        <v>365</v>
      </c>
      <c r="T222" t="s">
        <v>336</v>
      </c>
      <c r="V222">
        <v>0</v>
      </c>
      <c r="Y222">
        <v>0</v>
      </c>
      <c r="Z222">
        <v>0</v>
      </c>
      <c r="AA222">
        <v>0</v>
      </c>
      <c r="AB222">
        <v>31980</v>
      </c>
      <c r="AC222">
        <v>0</v>
      </c>
      <c r="AD222">
        <v>0</v>
      </c>
      <c r="AE222">
        <v>0</v>
      </c>
      <c r="AQ222">
        <v>182376</v>
      </c>
      <c r="AR222" t="b">
        <v>1</v>
      </c>
      <c r="AS222" t="b">
        <v>1</v>
      </c>
      <c r="AT222" t="b">
        <v>1</v>
      </c>
      <c r="AU222" t="b">
        <v>1</v>
      </c>
      <c r="AV222" t="b">
        <v>1</v>
      </c>
      <c r="AW222" t="b">
        <v>1</v>
      </c>
      <c r="AX222" t="b">
        <v>1</v>
      </c>
      <c r="BA222" t="s">
        <v>437</v>
      </c>
    </row>
    <row r="223" spans="1:53" x14ac:dyDescent="0.25">
      <c r="A223" t="s">
        <v>386</v>
      </c>
      <c r="B223">
        <v>3</v>
      </c>
      <c r="C223">
        <v>16</v>
      </c>
      <c r="D223">
        <v>1</v>
      </c>
      <c r="E223">
        <v>48211090</v>
      </c>
      <c r="F223">
        <v>297274</v>
      </c>
      <c r="G223" t="s">
        <v>315</v>
      </c>
      <c r="H223" t="s">
        <v>60</v>
      </c>
      <c r="I223" t="s">
        <v>60</v>
      </c>
      <c r="J223" t="s">
        <v>60</v>
      </c>
      <c r="K223" t="s">
        <v>60</v>
      </c>
      <c r="L223" t="s">
        <v>12</v>
      </c>
      <c r="M223">
        <v>50</v>
      </c>
      <c r="P223">
        <v>40</v>
      </c>
      <c r="Q223" t="s">
        <v>80</v>
      </c>
      <c r="R223" t="s">
        <v>415</v>
      </c>
      <c r="S223" t="s">
        <v>363</v>
      </c>
      <c r="T223" t="s">
        <v>333</v>
      </c>
      <c r="V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Q223">
        <v>182376</v>
      </c>
      <c r="AR223" t="b">
        <v>1</v>
      </c>
      <c r="AS223" t="b">
        <v>1</v>
      </c>
      <c r="AT223" t="b">
        <v>1</v>
      </c>
      <c r="AU223" t="b">
        <v>1</v>
      </c>
      <c r="AV223" t="b">
        <v>1</v>
      </c>
      <c r="AW223" t="b">
        <v>1</v>
      </c>
      <c r="AX223" t="b">
        <v>1</v>
      </c>
      <c r="BA223" t="s">
        <v>437</v>
      </c>
    </row>
    <row r="224" spans="1:53" x14ac:dyDescent="0.25">
      <c r="A224" t="s">
        <v>386</v>
      </c>
      <c r="B224">
        <v>3</v>
      </c>
      <c r="C224">
        <v>17</v>
      </c>
      <c r="D224">
        <v>1</v>
      </c>
      <c r="E224">
        <v>48211090</v>
      </c>
      <c r="F224">
        <v>297275</v>
      </c>
      <c r="G224" t="s">
        <v>316</v>
      </c>
      <c r="H224" t="s">
        <v>60</v>
      </c>
      <c r="I224" t="s">
        <v>60</v>
      </c>
      <c r="J224" t="s">
        <v>60</v>
      </c>
      <c r="K224" t="s">
        <v>60</v>
      </c>
      <c r="L224" t="s">
        <v>12</v>
      </c>
      <c r="M224">
        <v>7.5</v>
      </c>
      <c r="P224">
        <v>40</v>
      </c>
      <c r="Q224" t="s">
        <v>80</v>
      </c>
      <c r="R224" t="s">
        <v>415</v>
      </c>
      <c r="S224" t="s">
        <v>363</v>
      </c>
      <c r="T224" t="s">
        <v>333</v>
      </c>
      <c r="V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Q224">
        <v>182376</v>
      </c>
      <c r="AR224" t="b">
        <v>1</v>
      </c>
      <c r="AS224" t="b">
        <v>1</v>
      </c>
      <c r="AT224" t="b">
        <v>1</v>
      </c>
      <c r="AU224" t="b">
        <v>1</v>
      </c>
      <c r="AV224" t="b">
        <v>1</v>
      </c>
      <c r="AW224" t="b">
        <v>1</v>
      </c>
      <c r="AX224" t="b">
        <v>1</v>
      </c>
      <c r="BA224" t="s">
        <v>437</v>
      </c>
    </row>
    <row r="225" spans="1:53" x14ac:dyDescent="0.25">
      <c r="A225" t="s">
        <v>386</v>
      </c>
      <c r="B225">
        <v>3</v>
      </c>
      <c r="C225">
        <v>18</v>
      </c>
      <c r="D225">
        <v>1</v>
      </c>
      <c r="E225">
        <v>48211090</v>
      </c>
      <c r="F225">
        <v>297276</v>
      </c>
      <c r="G225" t="s">
        <v>317</v>
      </c>
      <c r="H225" t="s">
        <v>60</v>
      </c>
      <c r="I225" t="s">
        <v>60</v>
      </c>
      <c r="J225" t="s">
        <v>60</v>
      </c>
      <c r="K225" t="s">
        <v>60</v>
      </c>
      <c r="L225" t="s">
        <v>12</v>
      </c>
      <c r="M225">
        <v>17.5</v>
      </c>
      <c r="P225">
        <v>40</v>
      </c>
      <c r="Q225" t="s">
        <v>80</v>
      </c>
      <c r="R225" t="s">
        <v>415</v>
      </c>
      <c r="S225" t="s">
        <v>363</v>
      </c>
      <c r="T225" t="s">
        <v>333</v>
      </c>
      <c r="V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Q225">
        <v>182376</v>
      </c>
      <c r="AR225" t="b">
        <v>1</v>
      </c>
      <c r="AS225" t="b">
        <v>1</v>
      </c>
      <c r="AT225" t="b">
        <v>1</v>
      </c>
      <c r="AU225" t="b">
        <v>1</v>
      </c>
      <c r="AV225" t="b">
        <v>1</v>
      </c>
      <c r="AW225" t="b">
        <v>1</v>
      </c>
      <c r="AX225" t="b">
        <v>1</v>
      </c>
      <c r="BA225" t="s">
        <v>437</v>
      </c>
    </row>
    <row r="226" spans="1:53" x14ac:dyDescent="0.25">
      <c r="A226" t="s">
        <v>386</v>
      </c>
      <c r="B226">
        <v>3</v>
      </c>
      <c r="C226">
        <v>19</v>
      </c>
      <c r="D226">
        <v>1</v>
      </c>
      <c r="E226">
        <v>48211090</v>
      </c>
      <c r="F226">
        <v>297277</v>
      </c>
      <c r="G226" t="s">
        <v>318</v>
      </c>
      <c r="H226" t="s">
        <v>60</v>
      </c>
      <c r="I226" t="s">
        <v>60</v>
      </c>
      <c r="J226" t="s">
        <v>60</v>
      </c>
      <c r="K226" t="s">
        <v>60</v>
      </c>
      <c r="L226" t="s">
        <v>12</v>
      </c>
      <c r="M226">
        <v>12.5</v>
      </c>
      <c r="P226">
        <v>40</v>
      </c>
      <c r="Q226" t="s">
        <v>80</v>
      </c>
      <c r="R226" t="s">
        <v>415</v>
      </c>
      <c r="S226" t="s">
        <v>363</v>
      </c>
      <c r="T226" t="s">
        <v>333</v>
      </c>
      <c r="V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Q226">
        <v>182376</v>
      </c>
      <c r="AR226" t="b">
        <v>1</v>
      </c>
      <c r="AS226" t="b">
        <v>1</v>
      </c>
      <c r="AT226" t="b">
        <v>1</v>
      </c>
      <c r="AU226" t="b">
        <v>1</v>
      </c>
      <c r="AV226" t="b">
        <v>1</v>
      </c>
      <c r="AW226" t="b">
        <v>1</v>
      </c>
      <c r="AX226" t="b">
        <v>1</v>
      </c>
      <c r="BA226" t="s">
        <v>437</v>
      </c>
    </row>
    <row r="227" spans="1:53" x14ac:dyDescent="0.25">
      <c r="A227" t="s">
        <v>386</v>
      </c>
      <c r="B227">
        <v>3</v>
      </c>
      <c r="C227">
        <v>20</v>
      </c>
      <c r="D227">
        <v>1</v>
      </c>
      <c r="E227">
        <v>48211090</v>
      </c>
      <c r="F227">
        <v>297278</v>
      </c>
      <c r="G227" t="s">
        <v>319</v>
      </c>
      <c r="H227" t="s">
        <v>60</v>
      </c>
      <c r="I227" t="s">
        <v>60</v>
      </c>
      <c r="J227" t="s">
        <v>60</v>
      </c>
      <c r="K227" t="s">
        <v>60</v>
      </c>
      <c r="L227" t="s">
        <v>12</v>
      </c>
      <c r="M227">
        <v>12.5</v>
      </c>
      <c r="P227">
        <v>40</v>
      </c>
      <c r="Q227" t="s">
        <v>80</v>
      </c>
      <c r="R227" t="s">
        <v>415</v>
      </c>
      <c r="S227" t="s">
        <v>363</v>
      </c>
      <c r="T227" t="s">
        <v>333</v>
      </c>
      <c r="V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Q227">
        <v>182376</v>
      </c>
      <c r="AR227" t="b">
        <v>1</v>
      </c>
      <c r="AS227" t="b">
        <v>1</v>
      </c>
      <c r="AT227" t="b">
        <v>1</v>
      </c>
      <c r="AU227" t="b">
        <v>1</v>
      </c>
      <c r="AV227" t="b">
        <v>1</v>
      </c>
      <c r="AW227" t="b">
        <v>1</v>
      </c>
      <c r="AX227" t="b">
        <v>1</v>
      </c>
      <c r="BA227" t="s">
        <v>437</v>
      </c>
    </row>
    <row r="228" spans="1:53" x14ac:dyDescent="0.25">
      <c r="A228" t="s">
        <v>386</v>
      </c>
      <c r="B228">
        <v>5</v>
      </c>
      <c r="C228">
        <v>1</v>
      </c>
      <c r="D228">
        <v>1</v>
      </c>
      <c r="E228">
        <v>52081900</v>
      </c>
      <c r="F228">
        <v>274799</v>
      </c>
      <c r="G228" t="s">
        <v>311</v>
      </c>
      <c r="H228" t="s">
        <v>60</v>
      </c>
      <c r="I228" t="s">
        <v>60</v>
      </c>
      <c r="J228" t="s">
        <v>60</v>
      </c>
      <c r="K228" t="s">
        <v>60</v>
      </c>
      <c r="L228" t="s">
        <v>27</v>
      </c>
      <c r="M228">
        <v>6</v>
      </c>
      <c r="P228">
        <v>40</v>
      </c>
      <c r="Q228" t="s">
        <v>80</v>
      </c>
      <c r="R228" t="s">
        <v>409</v>
      </c>
      <c r="S228" t="s">
        <v>358</v>
      </c>
      <c r="T228" t="s">
        <v>327</v>
      </c>
      <c r="V228">
        <v>0</v>
      </c>
      <c r="Y228">
        <v>0</v>
      </c>
      <c r="Z228">
        <v>0</v>
      </c>
      <c r="AA228">
        <v>0</v>
      </c>
      <c r="AB228">
        <v>1439525.76</v>
      </c>
      <c r="AC228">
        <v>0</v>
      </c>
      <c r="AD228">
        <v>0</v>
      </c>
      <c r="AE228">
        <v>0</v>
      </c>
      <c r="AQ228">
        <v>182377</v>
      </c>
      <c r="AR228" t="b">
        <v>1</v>
      </c>
      <c r="AS228" t="b">
        <v>1</v>
      </c>
      <c r="AT228" t="b">
        <v>1</v>
      </c>
      <c r="AU228" t="b">
        <v>1</v>
      </c>
      <c r="AV228" t="b">
        <v>1</v>
      </c>
      <c r="AW228" t="b">
        <v>1</v>
      </c>
      <c r="AX228" t="b">
        <v>1</v>
      </c>
      <c r="BA228" t="s">
        <v>438</v>
      </c>
    </row>
    <row r="229" spans="1:53" x14ac:dyDescent="0.25">
      <c r="A229" t="s">
        <v>386</v>
      </c>
      <c r="B229">
        <v>5</v>
      </c>
      <c r="C229">
        <v>2</v>
      </c>
      <c r="D229">
        <v>1</v>
      </c>
      <c r="E229">
        <v>52081900</v>
      </c>
      <c r="F229">
        <v>275340</v>
      </c>
      <c r="G229" t="s">
        <v>312</v>
      </c>
      <c r="H229" t="s">
        <v>60</v>
      </c>
      <c r="I229" t="s">
        <v>60</v>
      </c>
      <c r="J229" t="s">
        <v>60</v>
      </c>
      <c r="K229" t="s">
        <v>60</v>
      </c>
      <c r="L229" t="s">
        <v>27</v>
      </c>
      <c r="M229">
        <v>6</v>
      </c>
      <c r="P229">
        <v>40</v>
      </c>
      <c r="Q229" t="s">
        <v>80</v>
      </c>
      <c r="R229" t="s">
        <v>410</v>
      </c>
      <c r="S229" t="s">
        <v>359</v>
      </c>
      <c r="T229" t="s">
        <v>328</v>
      </c>
      <c r="V229">
        <v>0</v>
      </c>
      <c r="Y229">
        <v>0</v>
      </c>
      <c r="Z229">
        <v>0</v>
      </c>
      <c r="AA229">
        <v>0</v>
      </c>
      <c r="AB229">
        <v>1439525.76</v>
      </c>
      <c r="AC229">
        <v>0</v>
      </c>
      <c r="AD229">
        <v>0</v>
      </c>
      <c r="AE229">
        <v>0</v>
      </c>
      <c r="AQ229">
        <v>182377</v>
      </c>
      <c r="AR229" t="b">
        <v>1</v>
      </c>
      <c r="AS229" t="b">
        <v>1</v>
      </c>
      <c r="AT229" t="b">
        <v>1</v>
      </c>
      <c r="AU229" t="b">
        <v>1</v>
      </c>
      <c r="AV229" t="b">
        <v>1</v>
      </c>
      <c r="AW229" t="b">
        <v>1</v>
      </c>
      <c r="AX229" t="b">
        <v>1</v>
      </c>
      <c r="BA229" t="s">
        <v>438</v>
      </c>
    </row>
    <row r="230" spans="1:53" x14ac:dyDescent="0.25">
      <c r="A230" t="s">
        <v>386</v>
      </c>
      <c r="B230">
        <v>5</v>
      </c>
      <c r="C230">
        <v>3</v>
      </c>
      <c r="D230">
        <v>1</v>
      </c>
      <c r="E230">
        <v>58062090</v>
      </c>
      <c r="F230">
        <v>262938</v>
      </c>
      <c r="G230" t="s">
        <v>322</v>
      </c>
      <c r="H230" t="s">
        <v>60</v>
      </c>
      <c r="I230" t="s">
        <v>60</v>
      </c>
      <c r="J230" t="s">
        <v>60</v>
      </c>
      <c r="K230" t="s">
        <v>60</v>
      </c>
      <c r="L230" t="s">
        <v>59</v>
      </c>
      <c r="M230">
        <v>5.0000000000000001E-3</v>
      </c>
      <c r="P230">
        <v>40</v>
      </c>
      <c r="Q230" t="s">
        <v>80</v>
      </c>
      <c r="R230" t="s">
        <v>419</v>
      </c>
      <c r="S230" t="s">
        <v>366</v>
      </c>
      <c r="T230" t="s">
        <v>337</v>
      </c>
      <c r="V230">
        <v>0</v>
      </c>
      <c r="Y230">
        <v>0</v>
      </c>
      <c r="Z230">
        <v>0</v>
      </c>
      <c r="AA230">
        <v>0</v>
      </c>
      <c r="AB230">
        <v>390</v>
      </c>
      <c r="AC230">
        <v>0</v>
      </c>
      <c r="AD230">
        <v>0</v>
      </c>
      <c r="AE230">
        <v>0</v>
      </c>
      <c r="AQ230">
        <v>182377</v>
      </c>
      <c r="AR230" t="b">
        <v>1</v>
      </c>
      <c r="AS230" t="b">
        <v>1</v>
      </c>
      <c r="AT230" t="b">
        <v>1</v>
      </c>
      <c r="AU230" t="b">
        <v>1</v>
      </c>
      <c r="AV230" t="b">
        <v>1</v>
      </c>
      <c r="AW230" t="b">
        <v>1</v>
      </c>
      <c r="AX230" t="b">
        <v>1</v>
      </c>
      <c r="BA230" t="s">
        <v>438</v>
      </c>
    </row>
    <row r="231" spans="1:53" x14ac:dyDescent="0.25">
      <c r="A231" t="s">
        <v>386</v>
      </c>
      <c r="B231">
        <v>5</v>
      </c>
      <c r="C231">
        <v>4</v>
      </c>
      <c r="D231">
        <v>1</v>
      </c>
      <c r="E231">
        <v>58062090</v>
      </c>
      <c r="F231">
        <v>262938</v>
      </c>
      <c r="G231" t="s">
        <v>320</v>
      </c>
      <c r="H231" t="s">
        <v>60</v>
      </c>
      <c r="I231" t="s">
        <v>60</v>
      </c>
      <c r="J231" t="s">
        <v>60</v>
      </c>
      <c r="K231" t="s">
        <v>60</v>
      </c>
      <c r="L231" t="s">
        <v>59</v>
      </c>
      <c r="M231">
        <v>0.02</v>
      </c>
      <c r="P231">
        <v>40</v>
      </c>
      <c r="Q231" t="s">
        <v>80</v>
      </c>
      <c r="R231" t="s">
        <v>420</v>
      </c>
      <c r="S231" t="s">
        <v>367</v>
      </c>
      <c r="T231" t="s">
        <v>338</v>
      </c>
      <c r="V231">
        <v>0</v>
      </c>
      <c r="Y231">
        <v>0</v>
      </c>
      <c r="Z231">
        <v>0</v>
      </c>
      <c r="AA231">
        <v>0</v>
      </c>
      <c r="AB231">
        <v>1640</v>
      </c>
      <c r="AC231">
        <v>0</v>
      </c>
      <c r="AD231">
        <v>0</v>
      </c>
      <c r="AE231">
        <v>0</v>
      </c>
      <c r="AQ231">
        <v>182377</v>
      </c>
      <c r="AR231" t="b">
        <v>1</v>
      </c>
      <c r="AS231" t="b">
        <v>1</v>
      </c>
      <c r="AT231" t="b">
        <v>1</v>
      </c>
      <c r="AU231" t="b">
        <v>1</v>
      </c>
      <c r="AV231" t="b">
        <v>1</v>
      </c>
      <c r="AW231" t="b">
        <v>1</v>
      </c>
      <c r="AX231" t="b">
        <v>1</v>
      </c>
      <c r="BA231" t="s">
        <v>438</v>
      </c>
    </row>
    <row r="232" spans="1:53" x14ac:dyDescent="0.25">
      <c r="A232" t="s">
        <v>386</v>
      </c>
      <c r="B232">
        <v>5</v>
      </c>
      <c r="C232">
        <v>5</v>
      </c>
      <c r="D232">
        <v>1</v>
      </c>
      <c r="E232">
        <v>58062090</v>
      </c>
      <c r="F232">
        <v>262938</v>
      </c>
      <c r="G232" t="s">
        <v>320</v>
      </c>
      <c r="H232" t="s">
        <v>60</v>
      </c>
      <c r="I232" t="s">
        <v>60</v>
      </c>
      <c r="J232" t="s">
        <v>60</v>
      </c>
      <c r="K232" t="s">
        <v>60</v>
      </c>
      <c r="L232" t="s">
        <v>59</v>
      </c>
      <c r="M232">
        <v>1.4999999999999999E-2</v>
      </c>
      <c r="P232">
        <v>40</v>
      </c>
      <c r="Q232" t="s">
        <v>80</v>
      </c>
      <c r="R232" t="s">
        <v>421</v>
      </c>
      <c r="S232" t="s">
        <v>368</v>
      </c>
      <c r="T232" t="s">
        <v>339</v>
      </c>
      <c r="V232">
        <v>0</v>
      </c>
      <c r="Y232">
        <v>0</v>
      </c>
      <c r="Z232">
        <v>0</v>
      </c>
      <c r="AA232">
        <v>0</v>
      </c>
      <c r="AB232">
        <v>1230</v>
      </c>
      <c r="AC232">
        <v>0</v>
      </c>
      <c r="AD232">
        <v>0</v>
      </c>
      <c r="AE232">
        <v>0</v>
      </c>
      <c r="AQ232">
        <v>182377</v>
      </c>
      <c r="AR232" t="b">
        <v>1</v>
      </c>
      <c r="AS232" t="b">
        <v>1</v>
      </c>
      <c r="AT232" t="b">
        <v>1</v>
      </c>
      <c r="AU232" t="b">
        <v>1</v>
      </c>
      <c r="AV232" t="b">
        <v>1</v>
      </c>
      <c r="AW232" t="b">
        <v>1</v>
      </c>
      <c r="AX232" t="b">
        <v>1</v>
      </c>
      <c r="BA232" t="s">
        <v>438</v>
      </c>
    </row>
    <row r="233" spans="1:53" x14ac:dyDescent="0.25">
      <c r="A233" t="s">
        <v>386</v>
      </c>
      <c r="B233">
        <v>5</v>
      </c>
      <c r="C233">
        <v>6</v>
      </c>
      <c r="D233">
        <v>1</v>
      </c>
      <c r="E233">
        <v>58062090</v>
      </c>
      <c r="F233">
        <v>262938</v>
      </c>
      <c r="G233" t="s">
        <v>320</v>
      </c>
      <c r="H233" t="s">
        <v>60</v>
      </c>
      <c r="I233" t="s">
        <v>60</v>
      </c>
      <c r="J233" t="s">
        <v>60</v>
      </c>
      <c r="K233" t="s">
        <v>60</v>
      </c>
      <c r="L233" t="s">
        <v>59</v>
      </c>
      <c r="M233">
        <v>0.01</v>
      </c>
      <c r="P233">
        <v>40</v>
      </c>
      <c r="Q233" t="s">
        <v>80</v>
      </c>
      <c r="R233" t="s">
        <v>416</v>
      </c>
      <c r="S233" t="s">
        <v>360</v>
      </c>
      <c r="T233" t="s">
        <v>334</v>
      </c>
      <c r="V233">
        <v>0</v>
      </c>
      <c r="Y233">
        <v>0</v>
      </c>
      <c r="Z233">
        <v>0</v>
      </c>
      <c r="AA233">
        <v>0</v>
      </c>
      <c r="AB233">
        <v>820</v>
      </c>
      <c r="AC233">
        <v>0</v>
      </c>
      <c r="AD233">
        <v>0</v>
      </c>
      <c r="AE233">
        <v>0</v>
      </c>
      <c r="AQ233">
        <v>182377</v>
      </c>
      <c r="AR233" t="b">
        <v>1</v>
      </c>
      <c r="AS233" t="b">
        <v>1</v>
      </c>
      <c r="AT233" t="b">
        <v>1</v>
      </c>
      <c r="AU233" t="b">
        <v>1</v>
      </c>
      <c r="AV233" t="b">
        <v>1</v>
      </c>
      <c r="AW233" t="b">
        <v>1</v>
      </c>
      <c r="AX233" t="b">
        <v>1</v>
      </c>
      <c r="BA233" t="s">
        <v>438</v>
      </c>
    </row>
    <row r="234" spans="1:53" x14ac:dyDescent="0.25">
      <c r="A234" t="s">
        <v>386</v>
      </c>
      <c r="B234">
        <v>5</v>
      </c>
      <c r="C234">
        <v>7</v>
      </c>
      <c r="D234">
        <v>1</v>
      </c>
      <c r="E234">
        <v>58061090</v>
      </c>
      <c r="F234">
        <v>262938</v>
      </c>
      <c r="G234" t="s">
        <v>320</v>
      </c>
      <c r="H234" t="s">
        <v>60</v>
      </c>
      <c r="I234" t="s">
        <v>60</v>
      </c>
      <c r="J234" t="s">
        <v>60</v>
      </c>
      <c r="K234" t="s">
        <v>60</v>
      </c>
      <c r="L234" t="s">
        <v>59</v>
      </c>
      <c r="M234">
        <v>5.0000000000000001E-3</v>
      </c>
      <c r="P234">
        <v>40</v>
      </c>
      <c r="Q234" t="s">
        <v>80</v>
      </c>
      <c r="R234" t="s">
        <v>417</v>
      </c>
      <c r="S234" t="s">
        <v>364</v>
      </c>
      <c r="T234" t="s">
        <v>335</v>
      </c>
      <c r="V234">
        <v>0</v>
      </c>
      <c r="Y234">
        <v>0</v>
      </c>
      <c r="Z234">
        <v>0</v>
      </c>
      <c r="AA234">
        <v>0</v>
      </c>
      <c r="AB234">
        <v>410</v>
      </c>
      <c r="AC234">
        <v>0</v>
      </c>
      <c r="AD234">
        <v>0</v>
      </c>
      <c r="AE234">
        <v>0</v>
      </c>
      <c r="AQ234">
        <v>182377</v>
      </c>
      <c r="AR234" t="b">
        <v>1</v>
      </c>
      <c r="AS234" t="b">
        <v>1</v>
      </c>
      <c r="AT234" t="b">
        <v>1</v>
      </c>
      <c r="AU234" t="b">
        <v>1</v>
      </c>
      <c r="AV234" t="b">
        <v>1</v>
      </c>
      <c r="AW234" t="b">
        <v>1</v>
      </c>
      <c r="AX234" t="b">
        <v>1</v>
      </c>
      <c r="BA234" t="s">
        <v>438</v>
      </c>
    </row>
    <row r="235" spans="1:53" x14ac:dyDescent="0.25">
      <c r="A235" t="s">
        <v>386</v>
      </c>
      <c r="B235">
        <v>5</v>
      </c>
      <c r="C235">
        <v>8</v>
      </c>
      <c r="D235">
        <v>1</v>
      </c>
      <c r="E235">
        <v>58062090</v>
      </c>
      <c r="F235">
        <v>262938</v>
      </c>
      <c r="G235" t="s">
        <v>320</v>
      </c>
      <c r="H235" t="s">
        <v>60</v>
      </c>
      <c r="I235" t="s">
        <v>60</v>
      </c>
      <c r="J235" t="s">
        <v>60</v>
      </c>
      <c r="K235" t="s">
        <v>60</v>
      </c>
      <c r="L235" t="s">
        <v>59</v>
      </c>
      <c r="M235">
        <v>5.0000000000000001E-3</v>
      </c>
      <c r="P235">
        <v>40</v>
      </c>
      <c r="Q235" t="s">
        <v>80</v>
      </c>
      <c r="R235" t="s">
        <v>422</v>
      </c>
      <c r="S235" t="s">
        <v>369</v>
      </c>
      <c r="T235" t="s">
        <v>340</v>
      </c>
      <c r="V235">
        <v>0</v>
      </c>
      <c r="Y235">
        <v>0</v>
      </c>
      <c r="Z235">
        <v>0</v>
      </c>
      <c r="AA235">
        <v>0</v>
      </c>
      <c r="AB235">
        <v>410</v>
      </c>
      <c r="AC235">
        <v>0</v>
      </c>
      <c r="AD235">
        <v>0</v>
      </c>
      <c r="AE235">
        <v>0</v>
      </c>
      <c r="AQ235">
        <v>182377</v>
      </c>
      <c r="AR235" t="b">
        <v>1</v>
      </c>
      <c r="AS235" t="b">
        <v>1</v>
      </c>
      <c r="AT235" t="b">
        <v>1</v>
      </c>
      <c r="AU235" t="b">
        <v>1</v>
      </c>
      <c r="AV235" t="b">
        <v>1</v>
      </c>
      <c r="AW235" t="b">
        <v>1</v>
      </c>
      <c r="AX235" t="b">
        <v>1</v>
      </c>
      <c r="BA235" t="s">
        <v>438</v>
      </c>
    </row>
    <row r="236" spans="1:53" x14ac:dyDescent="0.25">
      <c r="A236" t="s">
        <v>386</v>
      </c>
      <c r="B236">
        <v>5</v>
      </c>
      <c r="C236">
        <v>9</v>
      </c>
      <c r="D236">
        <v>1</v>
      </c>
      <c r="E236">
        <v>58062090</v>
      </c>
      <c r="F236">
        <v>262938</v>
      </c>
      <c r="G236" t="s">
        <v>320</v>
      </c>
      <c r="H236" t="s">
        <v>60</v>
      </c>
      <c r="I236" t="s">
        <v>60</v>
      </c>
      <c r="J236" t="s">
        <v>60</v>
      </c>
      <c r="K236" t="s">
        <v>60</v>
      </c>
      <c r="L236" t="s">
        <v>59</v>
      </c>
      <c r="M236">
        <v>0.05</v>
      </c>
      <c r="P236">
        <v>40</v>
      </c>
      <c r="Q236" t="s">
        <v>80</v>
      </c>
      <c r="R236" t="s">
        <v>423</v>
      </c>
      <c r="S236" t="s">
        <v>370</v>
      </c>
      <c r="T236" t="s">
        <v>341</v>
      </c>
      <c r="V236">
        <v>0</v>
      </c>
      <c r="Y236">
        <v>0</v>
      </c>
      <c r="Z236">
        <v>0</v>
      </c>
      <c r="AA236">
        <v>0</v>
      </c>
      <c r="AB236">
        <v>4100</v>
      </c>
      <c r="AC236">
        <v>0</v>
      </c>
      <c r="AD236">
        <v>0</v>
      </c>
      <c r="AE236">
        <v>0</v>
      </c>
      <c r="AQ236">
        <v>182377</v>
      </c>
      <c r="AR236" t="b">
        <v>1</v>
      </c>
      <c r="AS236" t="b">
        <v>1</v>
      </c>
      <c r="AT236" t="b">
        <v>1</v>
      </c>
      <c r="AU236" t="b">
        <v>1</v>
      </c>
      <c r="AV236" t="b">
        <v>1</v>
      </c>
      <c r="AW236" t="b">
        <v>1</v>
      </c>
      <c r="AX236" t="b">
        <v>1</v>
      </c>
      <c r="BA236" t="s">
        <v>438</v>
      </c>
    </row>
    <row r="237" spans="1:53" x14ac:dyDescent="0.25">
      <c r="A237" t="s">
        <v>386</v>
      </c>
      <c r="B237">
        <v>5</v>
      </c>
      <c r="C237">
        <v>10</v>
      </c>
      <c r="D237">
        <v>1</v>
      </c>
      <c r="E237">
        <v>58062090</v>
      </c>
      <c r="F237">
        <v>262938</v>
      </c>
      <c r="G237" t="s">
        <v>320</v>
      </c>
      <c r="H237" t="s">
        <v>60</v>
      </c>
      <c r="I237" t="s">
        <v>60</v>
      </c>
      <c r="J237" t="s">
        <v>60</v>
      </c>
      <c r="K237" t="s">
        <v>60</v>
      </c>
      <c r="L237" t="s">
        <v>59</v>
      </c>
      <c r="M237">
        <v>0.05</v>
      </c>
      <c r="P237">
        <v>40</v>
      </c>
      <c r="Q237" t="s">
        <v>80</v>
      </c>
      <c r="R237" t="s">
        <v>424</v>
      </c>
      <c r="S237" t="s">
        <v>371</v>
      </c>
      <c r="T237" t="s">
        <v>342</v>
      </c>
      <c r="V237">
        <v>0</v>
      </c>
      <c r="Y237">
        <v>0</v>
      </c>
      <c r="Z237">
        <v>0</v>
      </c>
      <c r="AA237">
        <v>0</v>
      </c>
      <c r="AB237">
        <v>4100</v>
      </c>
      <c r="AC237">
        <v>0</v>
      </c>
      <c r="AD237">
        <v>0</v>
      </c>
      <c r="AE237">
        <v>0</v>
      </c>
      <c r="AQ237">
        <v>182377</v>
      </c>
      <c r="AR237" t="b">
        <v>1</v>
      </c>
      <c r="AS237" t="b">
        <v>1</v>
      </c>
      <c r="AT237" t="b">
        <v>1</v>
      </c>
      <c r="AU237" t="b">
        <v>1</v>
      </c>
      <c r="AV237" t="b">
        <v>1</v>
      </c>
      <c r="AW237" t="b">
        <v>1</v>
      </c>
      <c r="AX237" t="b">
        <v>1</v>
      </c>
      <c r="BA237" t="s">
        <v>438</v>
      </c>
    </row>
    <row r="238" spans="1:53" x14ac:dyDescent="0.25">
      <c r="A238" t="s">
        <v>386</v>
      </c>
      <c r="B238">
        <v>5</v>
      </c>
      <c r="C238">
        <v>11</v>
      </c>
      <c r="D238">
        <v>1</v>
      </c>
      <c r="E238">
        <v>58062090</v>
      </c>
      <c r="F238">
        <v>262938</v>
      </c>
      <c r="G238" t="s">
        <v>320</v>
      </c>
      <c r="H238" t="s">
        <v>60</v>
      </c>
      <c r="I238" t="s">
        <v>60</v>
      </c>
      <c r="J238" t="s">
        <v>60</v>
      </c>
      <c r="K238" t="s">
        <v>60</v>
      </c>
      <c r="L238" t="s">
        <v>59</v>
      </c>
      <c r="M238">
        <v>0.05</v>
      </c>
      <c r="P238">
        <v>40</v>
      </c>
      <c r="Q238" t="s">
        <v>80</v>
      </c>
      <c r="R238" t="s">
        <v>425</v>
      </c>
      <c r="S238" t="s">
        <v>372</v>
      </c>
      <c r="T238" t="s">
        <v>343</v>
      </c>
      <c r="V238">
        <v>0</v>
      </c>
      <c r="Y238">
        <v>0</v>
      </c>
      <c r="Z238">
        <v>0</v>
      </c>
      <c r="AA238">
        <v>0</v>
      </c>
      <c r="AB238">
        <v>4100</v>
      </c>
      <c r="AC238">
        <v>0</v>
      </c>
      <c r="AD238">
        <v>0</v>
      </c>
      <c r="AE238">
        <v>0</v>
      </c>
      <c r="AQ238">
        <v>182377</v>
      </c>
      <c r="AR238" t="b">
        <v>1</v>
      </c>
      <c r="AS238" t="b">
        <v>1</v>
      </c>
      <c r="AT238" t="b">
        <v>1</v>
      </c>
      <c r="AU238" t="b">
        <v>1</v>
      </c>
      <c r="AV238" t="b">
        <v>1</v>
      </c>
      <c r="AW238" t="b">
        <v>1</v>
      </c>
      <c r="AX238" t="b">
        <v>1</v>
      </c>
      <c r="BA238" t="s">
        <v>438</v>
      </c>
    </row>
    <row r="239" spans="1:53" x14ac:dyDescent="0.25">
      <c r="A239" t="s">
        <v>386</v>
      </c>
      <c r="B239">
        <v>5</v>
      </c>
      <c r="C239">
        <v>12</v>
      </c>
      <c r="D239">
        <v>1</v>
      </c>
      <c r="E239">
        <v>58062090</v>
      </c>
      <c r="F239">
        <v>262938</v>
      </c>
      <c r="G239" t="s">
        <v>321</v>
      </c>
      <c r="H239" t="s">
        <v>60</v>
      </c>
      <c r="I239" t="s">
        <v>60</v>
      </c>
      <c r="J239" t="s">
        <v>60</v>
      </c>
      <c r="K239" t="s">
        <v>60</v>
      </c>
      <c r="L239" t="s">
        <v>59</v>
      </c>
      <c r="M239">
        <v>0.32500000000000001</v>
      </c>
      <c r="P239">
        <v>40</v>
      </c>
      <c r="Q239" t="s">
        <v>80</v>
      </c>
      <c r="R239" t="s">
        <v>426</v>
      </c>
      <c r="S239" t="s">
        <v>373</v>
      </c>
      <c r="T239" t="s">
        <v>344</v>
      </c>
      <c r="V239">
        <v>0</v>
      </c>
      <c r="Y239">
        <v>0</v>
      </c>
      <c r="Z239">
        <v>0</v>
      </c>
      <c r="AA239">
        <v>0</v>
      </c>
      <c r="AB239">
        <v>26650</v>
      </c>
      <c r="AC239">
        <v>0</v>
      </c>
      <c r="AD239">
        <v>0</v>
      </c>
      <c r="AE239">
        <v>0</v>
      </c>
      <c r="AQ239">
        <v>182377</v>
      </c>
      <c r="AR239" t="b">
        <v>1</v>
      </c>
      <c r="AS239" t="b">
        <v>1</v>
      </c>
      <c r="AT239" t="b">
        <v>1</v>
      </c>
      <c r="AU239" t="b">
        <v>1</v>
      </c>
      <c r="AV239" t="b">
        <v>1</v>
      </c>
      <c r="AW239" t="b">
        <v>1</v>
      </c>
      <c r="AX239" t="b">
        <v>1</v>
      </c>
      <c r="BA239" t="s">
        <v>438</v>
      </c>
    </row>
    <row r="240" spans="1:53" x14ac:dyDescent="0.25">
      <c r="A240" t="s">
        <v>386</v>
      </c>
      <c r="B240">
        <v>5</v>
      </c>
      <c r="C240">
        <v>13</v>
      </c>
      <c r="D240">
        <v>1</v>
      </c>
      <c r="E240">
        <v>58062090</v>
      </c>
      <c r="F240">
        <v>262938</v>
      </c>
      <c r="G240" t="s">
        <v>321</v>
      </c>
      <c r="H240" t="s">
        <v>60</v>
      </c>
      <c r="I240" t="s">
        <v>60</v>
      </c>
      <c r="J240" t="s">
        <v>60</v>
      </c>
      <c r="K240" t="s">
        <v>60</v>
      </c>
      <c r="L240" t="s">
        <v>59</v>
      </c>
      <c r="M240">
        <v>0.01</v>
      </c>
      <c r="P240">
        <v>40</v>
      </c>
      <c r="Q240" t="s">
        <v>80</v>
      </c>
      <c r="R240" t="s">
        <v>427</v>
      </c>
      <c r="S240" t="s">
        <v>374</v>
      </c>
      <c r="T240" t="s">
        <v>345</v>
      </c>
      <c r="V240">
        <v>0</v>
      </c>
      <c r="Y240">
        <v>0</v>
      </c>
      <c r="Z240">
        <v>0</v>
      </c>
      <c r="AA240">
        <v>0</v>
      </c>
      <c r="AB240">
        <v>820</v>
      </c>
      <c r="AC240">
        <v>0</v>
      </c>
      <c r="AD240">
        <v>0</v>
      </c>
      <c r="AE240">
        <v>0</v>
      </c>
      <c r="AQ240">
        <v>182377</v>
      </c>
      <c r="AR240" t="b">
        <v>1</v>
      </c>
      <c r="AS240" t="b">
        <v>1</v>
      </c>
      <c r="AT240" t="b">
        <v>1</v>
      </c>
      <c r="AU240" t="b">
        <v>1</v>
      </c>
      <c r="AV240" t="b">
        <v>1</v>
      </c>
      <c r="AW240" t="b">
        <v>1</v>
      </c>
      <c r="AX240" t="b">
        <v>1</v>
      </c>
      <c r="BA240" t="s">
        <v>438</v>
      </c>
    </row>
    <row r="241" spans="1:53" x14ac:dyDescent="0.25">
      <c r="A241" t="s">
        <v>386</v>
      </c>
      <c r="B241">
        <v>5</v>
      </c>
      <c r="C241">
        <v>14</v>
      </c>
      <c r="D241">
        <v>1</v>
      </c>
      <c r="E241">
        <v>58062090</v>
      </c>
      <c r="F241">
        <v>262938</v>
      </c>
      <c r="G241" t="s">
        <v>321</v>
      </c>
      <c r="H241" t="s">
        <v>60</v>
      </c>
      <c r="I241" t="s">
        <v>60</v>
      </c>
      <c r="J241" t="s">
        <v>60</v>
      </c>
      <c r="K241" t="s">
        <v>60</v>
      </c>
      <c r="L241" t="s">
        <v>59</v>
      </c>
      <c r="M241">
        <v>0.22500000000000001</v>
      </c>
      <c r="P241">
        <v>40</v>
      </c>
      <c r="Q241" t="s">
        <v>80</v>
      </c>
      <c r="R241" t="s">
        <v>428</v>
      </c>
      <c r="S241" t="s">
        <v>375</v>
      </c>
      <c r="T241" t="s">
        <v>346</v>
      </c>
      <c r="V241">
        <v>0</v>
      </c>
      <c r="Y241">
        <v>0</v>
      </c>
      <c r="Z241">
        <v>0</v>
      </c>
      <c r="AA241">
        <v>0</v>
      </c>
      <c r="AB241">
        <v>18450</v>
      </c>
      <c r="AC241">
        <v>0</v>
      </c>
      <c r="AD241">
        <v>0</v>
      </c>
      <c r="AE241">
        <v>0</v>
      </c>
      <c r="AQ241">
        <v>182377</v>
      </c>
      <c r="AR241" t="b">
        <v>1</v>
      </c>
      <c r="AS241" t="b">
        <v>1</v>
      </c>
      <c r="AT241" t="b">
        <v>1</v>
      </c>
      <c r="AU241" t="b">
        <v>1</v>
      </c>
      <c r="AV241" t="b">
        <v>1</v>
      </c>
      <c r="AW241" t="b">
        <v>1</v>
      </c>
      <c r="AX241" t="b">
        <v>1</v>
      </c>
      <c r="BA241" t="s">
        <v>438</v>
      </c>
    </row>
    <row r="242" spans="1:53" x14ac:dyDescent="0.25">
      <c r="A242" t="s">
        <v>386</v>
      </c>
      <c r="B242">
        <v>5</v>
      </c>
      <c r="C242">
        <v>15</v>
      </c>
      <c r="D242">
        <v>1</v>
      </c>
      <c r="E242">
        <v>48211090</v>
      </c>
      <c r="F242">
        <v>297274</v>
      </c>
      <c r="G242" t="s">
        <v>315</v>
      </c>
      <c r="H242" t="s">
        <v>60</v>
      </c>
      <c r="I242" t="s">
        <v>60</v>
      </c>
      <c r="J242" t="s">
        <v>60</v>
      </c>
      <c r="K242" t="s">
        <v>60</v>
      </c>
      <c r="L242" t="s">
        <v>12</v>
      </c>
      <c r="M242">
        <v>150</v>
      </c>
      <c r="P242">
        <v>40</v>
      </c>
      <c r="Q242" t="s">
        <v>80</v>
      </c>
      <c r="R242" t="s">
        <v>415</v>
      </c>
      <c r="S242" t="s">
        <v>363</v>
      </c>
      <c r="T242" t="s">
        <v>333</v>
      </c>
      <c r="V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Q242">
        <v>182377</v>
      </c>
      <c r="AR242" t="b">
        <v>1</v>
      </c>
      <c r="AS242" t="b">
        <v>1</v>
      </c>
      <c r="AT242" t="b">
        <v>1</v>
      </c>
      <c r="AU242" t="b">
        <v>1</v>
      </c>
      <c r="AV242" t="b">
        <v>1</v>
      </c>
      <c r="AW242" t="b">
        <v>1</v>
      </c>
      <c r="AX242" t="b">
        <v>1</v>
      </c>
      <c r="BA242" t="s">
        <v>438</v>
      </c>
    </row>
    <row r="243" spans="1:53" x14ac:dyDescent="0.25">
      <c r="A243" t="s">
        <v>386</v>
      </c>
      <c r="B243">
        <v>5</v>
      </c>
      <c r="C243">
        <v>16</v>
      </c>
      <c r="D243">
        <v>1</v>
      </c>
      <c r="E243">
        <v>48211090</v>
      </c>
      <c r="F243">
        <v>297275</v>
      </c>
      <c r="G243" t="s">
        <v>316</v>
      </c>
      <c r="H243" t="s">
        <v>60</v>
      </c>
      <c r="I243" t="s">
        <v>60</v>
      </c>
      <c r="J243" t="s">
        <v>60</v>
      </c>
      <c r="K243" t="s">
        <v>60</v>
      </c>
      <c r="L243" t="s">
        <v>12</v>
      </c>
      <c r="M243">
        <v>23</v>
      </c>
      <c r="P243">
        <v>40</v>
      </c>
      <c r="Q243" t="s">
        <v>80</v>
      </c>
      <c r="R243" t="s">
        <v>415</v>
      </c>
      <c r="S243" t="s">
        <v>363</v>
      </c>
      <c r="T243" t="s">
        <v>333</v>
      </c>
      <c r="V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Q243">
        <v>182377</v>
      </c>
      <c r="AR243" t="b">
        <v>1</v>
      </c>
      <c r="AS243" t="b">
        <v>1</v>
      </c>
      <c r="AT243" t="b">
        <v>1</v>
      </c>
      <c r="AU243" t="b">
        <v>1</v>
      </c>
      <c r="AV243" t="b">
        <v>1</v>
      </c>
      <c r="AW243" t="b">
        <v>1</v>
      </c>
      <c r="AX243" t="b">
        <v>1</v>
      </c>
      <c r="BA243" t="s">
        <v>438</v>
      </c>
    </row>
    <row r="244" spans="1:53" x14ac:dyDescent="0.25">
      <c r="A244" t="s">
        <v>386</v>
      </c>
      <c r="B244">
        <v>5</v>
      </c>
      <c r="C244">
        <v>17</v>
      </c>
      <c r="D244">
        <v>1</v>
      </c>
      <c r="E244">
        <v>48211090</v>
      </c>
      <c r="F244">
        <v>297276</v>
      </c>
      <c r="G244" t="s">
        <v>317</v>
      </c>
      <c r="H244" t="s">
        <v>60</v>
      </c>
      <c r="I244" t="s">
        <v>60</v>
      </c>
      <c r="J244" t="s">
        <v>60</v>
      </c>
      <c r="K244" t="s">
        <v>60</v>
      </c>
      <c r="L244" t="s">
        <v>12</v>
      </c>
      <c r="M244">
        <v>52</v>
      </c>
      <c r="P244">
        <v>40</v>
      </c>
      <c r="Q244" t="s">
        <v>80</v>
      </c>
      <c r="R244" t="s">
        <v>415</v>
      </c>
      <c r="S244" t="s">
        <v>363</v>
      </c>
      <c r="T244" t="s">
        <v>333</v>
      </c>
      <c r="V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Q244">
        <v>182377</v>
      </c>
      <c r="AR244" t="b">
        <v>1</v>
      </c>
      <c r="AS244" t="b">
        <v>1</v>
      </c>
      <c r="AT244" t="b">
        <v>1</v>
      </c>
      <c r="AU244" t="b">
        <v>1</v>
      </c>
      <c r="AV244" t="b">
        <v>1</v>
      </c>
      <c r="AW244" t="b">
        <v>1</v>
      </c>
      <c r="AX244" t="b">
        <v>1</v>
      </c>
      <c r="BA244" t="s">
        <v>438</v>
      </c>
    </row>
    <row r="245" spans="1:53" x14ac:dyDescent="0.25">
      <c r="A245" t="s">
        <v>386</v>
      </c>
      <c r="B245">
        <v>5</v>
      </c>
      <c r="C245">
        <v>18</v>
      </c>
      <c r="D245">
        <v>1</v>
      </c>
      <c r="E245">
        <v>48211090</v>
      </c>
      <c r="F245">
        <v>297277</v>
      </c>
      <c r="G245" t="s">
        <v>318</v>
      </c>
      <c r="H245" t="s">
        <v>60</v>
      </c>
      <c r="I245" t="s">
        <v>60</v>
      </c>
      <c r="J245" t="s">
        <v>60</v>
      </c>
      <c r="K245" t="s">
        <v>60</v>
      </c>
      <c r="L245" t="s">
        <v>12</v>
      </c>
      <c r="M245">
        <v>38</v>
      </c>
      <c r="P245">
        <v>40</v>
      </c>
      <c r="Q245" t="s">
        <v>80</v>
      </c>
      <c r="R245" t="s">
        <v>415</v>
      </c>
      <c r="S245" t="s">
        <v>363</v>
      </c>
      <c r="T245" t="s">
        <v>333</v>
      </c>
      <c r="V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Q245">
        <v>182377</v>
      </c>
      <c r="AR245" t="b">
        <v>1</v>
      </c>
      <c r="AS245" t="b">
        <v>1</v>
      </c>
      <c r="AT245" t="b">
        <v>1</v>
      </c>
      <c r="AU245" t="b">
        <v>1</v>
      </c>
      <c r="AV245" t="b">
        <v>1</v>
      </c>
      <c r="AW245" t="b">
        <v>1</v>
      </c>
      <c r="AX245" t="b">
        <v>1</v>
      </c>
      <c r="BA245" t="s">
        <v>438</v>
      </c>
    </row>
    <row r="246" spans="1:53" x14ac:dyDescent="0.25">
      <c r="A246" t="s">
        <v>386</v>
      </c>
      <c r="B246">
        <v>5</v>
      </c>
      <c r="C246">
        <v>19</v>
      </c>
      <c r="D246">
        <v>1</v>
      </c>
      <c r="E246">
        <v>48211090</v>
      </c>
      <c r="F246">
        <v>297278</v>
      </c>
      <c r="G246" t="s">
        <v>319</v>
      </c>
      <c r="H246" t="s">
        <v>60</v>
      </c>
      <c r="I246" t="s">
        <v>60</v>
      </c>
      <c r="J246" t="s">
        <v>60</v>
      </c>
      <c r="K246" t="s">
        <v>60</v>
      </c>
      <c r="L246" t="s">
        <v>12</v>
      </c>
      <c r="M246">
        <v>37</v>
      </c>
      <c r="P246">
        <v>40</v>
      </c>
      <c r="Q246" t="s">
        <v>80</v>
      </c>
      <c r="R246" t="s">
        <v>415</v>
      </c>
      <c r="S246" t="s">
        <v>363</v>
      </c>
      <c r="T246" t="s">
        <v>333</v>
      </c>
      <c r="V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Q246">
        <v>182377</v>
      </c>
      <c r="AR246" t="b">
        <v>1</v>
      </c>
      <c r="AS246" t="b">
        <v>1</v>
      </c>
      <c r="AT246" t="b">
        <v>1</v>
      </c>
      <c r="AU246" t="b">
        <v>1</v>
      </c>
      <c r="AV246" t="b">
        <v>1</v>
      </c>
      <c r="AW246" t="b">
        <v>1</v>
      </c>
      <c r="AX246" t="b">
        <v>1</v>
      </c>
      <c r="BA246" t="s">
        <v>438</v>
      </c>
    </row>
    <row r="247" spans="1:53" x14ac:dyDescent="0.25">
      <c r="A247" t="s">
        <v>386</v>
      </c>
      <c r="B247">
        <v>5</v>
      </c>
      <c r="C247">
        <v>20</v>
      </c>
      <c r="D247">
        <v>1</v>
      </c>
      <c r="E247">
        <v>52081900</v>
      </c>
      <c r="F247">
        <v>274799</v>
      </c>
      <c r="G247" t="s">
        <v>311</v>
      </c>
      <c r="H247" t="s">
        <v>60</v>
      </c>
      <c r="I247" t="s">
        <v>60</v>
      </c>
      <c r="J247" t="s">
        <v>60</v>
      </c>
      <c r="K247" t="s">
        <v>60</v>
      </c>
      <c r="L247" t="s">
        <v>27</v>
      </c>
      <c r="M247">
        <v>3</v>
      </c>
      <c r="P247">
        <v>40</v>
      </c>
      <c r="Q247" t="s">
        <v>80</v>
      </c>
      <c r="R247" t="s">
        <v>409</v>
      </c>
      <c r="S247" t="s">
        <v>358</v>
      </c>
      <c r="T247" t="s">
        <v>327</v>
      </c>
      <c r="V247">
        <v>0</v>
      </c>
      <c r="Y247">
        <v>0</v>
      </c>
      <c r="Z247">
        <v>0</v>
      </c>
      <c r="AA247">
        <v>0</v>
      </c>
      <c r="AB247">
        <v>1439525.76</v>
      </c>
      <c r="AC247">
        <v>0</v>
      </c>
      <c r="AD247">
        <v>0</v>
      </c>
      <c r="AE247">
        <v>0</v>
      </c>
      <c r="AQ247">
        <v>182377</v>
      </c>
      <c r="AR247" t="b">
        <v>1</v>
      </c>
      <c r="AS247" t="b">
        <v>1</v>
      </c>
      <c r="AT247" t="b">
        <v>1</v>
      </c>
      <c r="AU247" t="b">
        <v>1</v>
      </c>
      <c r="AV247" t="b">
        <v>1</v>
      </c>
      <c r="AW247" t="b">
        <v>1</v>
      </c>
      <c r="AX247" t="b">
        <v>1</v>
      </c>
      <c r="BA247" t="s">
        <v>438</v>
      </c>
    </row>
    <row r="248" spans="1:53" x14ac:dyDescent="0.25">
      <c r="A248" t="s">
        <v>386</v>
      </c>
      <c r="B248">
        <v>5</v>
      </c>
      <c r="C248">
        <v>21</v>
      </c>
      <c r="D248">
        <v>1</v>
      </c>
      <c r="E248">
        <v>52081900</v>
      </c>
      <c r="F248">
        <v>275340</v>
      </c>
      <c r="G248" t="s">
        <v>312</v>
      </c>
      <c r="H248" t="s">
        <v>60</v>
      </c>
      <c r="I248" t="s">
        <v>60</v>
      </c>
      <c r="J248" t="s">
        <v>60</v>
      </c>
      <c r="K248" t="s">
        <v>60</v>
      </c>
      <c r="L248" t="s">
        <v>27</v>
      </c>
      <c r="M248">
        <v>3</v>
      </c>
      <c r="P248">
        <v>40</v>
      </c>
      <c r="Q248" t="s">
        <v>80</v>
      </c>
      <c r="R248" t="s">
        <v>410</v>
      </c>
      <c r="S248" t="s">
        <v>359</v>
      </c>
      <c r="T248" t="s">
        <v>328</v>
      </c>
      <c r="V248">
        <v>0</v>
      </c>
      <c r="Y248">
        <v>0</v>
      </c>
      <c r="Z248">
        <v>0</v>
      </c>
      <c r="AA248">
        <v>0</v>
      </c>
      <c r="AB248">
        <v>1439525.76</v>
      </c>
      <c r="AC248">
        <v>0</v>
      </c>
      <c r="AD248">
        <v>0</v>
      </c>
      <c r="AE248">
        <v>0</v>
      </c>
      <c r="AQ248">
        <v>182377</v>
      </c>
      <c r="AR248" t="b">
        <v>1</v>
      </c>
      <c r="AS248" t="b">
        <v>1</v>
      </c>
      <c r="AT248" t="b">
        <v>1</v>
      </c>
      <c r="AU248" t="b">
        <v>1</v>
      </c>
      <c r="AV248" t="b">
        <v>1</v>
      </c>
      <c r="AW248" t="b">
        <v>1</v>
      </c>
      <c r="AX248" t="b">
        <v>1</v>
      </c>
      <c r="BA248" t="s">
        <v>438</v>
      </c>
    </row>
    <row r="249" spans="1:53" x14ac:dyDescent="0.25">
      <c r="A249" t="s">
        <v>386</v>
      </c>
      <c r="B249">
        <v>5</v>
      </c>
      <c r="C249">
        <v>22</v>
      </c>
      <c r="D249">
        <v>1</v>
      </c>
      <c r="E249">
        <v>58062090</v>
      </c>
      <c r="F249">
        <v>262938</v>
      </c>
      <c r="G249" t="s">
        <v>322</v>
      </c>
      <c r="H249" t="s">
        <v>60</v>
      </c>
      <c r="I249" t="s">
        <v>60</v>
      </c>
      <c r="J249" t="s">
        <v>60</v>
      </c>
      <c r="K249" t="s">
        <v>60</v>
      </c>
      <c r="L249" t="s">
        <v>59</v>
      </c>
      <c r="M249">
        <v>2.5000000000000001E-3</v>
      </c>
      <c r="P249">
        <v>40</v>
      </c>
      <c r="Q249" t="s">
        <v>80</v>
      </c>
      <c r="R249" t="s">
        <v>419</v>
      </c>
      <c r="S249" t="s">
        <v>366</v>
      </c>
      <c r="T249" t="s">
        <v>337</v>
      </c>
      <c r="V249">
        <v>0</v>
      </c>
      <c r="Y249">
        <v>0</v>
      </c>
      <c r="Z249">
        <v>0</v>
      </c>
      <c r="AA249">
        <v>0</v>
      </c>
      <c r="AB249">
        <v>390</v>
      </c>
      <c r="AC249">
        <v>0</v>
      </c>
      <c r="AD249">
        <v>0</v>
      </c>
      <c r="AE249">
        <v>0</v>
      </c>
      <c r="AQ249">
        <v>182377</v>
      </c>
      <c r="AR249" t="b">
        <v>1</v>
      </c>
      <c r="AS249" t="b">
        <v>1</v>
      </c>
      <c r="AT249" t="b">
        <v>1</v>
      </c>
      <c r="AU249" t="b">
        <v>1</v>
      </c>
      <c r="AV249" t="b">
        <v>1</v>
      </c>
      <c r="AW249" t="b">
        <v>1</v>
      </c>
      <c r="AX249" t="b">
        <v>1</v>
      </c>
      <c r="BA249" t="s">
        <v>438</v>
      </c>
    </row>
    <row r="250" spans="1:53" x14ac:dyDescent="0.25">
      <c r="A250" t="s">
        <v>386</v>
      </c>
      <c r="B250">
        <v>5</v>
      </c>
      <c r="C250">
        <v>23</v>
      </c>
      <c r="D250">
        <v>1</v>
      </c>
      <c r="E250">
        <v>58062090</v>
      </c>
      <c r="F250">
        <v>262938</v>
      </c>
      <c r="G250" t="s">
        <v>320</v>
      </c>
      <c r="H250" t="s">
        <v>60</v>
      </c>
      <c r="I250" t="s">
        <v>60</v>
      </c>
      <c r="J250" t="s">
        <v>60</v>
      </c>
      <c r="K250" t="s">
        <v>60</v>
      </c>
      <c r="L250" t="s">
        <v>59</v>
      </c>
      <c r="M250">
        <v>0.01</v>
      </c>
      <c r="P250">
        <v>40</v>
      </c>
      <c r="Q250" t="s">
        <v>80</v>
      </c>
      <c r="R250" t="s">
        <v>420</v>
      </c>
      <c r="S250" t="s">
        <v>367</v>
      </c>
      <c r="T250" t="s">
        <v>338</v>
      </c>
      <c r="V250">
        <v>0</v>
      </c>
      <c r="Y250">
        <v>0</v>
      </c>
      <c r="Z250">
        <v>0</v>
      </c>
      <c r="AA250">
        <v>0</v>
      </c>
      <c r="AB250">
        <v>1640</v>
      </c>
      <c r="AC250">
        <v>0</v>
      </c>
      <c r="AD250">
        <v>0</v>
      </c>
      <c r="AE250">
        <v>0</v>
      </c>
      <c r="AQ250">
        <v>182377</v>
      </c>
      <c r="AR250" t="b">
        <v>1</v>
      </c>
      <c r="AS250" t="b">
        <v>1</v>
      </c>
      <c r="AT250" t="b">
        <v>1</v>
      </c>
      <c r="AU250" t="b">
        <v>1</v>
      </c>
      <c r="AV250" t="b">
        <v>1</v>
      </c>
      <c r="AW250" t="b">
        <v>1</v>
      </c>
      <c r="AX250" t="b">
        <v>1</v>
      </c>
      <c r="BA250" t="s">
        <v>438</v>
      </c>
    </row>
    <row r="251" spans="1:53" x14ac:dyDescent="0.25">
      <c r="A251" t="s">
        <v>386</v>
      </c>
      <c r="B251">
        <v>5</v>
      </c>
      <c r="C251">
        <v>24</v>
      </c>
      <c r="D251">
        <v>1</v>
      </c>
      <c r="E251">
        <v>58062090</v>
      </c>
      <c r="F251">
        <v>262938</v>
      </c>
      <c r="G251" t="s">
        <v>320</v>
      </c>
      <c r="H251" t="s">
        <v>60</v>
      </c>
      <c r="I251" t="s">
        <v>60</v>
      </c>
      <c r="J251" t="s">
        <v>60</v>
      </c>
      <c r="K251" t="s">
        <v>60</v>
      </c>
      <c r="L251" t="s">
        <v>59</v>
      </c>
      <c r="M251">
        <v>7.4999999999999997E-3</v>
      </c>
      <c r="P251">
        <v>40</v>
      </c>
      <c r="Q251" t="s">
        <v>80</v>
      </c>
      <c r="R251" t="s">
        <v>421</v>
      </c>
      <c r="S251" t="s">
        <v>368</v>
      </c>
      <c r="T251" t="s">
        <v>339</v>
      </c>
      <c r="V251">
        <v>0</v>
      </c>
      <c r="Y251">
        <v>0</v>
      </c>
      <c r="Z251">
        <v>0</v>
      </c>
      <c r="AA251">
        <v>0</v>
      </c>
      <c r="AB251">
        <v>1230</v>
      </c>
      <c r="AC251">
        <v>0</v>
      </c>
      <c r="AD251">
        <v>0</v>
      </c>
      <c r="AE251">
        <v>0</v>
      </c>
      <c r="AQ251">
        <v>182377</v>
      </c>
      <c r="AR251" t="b">
        <v>1</v>
      </c>
      <c r="AS251" t="b">
        <v>1</v>
      </c>
      <c r="AT251" t="b">
        <v>1</v>
      </c>
      <c r="AU251" t="b">
        <v>1</v>
      </c>
      <c r="AV251" t="b">
        <v>1</v>
      </c>
      <c r="AW251" t="b">
        <v>1</v>
      </c>
      <c r="AX251" t="b">
        <v>1</v>
      </c>
      <c r="BA251" t="s">
        <v>438</v>
      </c>
    </row>
    <row r="252" spans="1:53" x14ac:dyDescent="0.25">
      <c r="A252" t="s">
        <v>386</v>
      </c>
      <c r="B252">
        <v>5</v>
      </c>
      <c r="C252">
        <v>25</v>
      </c>
      <c r="D252">
        <v>1</v>
      </c>
      <c r="E252">
        <v>58062090</v>
      </c>
      <c r="F252">
        <v>262938</v>
      </c>
      <c r="G252" t="s">
        <v>320</v>
      </c>
      <c r="H252" t="s">
        <v>60</v>
      </c>
      <c r="I252" t="s">
        <v>60</v>
      </c>
      <c r="J252" t="s">
        <v>60</v>
      </c>
      <c r="K252" t="s">
        <v>60</v>
      </c>
      <c r="L252" t="s">
        <v>59</v>
      </c>
      <c r="M252">
        <v>5.0000000000000001E-3</v>
      </c>
      <c r="P252">
        <v>40</v>
      </c>
      <c r="Q252" t="s">
        <v>80</v>
      </c>
      <c r="R252" t="s">
        <v>416</v>
      </c>
      <c r="S252" t="s">
        <v>360</v>
      </c>
      <c r="T252" t="s">
        <v>334</v>
      </c>
      <c r="V252">
        <v>0</v>
      </c>
      <c r="Y252">
        <v>0</v>
      </c>
      <c r="Z252">
        <v>0</v>
      </c>
      <c r="AA252">
        <v>0</v>
      </c>
      <c r="AB252">
        <v>820</v>
      </c>
      <c r="AC252">
        <v>0</v>
      </c>
      <c r="AD252">
        <v>0</v>
      </c>
      <c r="AE252">
        <v>0</v>
      </c>
      <c r="AQ252">
        <v>182377</v>
      </c>
      <c r="AR252" t="b">
        <v>1</v>
      </c>
      <c r="AS252" t="b">
        <v>1</v>
      </c>
      <c r="AT252" t="b">
        <v>1</v>
      </c>
      <c r="AU252" t="b">
        <v>1</v>
      </c>
      <c r="AV252" t="b">
        <v>1</v>
      </c>
      <c r="AW252" t="b">
        <v>1</v>
      </c>
      <c r="AX252" t="b">
        <v>1</v>
      </c>
      <c r="BA252" t="s">
        <v>438</v>
      </c>
    </row>
    <row r="253" spans="1:53" x14ac:dyDescent="0.25">
      <c r="A253" t="s">
        <v>386</v>
      </c>
      <c r="B253">
        <v>5</v>
      </c>
      <c r="C253">
        <v>26</v>
      </c>
      <c r="D253">
        <v>1</v>
      </c>
      <c r="E253">
        <v>58061090</v>
      </c>
      <c r="F253">
        <v>262938</v>
      </c>
      <c r="G253" t="s">
        <v>320</v>
      </c>
      <c r="H253" t="s">
        <v>60</v>
      </c>
      <c r="I253" t="s">
        <v>60</v>
      </c>
      <c r="J253" t="s">
        <v>60</v>
      </c>
      <c r="K253" t="s">
        <v>60</v>
      </c>
      <c r="L253" t="s">
        <v>59</v>
      </c>
      <c r="M253">
        <v>2.5000000000000001E-3</v>
      </c>
      <c r="P253">
        <v>40</v>
      </c>
      <c r="Q253" t="s">
        <v>80</v>
      </c>
      <c r="R253" t="s">
        <v>417</v>
      </c>
      <c r="S253" t="s">
        <v>364</v>
      </c>
      <c r="T253" t="s">
        <v>335</v>
      </c>
      <c r="V253">
        <v>0</v>
      </c>
      <c r="Y253">
        <v>0</v>
      </c>
      <c r="Z253">
        <v>0</v>
      </c>
      <c r="AA253">
        <v>0</v>
      </c>
      <c r="AB253">
        <v>410</v>
      </c>
      <c r="AC253">
        <v>0</v>
      </c>
      <c r="AD253">
        <v>0</v>
      </c>
      <c r="AE253">
        <v>0</v>
      </c>
      <c r="AQ253">
        <v>182377</v>
      </c>
      <c r="AR253" t="b">
        <v>1</v>
      </c>
      <c r="AS253" t="b">
        <v>1</v>
      </c>
      <c r="AT253" t="b">
        <v>1</v>
      </c>
      <c r="AU253" t="b">
        <v>1</v>
      </c>
      <c r="AV253" t="b">
        <v>1</v>
      </c>
      <c r="AW253" t="b">
        <v>1</v>
      </c>
      <c r="AX253" t="b">
        <v>1</v>
      </c>
      <c r="BA253" t="s">
        <v>438</v>
      </c>
    </row>
    <row r="254" spans="1:53" x14ac:dyDescent="0.25">
      <c r="A254" t="s">
        <v>386</v>
      </c>
      <c r="B254">
        <v>5</v>
      </c>
      <c r="C254">
        <v>27</v>
      </c>
      <c r="D254">
        <v>1</v>
      </c>
      <c r="E254">
        <v>58062090</v>
      </c>
      <c r="F254">
        <v>262938</v>
      </c>
      <c r="G254" t="s">
        <v>320</v>
      </c>
      <c r="H254" t="s">
        <v>60</v>
      </c>
      <c r="I254" t="s">
        <v>60</v>
      </c>
      <c r="J254" t="s">
        <v>60</v>
      </c>
      <c r="K254" t="s">
        <v>60</v>
      </c>
      <c r="L254" t="s">
        <v>59</v>
      </c>
      <c r="M254">
        <v>2.5000000000000001E-3</v>
      </c>
      <c r="P254">
        <v>40</v>
      </c>
      <c r="Q254" t="s">
        <v>80</v>
      </c>
      <c r="R254" t="s">
        <v>422</v>
      </c>
      <c r="S254" t="s">
        <v>369</v>
      </c>
      <c r="T254" t="s">
        <v>340</v>
      </c>
      <c r="V254">
        <v>0</v>
      </c>
      <c r="Y254">
        <v>0</v>
      </c>
      <c r="Z254">
        <v>0</v>
      </c>
      <c r="AA254">
        <v>0</v>
      </c>
      <c r="AB254">
        <v>410</v>
      </c>
      <c r="AC254">
        <v>0</v>
      </c>
      <c r="AD254">
        <v>0</v>
      </c>
      <c r="AE254">
        <v>0</v>
      </c>
      <c r="AQ254">
        <v>182377</v>
      </c>
      <c r="AR254" t="b">
        <v>1</v>
      </c>
      <c r="AS254" t="b">
        <v>1</v>
      </c>
      <c r="AT254" t="b">
        <v>1</v>
      </c>
      <c r="AU254" t="b">
        <v>1</v>
      </c>
      <c r="AV254" t="b">
        <v>1</v>
      </c>
      <c r="AW254" t="b">
        <v>1</v>
      </c>
      <c r="AX254" t="b">
        <v>1</v>
      </c>
      <c r="BA254" t="s">
        <v>438</v>
      </c>
    </row>
    <row r="255" spans="1:53" x14ac:dyDescent="0.25">
      <c r="A255" t="s">
        <v>386</v>
      </c>
      <c r="B255">
        <v>5</v>
      </c>
      <c r="C255">
        <v>28</v>
      </c>
      <c r="D255">
        <v>1</v>
      </c>
      <c r="E255">
        <v>58062090</v>
      </c>
      <c r="F255">
        <v>262938</v>
      </c>
      <c r="G255" t="s">
        <v>320</v>
      </c>
      <c r="H255" t="s">
        <v>60</v>
      </c>
      <c r="I255" t="s">
        <v>60</v>
      </c>
      <c r="J255" t="s">
        <v>60</v>
      </c>
      <c r="K255" t="s">
        <v>60</v>
      </c>
      <c r="L255" t="s">
        <v>59</v>
      </c>
      <c r="M255">
        <v>2.5000000000000001E-2</v>
      </c>
      <c r="P255">
        <v>40</v>
      </c>
      <c r="Q255" t="s">
        <v>80</v>
      </c>
      <c r="R255" t="s">
        <v>423</v>
      </c>
      <c r="S255" t="s">
        <v>370</v>
      </c>
      <c r="T255" t="s">
        <v>341</v>
      </c>
      <c r="V255">
        <v>0</v>
      </c>
      <c r="Y255">
        <v>0</v>
      </c>
      <c r="Z255">
        <v>0</v>
      </c>
      <c r="AA255">
        <v>0</v>
      </c>
      <c r="AB255">
        <v>4100</v>
      </c>
      <c r="AC255">
        <v>0</v>
      </c>
      <c r="AD255">
        <v>0</v>
      </c>
      <c r="AE255">
        <v>0</v>
      </c>
      <c r="AQ255">
        <v>182377</v>
      </c>
      <c r="AR255" t="b">
        <v>1</v>
      </c>
      <c r="AS255" t="b">
        <v>1</v>
      </c>
      <c r="AT255" t="b">
        <v>1</v>
      </c>
      <c r="AU255" t="b">
        <v>1</v>
      </c>
      <c r="AV255" t="b">
        <v>1</v>
      </c>
      <c r="AW255" t="b">
        <v>1</v>
      </c>
      <c r="AX255" t="b">
        <v>1</v>
      </c>
      <c r="BA255" t="s">
        <v>438</v>
      </c>
    </row>
    <row r="256" spans="1:53" x14ac:dyDescent="0.25">
      <c r="A256" t="s">
        <v>386</v>
      </c>
      <c r="B256">
        <v>5</v>
      </c>
      <c r="C256">
        <v>29</v>
      </c>
      <c r="D256">
        <v>1</v>
      </c>
      <c r="E256">
        <v>58062090</v>
      </c>
      <c r="F256">
        <v>262938</v>
      </c>
      <c r="G256" t="s">
        <v>320</v>
      </c>
      <c r="H256" t="s">
        <v>60</v>
      </c>
      <c r="I256" t="s">
        <v>60</v>
      </c>
      <c r="J256" t="s">
        <v>60</v>
      </c>
      <c r="K256" t="s">
        <v>60</v>
      </c>
      <c r="L256" t="s">
        <v>59</v>
      </c>
      <c r="M256">
        <v>2.5000000000000001E-2</v>
      </c>
      <c r="P256">
        <v>40</v>
      </c>
      <c r="Q256" t="s">
        <v>80</v>
      </c>
      <c r="R256" t="s">
        <v>424</v>
      </c>
      <c r="S256" t="s">
        <v>371</v>
      </c>
      <c r="T256" t="s">
        <v>342</v>
      </c>
      <c r="V256">
        <v>0</v>
      </c>
      <c r="Y256">
        <v>0</v>
      </c>
      <c r="Z256">
        <v>0</v>
      </c>
      <c r="AA256">
        <v>0</v>
      </c>
      <c r="AB256">
        <v>4100</v>
      </c>
      <c r="AC256">
        <v>0</v>
      </c>
      <c r="AD256">
        <v>0</v>
      </c>
      <c r="AE256">
        <v>0</v>
      </c>
      <c r="AQ256">
        <v>182377</v>
      </c>
      <c r="AR256" t="b">
        <v>1</v>
      </c>
      <c r="AS256" t="b">
        <v>1</v>
      </c>
      <c r="AT256" t="b">
        <v>1</v>
      </c>
      <c r="AU256" t="b">
        <v>1</v>
      </c>
      <c r="AV256" t="b">
        <v>1</v>
      </c>
      <c r="AW256" t="b">
        <v>1</v>
      </c>
      <c r="AX256" t="b">
        <v>1</v>
      </c>
      <c r="BA256" t="s">
        <v>438</v>
      </c>
    </row>
    <row r="257" spans="1:53" x14ac:dyDescent="0.25">
      <c r="A257" t="s">
        <v>386</v>
      </c>
      <c r="B257">
        <v>5</v>
      </c>
      <c r="C257">
        <v>30</v>
      </c>
      <c r="D257">
        <v>1</v>
      </c>
      <c r="E257">
        <v>58062090</v>
      </c>
      <c r="F257">
        <v>262938</v>
      </c>
      <c r="G257" t="s">
        <v>320</v>
      </c>
      <c r="H257" t="s">
        <v>60</v>
      </c>
      <c r="I257" t="s">
        <v>60</v>
      </c>
      <c r="J257" t="s">
        <v>60</v>
      </c>
      <c r="K257" t="s">
        <v>60</v>
      </c>
      <c r="L257" t="s">
        <v>59</v>
      </c>
      <c r="M257">
        <v>2.5000000000000001E-2</v>
      </c>
      <c r="P257">
        <v>40</v>
      </c>
      <c r="Q257" t="s">
        <v>80</v>
      </c>
      <c r="R257" t="s">
        <v>425</v>
      </c>
      <c r="S257" t="s">
        <v>372</v>
      </c>
      <c r="T257" t="s">
        <v>343</v>
      </c>
      <c r="V257">
        <v>0</v>
      </c>
      <c r="Y257">
        <v>0</v>
      </c>
      <c r="Z257">
        <v>0</v>
      </c>
      <c r="AA257">
        <v>0</v>
      </c>
      <c r="AB257">
        <v>4100</v>
      </c>
      <c r="AC257">
        <v>0</v>
      </c>
      <c r="AD257">
        <v>0</v>
      </c>
      <c r="AE257">
        <v>0</v>
      </c>
      <c r="AQ257">
        <v>182377</v>
      </c>
      <c r="AR257" t="b">
        <v>1</v>
      </c>
      <c r="AS257" t="b">
        <v>1</v>
      </c>
      <c r="AT257" t="b">
        <v>1</v>
      </c>
      <c r="AU257" t="b">
        <v>1</v>
      </c>
      <c r="AV257" t="b">
        <v>1</v>
      </c>
      <c r="AW257" t="b">
        <v>1</v>
      </c>
      <c r="AX257" t="b">
        <v>1</v>
      </c>
      <c r="BA257" t="s">
        <v>438</v>
      </c>
    </row>
    <row r="258" spans="1:53" x14ac:dyDescent="0.25">
      <c r="A258" t="s">
        <v>386</v>
      </c>
      <c r="B258">
        <v>5</v>
      </c>
      <c r="C258">
        <v>31</v>
      </c>
      <c r="D258">
        <v>1</v>
      </c>
      <c r="E258">
        <v>58062090</v>
      </c>
      <c r="F258">
        <v>262938</v>
      </c>
      <c r="G258" t="s">
        <v>321</v>
      </c>
      <c r="H258" t="s">
        <v>60</v>
      </c>
      <c r="I258" t="s">
        <v>60</v>
      </c>
      <c r="J258" t="s">
        <v>60</v>
      </c>
      <c r="K258" t="s">
        <v>60</v>
      </c>
      <c r="L258" t="s">
        <v>59</v>
      </c>
      <c r="M258">
        <v>0.16250000000000001</v>
      </c>
      <c r="P258">
        <v>40</v>
      </c>
      <c r="Q258" t="s">
        <v>80</v>
      </c>
      <c r="R258" t="s">
        <v>426</v>
      </c>
      <c r="S258" t="s">
        <v>373</v>
      </c>
      <c r="T258" t="s">
        <v>344</v>
      </c>
      <c r="V258">
        <v>0</v>
      </c>
      <c r="Y258">
        <v>0</v>
      </c>
      <c r="Z258">
        <v>0</v>
      </c>
      <c r="AA258">
        <v>0</v>
      </c>
      <c r="AB258">
        <v>26650</v>
      </c>
      <c r="AC258">
        <v>0</v>
      </c>
      <c r="AD258">
        <v>0</v>
      </c>
      <c r="AE258">
        <v>0</v>
      </c>
      <c r="AQ258">
        <v>182377</v>
      </c>
      <c r="AR258" t="b">
        <v>1</v>
      </c>
      <c r="AS258" t="b">
        <v>1</v>
      </c>
      <c r="AT258" t="b">
        <v>1</v>
      </c>
      <c r="AU258" t="b">
        <v>1</v>
      </c>
      <c r="AV258" t="b">
        <v>1</v>
      </c>
      <c r="AW258" t="b">
        <v>1</v>
      </c>
      <c r="AX258" t="b">
        <v>1</v>
      </c>
      <c r="BA258" t="s">
        <v>438</v>
      </c>
    </row>
    <row r="259" spans="1:53" x14ac:dyDescent="0.25">
      <c r="A259" t="s">
        <v>386</v>
      </c>
      <c r="B259">
        <v>5</v>
      </c>
      <c r="C259">
        <v>32</v>
      </c>
      <c r="D259">
        <v>1</v>
      </c>
      <c r="E259">
        <v>58062090</v>
      </c>
      <c r="F259">
        <v>262938</v>
      </c>
      <c r="G259" t="s">
        <v>321</v>
      </c>
      <c r="H259" t="s">
        <v>60</v>
      </c>
      <c r="I259" t="s">
        <v>60</v>
      </c>
      <c r="J259" t="s">
        <v>60</v>
      </c>
      <c r="K259" t="s">
        <v>60</v>
      </c>
      <c r="L259" t="s">
        <v>59</v>
      </c>
      <c r="M259">
        <v>5.0000000000000001E-3</v>
      </c>
      <c r="P259">
        <v>40</v>
      </c>
      <c r="Q259" t="s">
        <v>80</v>
      </c>
      <c r="R259" t="s">
        <v>427</v>
      </c>
      <c r="S259" t="s">
        <v>374</v>
      </c>
      <c r="T259" t="s">
        <v>345</v>
      </c>
      <c r="V259">
        <v>0</v>
      </c>
      <c r="Y259">
        <v>0</v>
      </c>
      <c r="Z259">
        <v>0</v>
      </c>
      <c r="AA259">
        <v>0</v>
      </c>
      <c r="AB259">
        <v>820</v>
      </c>
      <c r="AC259">
        <v>0</v>
      </c>
      <c r="AD259">
        <v>0</v>
      </c>
      <c r="AE259">
        <v>0</v>
      </c>
      <c r="AQ259">
        <v>182377</v>
      </c>
      <c r="AR259" t="b">
        <v>1</v>
      </c>
      <c r="AS259" t="b">
        <v>1</v>
      </c>
      <c r="AT259" t="b">
        <v>1</v>
      </c>
      <c r="AU259" t="b">
        <v>1</v>
      </c>
      <c r="AV259" t="b">
        <v>1</v>
      </c>
      <c r="AW259" t="b">
        <v>1</v>
      </c>
      <c r="AX259" t="b">
        <v>1</v>
      </c>
      <c r="BA259" t="s">
        <v>438</v>
      </c>
    </row>
    <row r="260" spans="1:53" x14ac:dyDescent="0.25">
      <c r="A260" t="s">
        <v>386</v>
      </c>
      <c r="B260">
        <v>5</v>
      </c>
      <c r="C260">
        <v>33</v>
      </c>
      <c r="D260">
        <v>1</v>
      </c>
      <c r="E260">
        <v>58062090</v>
      </c>
      <c r="F260">
        <v>262938</v>
      </c>
      <c r="G260" t="s">
        <v>321</v>
      </c>
      <c r="H260" t="s">
        <v>60</v>
      </c>
      <c r="I260" t="s">
        <v>60</v>
      </c>
      <c r="J260" t="s">
        <v>60</v>
      </c>
      <c r="K260" t="s">
        <v>60</v>
      </c>
      <c r="L260" t="s">
        <v>59</v>
      </c>
      <c r="M260">
        <v>0.1125</v>
      </c>
      <c r="P260">
        <v>40</v>
      </c>
      <c r="Q260" t="s">
        <v>80</v>
      </c>
      <c r="R260" t="s">
        <v>428</v>
      </c>
      <c r="S260" t="s">
        <v>375</v>
      </c>
      <c r="T260" t="s">
        <v>346</v>
      </c>
      <c r="V260">
        <v>0</v>
      </c>
      <c r="Y260">
        <v>0</v>
      </c>
      <c r="Z260">
        <v>0</v>
      </c>
      <c r="AA260">
        <v>0</v>
      </c>
      <c r="AB260">
        <v>18450</v>
      </c>
      <c r="AC260">
        <v>0</v>
      </c>
      <c r="AD260">
        <v>0</v>
      </c>
      <c r="AE260">
        <v>0</v>
      </c>
      <c r="AQ260">
        <v>182377</v>
      </c>
      <c r="AR260" t="b">
        <v>1</v>
      </c>
      <c r="AS260" t="b">
        <v>1</v>
      </c>
      <c r="AT260" t="b">
        <v>1</v>
      </c>
      <c r="AU260" t="b">
        <v>1</v>
      </c>
      <c r="AV260" t="b">
        <v>1</v>
      </c>
      <c r="AW260" t="b">
        <v>1</v>
      </c>
      <c r="AX260" t="b">
        <v>1</v>
      </c>
      <c r="BA260" t="s">
        <v>438</v>
      </c>
    </row>
    <row r="261" spans="1:53" x14ac:dyDescent="0.25">
      <c r="A261" t="s">
        <v>386</v>
      </c>
      <c r="B261">
        <v>5</v>
      </c>
      <c r="C261">
        <v>34</v>
      </c>
      <c r="D261">
        <v>1</v>
      </c>
      <c r="E261">
        <v>48211090</v>
      </c>
      <c r="F261">
        <v>297274</v>
      </c>
      <c r="G261" t="s">
        <v>315</v>
      </c>
      <c r="H261" t="s">
        <v>60</v>
      </c>
      <c r="I261" t="s">
        <v>60</v>
      </c>
      <c r="J261" t="s">
        <v>60</v>
      </c>
      <c r="K261" t="s">
        <v>60</v>
      </c>
      <c r="L261" t="s">
        <v>12</v>
      </c>
      <c r="M261">
        <v>75</v>
      </c>
      <c r="P261">
        <v>40</v>
      </c>
      <c r="Q261" t="s">
        <v>80</v>
      </c>
      <c r="R261" t="s">
        <v>415</v>
      </c>
      <c r="S261" t="s">
        <v>363</v>
      </c>
      <c r="T261" t="s">
        <v>333</v>
      </c>
      <c r="V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Q261">
        <v>182377</v>
      </c>
      <c r="AR261" t="b">
        <v>1</v>
      </c>
      <c r="AS261" t="b">
        <v>1</v>
      </c>
      <c r="AT261" t="b">
        <v>1</v>
      </c>
      <c r="AU261" t="b">
        <v>1</v>
      </c>
      <c r="AV261" t="b">
        <v>1</v>
      </c>
      <c r="AW261" t="b">
        <v>1</v>
      </c>
      <c r="AX261" t="b">
        <v>1</v>
      </c>
      <c r="BA261" t="s">
        <v>438</v>
      </c>
    </row>
    <row r="262" spans="1:53" x14ac:dyDescent="0.25">
      <c r="A262" t="s">
        <v>386</v>
      </c>
      <c r="B262">
        <v>5</v>
      </c>
      <c r="C262">
        <v>35</v>
      </c>
      <c r="D262">
        <v>1</v>
      </c>
      <c r="E262">
        <v>48211090</v>
      </c>
      <c r="F262">
        <v>297275</v>
      </c>
      <c r="G262" t="s">
        <v>316</v>
      </c>
      <c r="H262" t="s">
        <v>60</v>
      </c>
      <c r="I262" t="s">
        <v>60</v>
      </c>
      <c r="J262" t="s">
        <v>60</v>
      </c>
      <c r="K262" t="s">
        <v>60</v>
      </c>
      <c r="L262" t="s">
        <v>12</v>
      </c>
      <c r="M262">
        <v>11.5</v>
      </c>
      <c r="P262">
        <v>40</v>
      </c>
      <c r="Q262" t="s">
        <v>80</v>
      </c>
      <c r="R262" t="s">
        <v>415</v>
      </c>
      <c r="S262" t="s">
        <v>363</v>
      </c>
      <c r="T262" t="s">
        <v>333</v>
      </c>
      <c r="V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Q262">
        <v>182377</v>
      </c>
      <c r="AR262" t="b">
        <v>1</v>
      </c>
      <c r="AS262" t="b">
        <v>1</v>
      </c>
      <c r="AT262" t="b">
        <v>1</v>
      </c>
      <c r="AU262" t="b">
        <v>1</v>
      </c>
      <c r="AV262" t="b">
        <v>1</v>
      </c>
      <c r="AW262" t="b">
        <v>1</v>
      </c>
      <c r="AX262" t="b">
        <v>1</v>
      </c>
      <c r="BA262" t="s">
        <v>438</v>
      </c>
    </row>
    <row r="263" spans="1:53" x14ac:dyDescent="0.25">
      <c r="A263" t="s">
        <v>386</v>
      </c>
      <c r="B263">
        <v>5</v>
      </c>
      <c r="C263">
        <v>36</v>
      </c>
      <c r="D263">
        <v>1</v>
      </c>
      <c r="E263">
        <v>48211090</v>
      </c>
      <c r="F263">
        <v>297276</v>
      </c>
      <c r="G263" t="s">
        <v>317</v>
      </c>
      <c r="H263" t="s">
        <v>60</v>
      </c>
      <c r="I263" t="s">
        <v>60</v>
      </c>
      <c r="J263" t="s">
        <v>60</v>
      </c>
      <c r="K263" t="s">
        <v>60</v>
      </c>
      <c r="L263" t="s">
        <v>12</v>
      </c>
      <c r="M263">
        <v>26</v>
      </c>
      <c r="P263">
        <v>40</v>
      </c>
      <c r="Q263" t="s">
        <v>80</v>
      </c>
      <c r="R263" t="s">
        <v>415</v>
      </c>
      <c r="S263" t="s">
        <v>363</v>
      </c>
      <c r="T263" t="s">
        <v>333</v>
      </c>
      <c r="V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Q263">
        <v>182377</v>
      </c>
      <c r="AR263" t="b">
        <v>1</v>
      </c>
      <c r="AS263" t="b">
        <v>1</v>
      </c>
      <c r="AT263" t="b">
        <v>1</v>
      </c>
      <c r="AU263" t="b">
        <v>1</v>
      </c>
      <c r="AV263" t="b">
        <v>1</v>
      </c>
      <c r="AW263" t="b">
        <v>1</v>
      </c>
      <c r="AX263" t="b">
        <v>1</v>
      </c>
      <c r="BA263" t="s">
        <v>438</v>
      </c>
    </row>
    <row r="264" spans="1:53" x14ac:dyDescent="0.25">
      <c r="A264" t="s">
        <v>386</v>
      </c>
      <c r="B264">
        <v>5</v>
      </c>
      <c r="C264">
        <v>37</v>
      </c>
      <c r="D264">
        <v>1</v>
      </c>
      <c r="E264">
        <v>48211090</v>
      </c>
      <c r="F264">
        <v>297277</v>
      </c>
      <c r="G264" t="s">
        <v>318</v>
      </c>
      <c r="H264" t="s">
        <v>60</v>
      </c>
      <c r="I264" t="s">
        <v>60</v>
      </c>
      <c r="J264" t="s">
        <v>60</v>
      </c>
      <c r="K264" t="s">
        <v>60</v>
      </c>
      <c r="L264" t="s">
        <v>12</v>
      </c>
      <c r="M264">
        <v>19</v>
      </c>
      <c r="P264">
        <v>40</v>
      </c>
      <c r="Q264" t="s">
        <v>80</v>
      </c>
      <c r="R264" t="s">
        <v>415</v>
      </c>
      <c r="S264" t="s">
        <v>363</v>
      </c>
      <c r="T264" t="s">
        <v>333</v>
      </c>
      <c r="V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Q264">
        <v>182377</v>
      </c>
      <c r="AR264" t="b">
        <v>1</v>
      </c>
      <c r="AS264" t="b">
        <v>1</v>
      </c>
      <c r="AT264" t="b">
        <v>1</v>
      </c>
      <c r="AU264" t="b">
        <v>1</v>
      </c>
      <c r="AV264" t="b">
        <v>1</v>
      </c>
      <c r="AW264" t="b">
        <v>1</v>
      </c>
      <c r="AX264" t="b">
        <v>1</v>
      </c>
      <c r="BA264" t="s">
        <v>438</v>
      </c>
    </row>
    <row r="265" spans="1:53" x14ac:dyDescent="0.25">
      <c r="A265" t="s">
        <v>386</v>
      </c>
      <c r="B265">
        <v>5</v>
      </c>
      <c r="C265">
        <v>38</v>
      </c>
      <c r="D265">
        <v>1</v>
      </c>
      <c r="E265">
        <v>48211090</v>
      </c>
      <c r="F265">
        <v>297278</v>
      </c>
      <c r="G265" t="s">
        <v>319</v>
      </c>
      <c r="H265" t="s">
        <v>60</v>
      </c>
      <c r="I265" t="s">
        <v>60</v>
      </c>
      <c r="J265" t="s">
        <v>60</v>
      </c>
      <c r="K265" t="s">
        <v>60</v>
      </c>
      <c r="L265" t="s">
        <v>12</v>
      </c>
      <c r="M265">
        <v>18.5</v>
      </c>
      <c r="P265">
        <v>40</v>
      </c>
      <c r="Q265" t="s">
        <v>80</v>
      </c>
      <c r="R265" t="s">
        <v>415</v>
      </c>
      <c r="S265" t="s">
        <v>363</v>
      </c>
      <c r="T265" t="s">
        <v>333</v>
      </c>
      <c r="V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Q265">
        <v>182377</v>
      </c>
      <c r="AR265" t="b">
        <v>1</v>
      </c>
      <c r="AS265" t="b">
        <v>1</v>
      </c>
      <c r="AT265" t="b">
        <v>1</v>
      </c>
      <c r="AU265" t="b">
        <v>1</v>
      </c>
      <c r="AV265" t="b">
        <v>1</v>
      </c>
      <c r="AW265" t="b">
        <v>1</v>
      </c>
      <c r="AX265" t="b">
        <v>1</v>
      </c>
      <c r="BA265" t="s">
        <v>438</v>
      </c>
    </row>
    <row r="266" spans="1:53" x14ac:dyDescent="0.25">
      <c r="A266" t="s">
        <v>386</v>
      </c>
      <c r="B266">
        <v>7</v>
      </c>
      <c r="C266">
        <v>1</v>
      </c>
      <c r="D266">
        <v>1</v>
      </c>
      <c r="E266">
        <v>52081900</v>
      </c>
      <c r="F266">
        <v>274799</v>
      </c>
      <c r="G266" t="s">
        <v>311</v>
      </c>
      <c r="H266" t="s">
        <v>60</v>
      </c>
      <c r="I266" t="s">
        <v>60</v>
      </c>
      <c r="J266" t="s">
        <v>60</v>
      </c>
      <c r="K266" t="s">
        <v>60</v>
      </c>
      <c r="L266" t="s">
        <v>27</v>
      </c>
      <c r="M266">
        <v>6.6749999999999998</v>
      </c>
      <c r="P266">
        <v>40</v>
      </c>
      <c r="Q266" t="s">
        <v>80</v>
      </c>
      <c r="R266" t="s">
        <v>409</v>
      </c>
      <c r="S266" t="s">
        <v>358</v>
      </c>
      <c r="T266" t="s">
        <v>327</v>
      </c>
      <c r="V266">
        <v>0</v>
      </c>
      <c r="Y266">
        <v>0</v>
      </c>
      <c r="Z266">
        <v>0</v>
      </c>
      <c r="AA266">
        <v>0</v>
      </c>
      <c r="AB266">
        <v>1601472.41</v>
      </c>
      <c r="AC266">
        <v>0</v>
      </c>
      <c r="AD266">
        <v>0</v>
      </c>
      <c r="AE266">
        <v>0</v>
      </c>
      <c r="AQ266">
        <v>182378</v>
      </c>
      <c r="AR266" t="b">
        <v>1</v>
      </c>
      <c r="AS266" t="b">
        <v>1</v>
      </c>
      <c r="AT266" t="b">
        <v>1</v>
      </c>
      <c r="AU266" t="b">
        <v>1</v>
      </c>
      <c r="AV266" t="b">
        <v>1</v>
      </c>
      <c r="AW266" t="b">
        <v>1</v>
      </c>
      <c r="AX266" t="b">
        <v>1</v>
      </c>
      <c r="BA266" t="s">
        <v>439</v>
      </c>
    </row>
    <row r="267" spans="1:53" x14ac:dyDescent="0.25">
      <c r="A267" t="s">
        <v>386</v>
      </c>
      <c r="B267">
        <v>7</v>
      </c>
      <c r="C267">
        <v>2</v>
      </c>
      <c r="D267">
        <v>1</v>
      </c>
      <c r="E267">
        <v>52081900</v>
      </c>
      <c r="F267">
        <v>275340</v>
      </c>
      <c r="G267" t="s">
        <v>312</v>
      </c>
      <c r="H267" t="s">
        <v>60</v>
      </c>
      <c r="I267" t="s">
        <v>60</v>
      </c>
      <c r="J267" t="s">
        <v>60</v>
      </c>
      <c r="K267" t="s">
        <v>60</v>
      </c>
      <c r="L267" t="s">
        <v>27</v>
      </c>
      <c r="M267">
        <v>6.6749999999999998</v>
      </c>
      <c r="P267">
        <v>40</v>
      </c>
      <c r="Q267" t="s">
        <v>80</v>
      </c>
      <c r="R267" t="s">
        <v>429</v>
      </c>
      <c r="S267" t="s">
        <v>376</v>
      </c>
      <c r="T267" t="s">
        <v>347</v>
      </c>
      <c r="V267">
        <v>0</v>
      </c>
      <c r="Y267">
        <v>0</v>
      </c>
      <c r="Z267">
        <v>0</v>
      </c>
      <c r="AA267">
        <v>0</v>
      </c>
      <c r="AB267">
        <v>1601472.41</v>
      </c>
      <c r="AC267">
        <v>0</v>
      </c>
      <c r="AD267">
        <v>0</v>
      </c>
      <c r="AE267">
        <v>0</v>
      </c>
      <c r="AQ267">
        <v>182378</v>
      </c>
      <c r="AR267" t="b">
        <v>1</v>
      </c>
      <c r="AS267" t="b">
        <v>1</v>
      </c>
      <c r="AT267" t="b">
        <v>1</v>
      </c>
      <c r="AU267" t="b">
        <v>1</v>
      </c>
      <c r="AV267" t="b">
        <v>1</v>
      </c>
      <c r="AW267" t="b">
        <v>1</v>
      </c>
      <c r="AX267" t="b">
        <v>1</v>
      </c>
      <c r="BA267" t="s">
        <v>439</v>
      </c>
    </row>
    <row r="268" spans="1:53" x14ac:dyDescent="0.25">
      <c r="A268" t="s">
        <v>386</v>
      </c>
      <c r="B268">
        <v>7</v>
      </c>
      <c r="C268">
        <v>3</v>
      </c>
      <c r="D268">
        <v>1</v>
      </c>
      <c r="E268">
        <v>56039200</v>
      </c>
      <c r="F268">
        <v>267890</v>
      </c>
      <c r="G268" t="s">
        <v>323</v>
      </c>
      <c r="H268" t="s">
        <v>60</v>
      </c>
      <c r="I268" t="s">
        <v>60</v>
      </c>
      <c r="J268" t="s">
        <v>60</v>
      </c>
      <c r="K268" t="s">
        <v>60</v>
      </c>
      <c r="L268" t="s">
        <v>11</v>
      </c>
      <c r="M268">
        <v>4.2</v>
      </c>
      <c r="P268">
        <v>40</v>
      </c>
      <c r="Q268" t="s">
        <v>80</v>
      </c>
      <c r="R268" t="s">
        <v>430</v>
      </c>
      <c r="S268" t="s">
        <v>377</v>
      </c>
      <c r="T268" t="s">
        <v>348</v>
      </c>
      <c r="V268">
        <v>0</v>
      </c>
      <c r="Y268">
        <v>0</v>
      </c>
      <c r="Z268">
        <v>0</v>
      </c>
      <c r="AA268">
        <v>0</v>
      </c>
      <c r="AB268">
        <v>24832.16</v>
      </c>
      <c r="AC268">
        <v>0</v>
      </c>
      <c r="AD268">
        <v>0</v>
      </c>
      <c r="AE268">
        <v>0</v>
      </c>
      <c r="AQ268">
        <v>182378</v>
      </c>
      <c r="AR268" t="b">
        <v>1</v>
      </c>
      <c r="AS268" t="b">
        <v>1</v>
      </c>
      <c r="AT268" t="b">
        <v>1</v>
      </c>
      <c r="AU268" t="b">
        <v>1</v>
      </c>
      <c r="AV268" t="b">
        <v>1</v>
      </c>
      <c r="AW268" t="b">
        <v>1</v>
      </c>
      <c r="AX268" t="b">
        <v>1</v>
      </c>
      <c r="BA268" t="s">
        <v>439</v>
      </c>
    </row>
    <row r="269" spans="1:53" x14ac:dyDescent="0.25">
      <c r="A269" t="s">
        <v>386</v>
      </c>
      <c r="B269">
        <v>7</v>
      </c>
      <c r="C269">
        <v>4</v>
      </c>
      <c r="D269">
        <v>1</v>
      </c>
      <c r="E269">
        <v>96062100</v>
      </c>
      <c r="F269">
        <v>270819</v>
      </c>
      <c r="G269" t="s">
        <v>324</v>
      </c>
      <c r="H269" t="s">
        <v>60</v>
      </c>
      <c r="I269" t="s">
        <v>60</v>
      </c>
      <c r="J269" t="s">
        <v>60</v>
      </c>
      <c r="K269" t="s">
        <v>60</v>
      </c>
      <c r="L269" t="s">
        <v>12</v>
      </c>
      <c r="M269">
        <v>276.5</v>
      </c>
      <c r="P269">
        <v>40</v>
      </c>
      <c r="Q269" t="s">
        <v>80</v>
      </c>
      <c r="R269" t="s">
        <v>431</v>
      </c>
      <c r="S269" t="s">
        <v>378</v>
      </c>
      <c r="T269" t="s">
        <v>349</v>
      </c>
      <c r="V269">
        <v>0</v>
      </c>
      <c r="Y269">
        <v>0</v>
      </c>
      <c r="Z269">
        <v>0</v>
      </c>
      <c r="AA269">
        <v>0</v>
      </c>
      <c r="AB269">
        <v>52535</v>
      </c>
      <c r="AC269">
        <v>0</v>
      </c>
      <c r="AD269">
        <v>0</v>
      </c>
      <c r="AE269">
        <v>0</v>
      </c>
      <c r="AQ269">
        <v>182378</v>
      </c>
      <c r="AR269" t="b">
        <v>1</v>
      </c>
      <c r="AS269" t="b">
        <v>1</v>
      </c>
      <c r="AT269" t="b">
        <v>1</v>
      </c>
      <c r="AU269" t="b">
        <v>1</v>
      </c>
      <c r="AV269" t="b">
        <v>1</v>
      </c>
      <c r="AW269" t="b">
        <v>1</v>
      </c>
      <c r="AX269" t="b">
        <v>1</v>
      </c>
      <c r="BA269" t="s">
        <v>439</v>
      </c>
    </row>
    <row r="270" spans="1:53" x14ac:dyDescent="0.25">
      <c r="A270" t="s">
        <v>386</v>
      </c>
      <c r="B270">
        <v>7</v>
      </c>
      <c r="C270">
        <v>5</v>
      </c>
      <c r="D270">
        <v>1</v>
      </c>
      <c r="E270">
        <v>96062100</v>
      </c>
      <c r="F270">
        <v>270819</v>
      </c>
      <c r="G270" t="s">
        <v>324</v>
      </c>
      <c r="H270" t="s">
        <v>60</v>
      </c>
      <c r="I270" t="s">
        <v>60</v>
      </c>
      <c r="J270" t="s">
        <v>60</v>
      </c>
      <c r="K270" t="s">
        <v>60</v>
      </c>
      <c r="L270" t="s">
        <v>12</v>
      </c>
      <c r="M270">
        <v>504.5</v>
      </c>
      <c r="P270">
        <v>40</v>
      </c>
      <c r="Q270" t="s">
        <v>80</v>
      </c>
      <c r="R270" t="s">
        <v>432</v>
      </c>
      <c r="S270" t="s">
        <v>379</v>
      </c>
      <c r="T270" t="s">
        <v>350</v>
      </c>
      <c r="V270">
        <v>0</v>
      </c>
      <c r="Y270">
        <v>0</v>
      </c>
      <c r="Z270">
        <v>0</v>
      </c>
      <c r="AA270">
        <v>0</v>
      </c>
      <c r="AB270">
        <v>95855</v>
      </c>
      <c r="AC270">
        <v>0</v>
      </c>
      <c r="AD270">
        <v>0</v>
      </c>
      <c r="AE270">
        <v>0</v>
      </c>
      <c r="AQ270">
        <v>182378</v>
      </c>
      <c r="AR270" t="b">
        <v>1</v>
      </c>
      <c r="AS270" t="b">
        <v>1</v>
      </c>
      <c r="AT270" t="b">
        <v>1</v>
      </c>
      <c r="AU270" t="b">
        <v>1</v>
      </c>
      <c r="AV270" t="b">
        <v>1</v>
      </c>
      <c r="AW270" t="b">
        <v>1</v>
      </c>
      <c r="AX270" t="b">
        <v>1</v>
      </c>
      <c r="BA270" t="s">
        <v>439</v>
      </c>
    </row>
    <row r="271" spans="1:53" x14ac:dyDescent="0.25">
      <c r="A271" t="s">
        <v>386</v>
      </c>
      <c r="B271">
        <v>7</v>
      </c>
      <c r="C271">
        <v>6</v>
      </c>
      <c r="D271">
        <v>1</v>
      </c>
      <c r="E271">
        <v>96062100</v>
      </c>
      <c r="F271">
        <v>270819</v>
      </c>
      <c r="G271" t="s">
        <v>324</v>
      </c>
      <c r="H271" t="s">
        <v>60</v>
      </c>
      <c r="I271" t="s">
        <v>60</v>
      </c>
      <c r="J271" t="s">
        <v>60</v>
      </c>
      <c r="K271" t="s">
        <v>60</v>
      </c>
      <c r="L271" t="s">
        <v>12</v>
      </c>
      <c r="M271">
        <v>269</v>
      </c>
      <c r="P271">
        <v>40</v>
      </c>
      <c r="Q271" t="s">
        <v>80</v>
      </c>
      <c r="R271" t="s">
        <v>433</v>
      </c>
      <c r="S271" t="s">
        <v>380</v>
      </c>
      <c r="T271" t="s">
        <v>351</v>
      </c>
      <c r="V271">
        <v>0</v>
      </c>
      <c r="Y271">
        <v>0</v>
      </c>
      <c r="Z271">
        <v>0</v>
      </c>
      <c r="AA271">
        <v>0</v>
      </c>
      <c r="AB271">
        <v>51110</v>
      </c>
      <c r="AC271">
        <v>0</v>
      </c>
      <c r="AD271">
        <v>0</v>
      </c>
      <c r="AE271">
        <v>0</v>
      </c>
      <c r="AQ271">
        <v>182378</v>
      </c>
      <c r="AR271" t="b">
        <v>1</v>
      </c>
      <c r="AS271" t="b">
        <v>1</v>
      </c>
      <c r="AT271" t="b">
        <v>1</v>
      </c>
      <c r="AU271" t="b">
        <v>1</v>
      </c>
      <c r="AV271" t="b">
        <v>1</v>
      </c>
      <c r="AW271" t="b">
        <v>1</v>
      </c>
      <c r="AX271" t="b">
        <v>1</v>
      </c>
      <c r="BA271" t="s">
        <v>439</v>
      </c>
    </row>
    <row r="272" spans="1:53" x14ac:dyDescent="0.25">
      <c r="A272" t="s">
        <v>386</v>
      </c>
      <c r="B272">
        <v>7</v>
      </c>
      <c r="C272">
        <v>7</v>
      </c>
      <c r="D272">
        <v>1</v>
      </c>
      <c r="E272">
        <v>39191020</v>
      </c>
      <c r="F272">
        <v>273158</v>
      </c>
      <c r="G272" t="s">
        <v>325</v>
      </c>
      <c r="H272" t="s">
        <v>60</v>
      </c>
      <c r="I272" t="s">
        <v>60</v>
      </c>
      <c r="J272" t="s">
        <v>60</v>
      </c>
      <c r="K272" t="s">
        <v>60</v>
      </c>
      <c r="L272" t="s">
        <v>27</v>
      </c>
      <c r="M272">
        <v>32.369999999999997</v>
      </c>
      <c r="P272">
        <v>40</v>
      </c>
      <c r="Q272" t="s">
        <v>80</v>
      </c>
      <c r="R272" t="s">
        <v>434</v>
      </c>
      <c r="S272" t="s">
        <v>381</v>
      </c>
      <c r="T272" t="s">
        <v>352</v>
      </c>
      <c r="V272">
        <v>0</v>
      </c>
      <c r="Y272">
        <v>0</v>
      </c>
      <c r="Z272">
        <v>0</v>
      </c>
      <c r="AA272">
        <v>0</v>
      </c>
      <c r="AB272">
        <v>9711000</v>
      </c>
      <c r="AC272">
        <v>0</v>
      </c>
      <c r="AD272">
        <v>0</v>
      </c>
      <c r="AE272">
        <v>0</v>
      </c>
      <c r="AQ272">
        <v>182378</v>
      </c>
      <c r="AR272" t="b">
        <v>1</v>
      </c>
      <c r="AS272" t="b">
        <v>1</v>
      </c>
      <c r="AT272" t="b">
        <v>1</v>
      </c>
      <c r="AU272" t="b">
        <v>1</v>
      </c>
      <c r="AV272" t="b">
        <v>1</v>
      </c>
      <c r="AW272" t="b">
        <v>1</v>
      </c>
      <c r="AX272" t="b">
        <v>1</v>
      </c>
      <c r="BA272" t="s">
        <v>439</v>
      </c>
    </row>
    <row r="273" spans="1:53" x14ac:dyDescent="0.25">
      <c r="A273" t="s">
        <v>386</v>
      </c>
      <c r="B273">
        <v>7</v>
      </c>
      <c r="C273">
        <v>8</v>
      </c>
      <c r="D273">
        <v>1</v>
      </c>
      <c r="E273">
        <v>48211090</v>
      </c>
      <c r="F273">
        <v>297274</v>
      </c>
      <c r="G273" t="s">
        <v>315</v>
      </c>
      <c r="H273" t="s">
        <v>60</v>
      </c>
      <c r="I273" t="s">
        <v>60</v>
      </c>
      <c r="J273" t="s">
        <v>60</v>
      </c>
      <c r="K273" t="s">
        <v>60</v>
      </c>
      <c r="L273" t="s">
        <v>12</v>
      </c>
      <c r="M273">
        <v>150</v>
      </c>
      <c r="P273">
        <v>40</v>
      </c>
      <c r="Q273" t="s">
        <v>80</v>
      </c>
      <c r="R273" t="s">
        <v>415</v>
      </c>
      <c r="S273" t="s">
        <v>363</v>
      </c>
      <c r="T273" t="s">
        <v>333</v>
      </c>
      <c r="V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Q273">
        <v>182378</v>
      </c>
      <c r="AR273" t="b">
        <v>1</v>
      </c>
      <c r="AS273" t="b">
        <v>1</v>
      </c>
      <c r="AT273" t="b">
        <v>1</v>
      </c>
      <c r="AU273" t="b">
        <v>1</v>
      </c>
      <c r="AV273" t="b">
        <v>1</v>
      </c>
      <c r="AW273" t="b">
        <v>1</v>
      </c>
      <c r="AX273" t="b">
        <v>1</v>
      </c>
      <c r="BA273" t="s">
        <v>439</v>
      </c>
    </row>
    <row r="274" spans="1:53" x14ac:dyDescent="0.25">
      <c r="A274" t="s">
        <v>386</v>
      </c>
      <c r="B274">
        <v>7</v>
      </c>
      <c r="C274">
        <v>9</v>
      </c>
      <c r="D274">
        <v>1</v>
      </c>
      <c r="E274">
        <v>48211090</v>
      </c>
      <c r="F274">
        <v>297275</v>
      </c>
      <c r="G274" t="s">
        <v>316</v>
      </c>
      <c r="H274" t="s">
        <v>60</v>
      </c>
      <c r="I274" t="s">
        <v>60</v>
      </c>
      <c r="J274" t="s">
        <v>60</v>
      </c>
      <c r="K274" t="s">
        <v>60</v>
      </c>
      <c r="L274" t="s">
        <v>12</v>
      </c>
      <c r="M274">
        <v>23</v>
      </c>
      <c r="P274">
        <v>40</v>
      </c>
      <c r="Q274" t="s">
        <v>80</v>
      </c>
      <c r="R274" t="s">
        <v>415</v>
      </c>
      <c r="S274" t="s">
        <v>363</v>
      </c>
      <c r="T274" t="s">
        <v>333</v>
      </c>
      <c r="V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Q274">
        <v>182378</v>
      </c>
      <c r="AR274" t="b">
        <v>1</v>
      </c>
      <c r="AS274" t="b">
        <v>1</v>
      </c>
      <c r="AT274" t="b">
        <v>1</v>
      </c>
      <c r="AU274" t="b">
        <v>1</v>
      </c>
      <c r="AV274" t="b">
        <v>1</v>
      </c>
      <c r="AW274" t="b">
        <v>1</v>
      </c>
      <c r="AX274" t="b">
        <v>1</v>
      </c>
      <c r="BA274" t="s">
        <v>439</v>
      </c>
    </row>
    <row r="275" spans="1:53" x14ac:dyDescent="0.25">
      <c r="A275" t="s">
        <v>386</v>
      </c>
      <c r="B275">
        <v>7</v>
      </c>
      <c r="C275">
        <v>10</v>
      </c>
      <c r="D275">
        <v>1</v>
      </c>
      <c r="E275">
        <v>48211090</v>
      </c>
      <c r="F275">
        <v>297276</v>
      </c>
      <c r="G275" t="s">
        <v>317</v>
      </c>
      <c r="H275" t="s">
        <v>60</v>
      </c>
      <c r="I275" t="s">
        <v>60</v>
      </c>
      <c r="J275" t="s">
        <v>60</v>
      </c>
      <c r="K275" t="s">
        <v>60</v>
      </c>
      <c r="L275" t="s">
        <v>12</v>
      </c>
      <c r="M275">
        <v>52</v>
      </c>
      <c r="P275">
        <v>40</v>
      </c>
      <c r="Q275" t="s">
        <v>80</v>
      </c>
      <c r="R275" t="s">
        <v>415</v>
      </c>
      <c r="S275" t="s">
        <v>363</v>
      </c>
      <c r="T275" t="s">
        <v>333</v>
      </c>
      <c r="V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Q275">
        <v>182378</v>
      </c>
      <c r="AR275" t="b">
        <v>1</v>
      </c>
      <c r="AS275" t="b">
        <v>1</v>
      </c>
      <c r="AT275" t="b">
        <v>1</v>
      </c>
      <c r="AU275" t="b">
        <v>1</v>
      </c>
      <c r="AV275" t="b">
        <v>1</v>
      </c>
      <c r="AW275" t="b">
        <v>1</v>
      </c>
      <c r="AX275" t="b">
        <v>1</v>
      </c>
      <c r="BA275" t="s">
        <v>439</v>
      </c>
    </row>
    <row r="276" spans="1:53" x14ac:dyDescent="0.25">
      <c r="A276" t="s">
        <v>386</v>
      </c>
      <c r="B276">
        <v>7</v>
      </c>
      <c r="C276">
        <v>11</v>
      </c>
      <c r="D276">
        <v>1</v>
      </c>
      <c r="E276">
        <v>48211090</v>
      </c>
      <c r="F276">
        <v>297277</v>
      </c>
      <c r="G276" t="s">
        <v>318</v>
      </c>
      <c r="H276" t="s">
        <v>60</v>
      </c>
      <c r="I276" t="s">
        <v>60</v>
      </c>
      <c r="J276" t="s">
        <v>60</v>
      </c>
      <c r="K276" t="s">
        <v>60</v>
      </c>
      <c r="L276" t="s">
        <v>12</v>
      </c>
      <c r="M276">
        <v>38</v>
      </c>
      <c r="P276">
        <v>40</v>
      </c>
      <c r="Q276" t="s">
        <v>80</v>
      </c>
      <c r="R276" t="s">
        <v>415</v>
      </c>
      <c r="S276" t="s">
        <v>363</v>
      </c>
      <c r="T276" t="s">
        <v>333</v>
      </c>
      <c r="V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Q276">
        <v>182378</v>
      </c>
      <c r="AR276" t="b">
        <v>1</v>
      </c>
      <c r="AS276" t="b">
        <v>1</v>
      </c>
      <c r="AT276" t="b">
        <v>1</v>
      </c>
      <c r="AU276" t="b">
        <v>1</v>
      </c>
      <c r="AV276" t="b">
        <v>1</v>
      </c>
      <c r="AW276" t="b">
        <v>1</v>
      </c>
      <c r="AX276" t="b">
        <v>1</v>
      </c>
      <c r="BA276" t="s">
        <v>439</v>
      </c>
    </row>
    <row r="277" spans="1:53" x14ac:dyDescent="0.25">
      <c r="A277" t="s">
        <v>386</v>
      </c>
      <c r="B277">
        <v>7</v>
      </c>
      <c r="C277">
        <v>12</v>
      </c>
      <c r="D277">
        <v>1</v>
      </c>
      <c r="E277">
        <v>48211090</v>
      </c>
      <c r="F277">
        <v>297278</v>
      </c>
      <c r="G277" t="s">
        <v>319</v>
      </c>
      <c r="H277" t="s">
        <v>60</v>
      </c>
      <c r="I277" t="s">
        <v>60</v>
      </c>
      <c r="J277" t="s">
        <v>60</v>
      </c>
      <c r="K277" t="s">
        <v>60</v>
      </c>
      <c r="L277" t="s">
        <v>12</v>
      </c>
      <c r="M277">
        <v>37</v>
      </c>
      <c r="P277">
        <v>40</v>
      </c>
      <c r="Q277" t="s">
        <v>80</v>
      </c>
      <c r="R277" t="s">
        <v>415</v>
      </c>
      <c r="S277" t="s">
        <v>363</v>
      </c>
      <c r="T277" t="s">
        <v>333</v>
      </c>
      <c r="V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Q277">
        <v>182378</v>
      </c>
      <c r="AR277" t="b">
        <v>1</v>
      </c>
      <c r="AS277" t="b">
        <v>1</v>
      </c>
      <c r="AT277" t="b">
        <v>1</v>
      </c>
      <c r="AU277" t="b">
        <v>1</v>
      </c>
      <c r="AV277" t="b">
        <v>1</v>
      </c>
      <c r="AW277" t="b">
        <v>1</v>
      </c>
      <c r="AX277" t="b">
        <v>1</v>
      </c>
      <c r="BA277" t="s">
        <v>439</v>
      </c>
    </row>
    <row r="278" spans="1:53" x14ac:dyDescent="0.25">
      <c r="A278" t="s">
        <v>386</v>
      </c>
      <c r="B278">
        <v>7</v>
      </c>
      <c r="C278">
        <v>13</v>
      </c>
      <c r="D278">
        <v>1</v>
      </c>
      <c r="E278">
        <v>52081900</v>
      </c>
      <c r="F278">
        <v>274799</v>
      </c>
      <c r="G278" t="s">
        <v>311</v>
      </c>
      <c r="H278" t="s">
        <v>60</v>
      </c>
      <c r="I278" t="s">
        <v>60</v>
      </c>
      <c r="J278" t="s">
        <v>60</v>
      </c>
      <c r="K278" t="s">
        <v>60</v>
      </c>
      <c r="L278" t="s">
        <v>27</v>
      </c>
      <c r="M278">
        <v>3.3374999999999999</v>
      </c>
      <c r="P278">
        <v>40</v>
      </c>
      <c r="Q278" t="s">
        <v>80</v>
      </c>
      <c r="R278" t="s">
        <v>409</v>
      </c>
      <c r="S278" t="s">
        <v>358</v>
      </c>
      <c r="T278" t="s">
        <v>327</v>
      </c>
      <c r="V278">
        <v>0</v>
      </c>
      <c r="Y278">
        <v>0</v>
      </c>
      <c r="Z278">
        <v>0</v>
      </c>
      <c r="AA278">
        <v>0</v>
      </c>
      <c r="AB278">
        <v>1601472.41</v>
      </c>
      <c r="AC278">
        <v>0</v>
      </c>
      <c r="AD278">
        <v>0</v>
      </c>
      <c r="AE278">
        <v>0</v>
      </c>
      <c r="AQ278">
        <v>182378</v>
      </c>
      <c r="AR278" t="b">
        <v>1</v>
      </c>
      <c r="AS278" t="b">
        <v>1</v>
      </c>
      <c r="AT278" t="b">
        <v>1</v>
      </c>
      <c r="AU278" t="b">
        <v>1</v>
      </c>
      <c r="AV278" t="b">
        <v>1</v>
      </c>
      <c r="AW278" t="b">
        <v>1</v>
      </c>
      <c r="AX278" t="b">
        <v>1</v>
      </c>
      <c r="BA278" t="s">
        <v>439</v>
      </c>
    </row>
    <row r="279" spans="1:53" x14ac:dyDescent="0.25">
      <c r="A279" t="s">
        <v>386</v>
      </c>
      <c r="B279">
        <v>7</v>
      </c>
      <c r="C279">
        <v>14</v>
      </c>
      <c r="D279">
        <v>1</v>
      </c>
      <c r="E279">
        <v>52081900</v>
      </c>
      <c r="F279">
        <v>275340</v>
      </c>
      <c r="G279" t="s">
        <v>312</v>
      </c>
      <c r="H279" t="s">
        <v>60</v>
      </c>
      <c r="I279" t="s">
        <v>60</v>
      </c>
      <c r="J279" t="s">
        <v>60</v>
      </c>
      <c r="K279" t="s">
        <v>60</v>
      </c>
      <c r="L279" t="s">
        <v>27</v>
      </c>
      <c r="M279">
        <v>3.3374999999999999</v>
      </c>
      <c r="P279">
        <v>40</v>
      </c>
      <c r="Q279" t="s">
        <v>80</v>
      </c>
      <c r="R279" t="s">
        <v>429</v>
      </c>
      <c r="S279" t="s">
        <v>376</v>
      </c>
      <c r="T279" t="s">
        <v>347</v>
      </c>
      <c r="V279">
        <v>0</v>
      </c>
      <c r="Y279">
        <v>0</v>
      </c>
      <c r="Z279">
        <v>0</v>
      </c>
      <c r="AA279">
        <v>0</v>
      </c>
      <c r="AB279">
        <v>1601472.41</v>
      </c>
      <c r="AC279">
        <v>0</v>
      </c>
      <c r="AD279">
        <v>0</v>
      </c>
      <c r="AE279">
        <v>0</v>
      </c>
      <c r="AQ279">
        <v>182378</v>
      </c>
      <c r="AR279" t="b">
        <v>1</v>
      </c>
      <c r="AS279" t="b">
        <v>1</v>
      </c>
      <c r="AT279" t="b">
        <v>1</v>
      </c>
      <c r="AU279" t="b">
        <v>1</v>
      </c>
      <c r="AV279" t="b">
        <v>1</v>
      </c>
      <c r="AW279" t="b">
        <v>1</v>
      </c>
      <c r="AX279" t="b">
        <v>1</v>
      </c>
      <c r="BA279" t="s">
        <v>439</v>
      </c>
    </row>
    <row r="280" spans="1:53" x14ac:dyDescent="0.25">
      <c r="A280" t="s">
        <v>386</v>
      </c>
      <c r="B280">
        <v>7</v>
      </c>
      <c r="C280">
        <v>15</v>
      </c>
      <c r="D280">
        <v>1</v>
      </c>
      <c r="E280">
        <v>56039200</v>
      </c>
      <c r="F280">
        <v>267890</v>
      </c>
      <c r="G280" t="s">
        <v>323</v>
      </c>
      <c r="H280" t="s">
        <v>60</v>
      </c>
      <c r="I280" t="s">
        <v>60</v>
      </c>
      <c r="J280" t="s">
        <v>60</v>
      </c>
      <c r="K280" t="s">
        <v>60</v>
      </c>
      <c r="L280" t="s">
        <v>11</v>
      </c>
      <c r="M280">
        <v>2.1</v>
      </c>
      <c r="P280">
        <v>40</v>
      </c>
      <c r="Q280" t="s">
        <v>80</v>
      </c>
      <c r="R280" t="s">
        <v>430</v>
      </c>
      <c r="S280" t="s">
        <v>377</v>
      </c>
      <c r="T280" t="s">
        <v>348</v>
      </c>
      <c r="V280">
        <v>0</v>
      </c>
      <c r="Y280">
        <v>0</v>
      </c>
      <c r="Z280">
        <v>0</v>
      </c>
      <c r="AA280">
        <v>0</v>
      </c>
      <c r="AB280">
        <v>24832.16</v>
      </c>
      <c r="AC280">
        <v>0</v>
      </c>
      <c r="AD280">
        <v>0</v>
      </c>
      <c r="AE280">
        <v>0</v>
      </c>
      <c r="AQ280">
        <v>182378</v>
      </c>
      <c r="AR280" t="b">
        <v>1</v>
      </c>
      <c r="AS280" t="b">
        <v>1</v>
      </c>
      <c r="AT280" t="b">
        <v>1</v>
      </c>
      <c r="AU280" t="b">
        <v>1</v>
      </c>
      <c r="AV280" t="b">
        <v>1</v>
      </c>
      <c r="AW280" t="b">
        <v>1</v>
      </c>
      <c r="AX280" t="b">
        <v>1</v>
      </c>
      <c r="BA280" t="s">
        <v>439</v>
      </c>
    </row>
    <row r="281" spans="1:53" x14ac:dyDescent="0.25">
      <c r="A281" t="s">
        <v>386</v>
      </c>
      <c r="B281">
        <v>7</v>
      </c>
      <c r="C281">
        <v>16</v>
      </c>
      <c r="D281">
        <v>1</v>
      </c>
      <c r="E281">
        <v>96062100</v>
      </c>
      <c r="F281">
        <v>270819</v>
      </c>
      <c r="G281" t="s">
        <v>324</v>
      </c>
      <c r="H281" t="s">
        <v>60</v>
      </c>
      <c r="I281" t="s">
        <v>60</v>
      </c>
      <c r="J281" t="s">
        <v>60</v>
      </c>
      <c r="K281" t="s">
        <v>60</v>
      </c>
      <c r="L281" t="s">
        <v>12</v>
      </c>
      <c r="M281">
        <v>138.25</v>
      </c>
      <c r="P281">
        <v>40</v>
      </c>
      <c r="Q281" t="s">
        <v>80</v>
      </c>
      <c r="R281" t="s">
        <v>431</v>
      </c>
      <c r="S281" t="s">
        <v>378</v>
      </c>
      <c r="T281" t="s">
        <v>349</v>
      </c>
      <c r="V281">
        <v>0</v>
      </c>
      <c r="Y281">
        <v>0</v>
      </c>
      <c r="Z281">
        <v>0</v>
      </c>
      <c r="AA281">
        <v>0</v>
      </c>
      <c r="AB281">
        <v>52535</v>
      </c>
      <c r="AC281">
        <v>0</v>
      </c>
      <c r="AD281">
        <v>0</v>
      </c>
      <c r="AE281">
        <v>0</v>
      </c>
      <c r="AQ281">
        <v>182378</v>
      </c>
      <c r="AR281" t="b">
        <v>1</v>
      </c>
      <c r="AS281" t="b">
        <v>1</v>
      </c>
      <c r="AT281" t="b">
        <v>1</v>
      </c>
      <c r="AU281" t="b">
        <v>1</v>
      </c>
      <c r="AV281" t="b">
        <v>1</v>
      </c>
      <c r="AW281" t="b">
        <v>1</v>
      </c>
      <c r="AX281" t="b">
        <v>1</v>
      </c>
      <c r="BA281" t="s">
        <v>439</v>
      </c>
    </row>
    <row r="282" spans="1:53" x14ac:dyDescent="0.25">
      <c r="A282" t="s">
        <v>386</v>
      </c>
      <c r="B282">
        <v>7</v>
      </c>
      <c r="C282">
        <v>17</v>
      </c>
      <c r="D282">
        <v>1</v>
      </c>
      <c r="E282">
        <v>96062100</v>
      </c>
      <c r="F282">
        <v>270819</v>
      </c>
      <c r="G282" t="s">
        <v>324</v>
      </c>
      <c r="H282" t="s">
        <v>60</v>
      </c>
      <c r="I282" t="s">
        <v>60</v>
      </c>
      <c r="J282" t="s">
        <v>60</v>
      </c>
      <c r="K282" t="s">
        <v>60</v>
      </c>
      <c r="L282" t="s">
        <v>12</v>
      </c>
      <c r="M282">
        <v>252.25</v>
      </c>
      <c r="P282">
        <v>40</v>
      </c>
      <c r="Q282" t="s">
        <v>80</v>
      </c>
      <c r="R282" t="s">
        <v>432</v>
      </c>
      <c r="S282" t="s">
        <v>379</v>
      </c>
      <c r="T282" t="s">
        <v>350</v>
      </c>
      <c r="V282">
        <v>0</v>
      </c>
      <c r="Y282">
        <v>0</v>
      </c>
      <c r="Z282">
        <v>0</v>
      </c>
      <c r="AA282">
        <v>0</v>
      </c>
      <c r="AB282">
        <v>95855</v>
      </c>
      <c r="AC282">
        <v>0</v>
      </c>
      <c r="AD282">
        <v>0</v>
      </c>
      <c r="AE282">
        <v>0</v>
      </c>
      <c r="AQ282">
        <v>182378</v>
      </c>
      <c r="AR282" t="b">
        <v>1</v>
      </c>
      <c r="AS282" t="b">
        <v>1</v>
      </c>
      <c r="AT282" t="b">
        <v>1</v>
      </c>
      <c r="AU282" t="b">
        <v>1</v>
      </c>
      <c r="AV282" t="b">
        <v>1</v>
      </c>
      <c r="AW282" t="b">
        <v>1</v>
      </c>
      <c r="AX282" t="b">
        <v>1</v>
      </c>
      <c r="BA282" t="s">
        <v>439</v>
      </c>
    </row>
    <row r="283" spans="1:53" x14ac:dyDescent="0.25">
      <c r="A283" t="s">
        <v>386</v>
      </c>
      <c r="B283">
        <v>7</v>
      </c>
      <c r="C283">
        <v>18</v>
      </c>
      <c r="D283">
        <v>1</v>
      </c>
      <c r="E283">
        <v>96062100</v>
      </c>
      <c r="F283">
        <v>270819</v>
      </c>
      <c r="G283" t="s">
        <v>324</v>
      </c>
      <c r="H283" t="s">
        <v>60</v>
      </c>
      <c r="I283" t="s">
        <v>60</v>
      </c>
      <c r="J283" t="s">
        <v>60</v>
      </c>
      <c r="K283" t="s">
        <v>60</v>
      </c>
      <c r="L283" t="s">
        <v>12</v>
      </c>
      <c r="M283">
        <v>134.5</v>
      </c>
      <c r="P283">
        <v>40</v>
      </c>
      <c r="Q283" t="s">
        <v>80</v>
      </c>
      <c r="R283" t="s">
        <v>433</v>
      </c>
      <c r="S283" t="s">
        <v>380</v>
      </c>
      <c r="T283" t="s">
        <v>351</v>
      </c>
      <c r="V283">
        <v>0</v>
      </c>
      <c r="Y283">
        <v>0</v>
      </c>
      <c r="Z283">
        <v>0</v>
      </c>
      <c r="AA283">
        <v>0</v>
      </c>
      <c r="AB283">
        <v>51110</v>
      </c>
      <c r="AC283">
        <v>0</v>
      </c>
      <c r="AD283">
        <v>0</v>
      </c>
      <c r="AE283">
        <v>0</v>
      </c>
      <c r="AQ283">
        <v>182378</v>
      </c>
      <c r="AR283" t="b">
        <v>1</v>
      </c>
      <c r="AS283" t="b">
        <v>1</v>
      </c>
      <c r="AT283" t="b">
        <v>1</v>
      </c>
      <c r="AU283" t="b">
        <v>1</v>
      </c>
      <c r="AV283" t="b">
        <v>1</v>
      </c>
      <c r="AW283" t="b">
        <v>1</v>
      </c>
      <c r="AX283" t="b">
        <v>1</v>
      </c>
      <c r="BA283" t="s">
        <v>439</v>
      </c>
    </row>
    <row r="284" spans="1:53" x14ac:dyDescent="0.25">
      <c r="A284" t="s">
        <v>386</v>
      </c>
      <c r="B284">
        <v>7</v>
      </c>
      <c r="C284">
        <v>19</v>
      </c>
      <c r="D284">
        <v>1</v>
      </c>
      <c r="E284">
        <v>39191020</v>
      </c>
      <c r="F284">
        <v>273158</v>
      </c>
      <c r="G284" t="s">
        <v>325</v>
      </c>
      <c r="H284" t="s">
        <v>60</v>
      </c>
      <c r="I284" t="s">
        <v>60</v>
      </c>
      <c r="J284" t="s">
        <v>60</v>
      </c>
      <c r="K284" t="s">
        <v>60</v>
      </c>
      <c r="L284" t="s">
        <v>27</v>
      </c>
      <c r="M284">
        <v>16.184999999999999</v>
      </c>
      <c r="P284">
        <v>40</v>
      </c>
      <c r="Q284" t="s">
        <v>80</v>
      </c>
      <c r="R284" t="s">
        <v>434</v>
      </c>
      <c r="S284" t="s">
        <v>381</v>
      </c>
      <c r="T284" t="s">
        <v>352</v>
      </c>
      <c r="V284">
        <v>0</v>
      </c>
      <c r="Y284">
        <v>0</v>
      </c>
      <c r="Z284">
        <v>0</v>
      </c>
      <c r="AA284">
        <v>0</v>
      </c>
      <c r="AB284">
        <v>9711000</v>
      </c>
      <c r="AC284">
        <v>0</v>
      </c>
      <c r="AD284">
        <v>0</v>
      </c>
      <c r="AE284">
        <v>0</v>
      </c>
      <c r="AQ284">
        <v>182378</v>
      </c>
      <c r="AR284" t="b">
        <v>1</v>
      </c>
      <c r="AS284" t="b">
        <v>1</v>
      </c>
      <c r="AT284" t="b">
        <v>1</v>
      </c>
      <c r="AU284" t="b">
        <v>1</v>
      </c>
      <c r="AV284" t="b">
        <v>1</v>
      </c>
      <c r="AW284" t="b">
        <v>1</v>
      </c>
      <c r="AX284" t="b">
        <v>1</v>
      </c>
      <c r="BA284" t="s">
        <v>439</v>
      </c>
    </row>
    <row r="285" spans="1:53" x14ac:dyDescent="0.25">
      <c r="A285" t="s">
        <v>386</v>
      </c>
      <c r="B285">
        <v>7</v>
      </c>
      <c r="C285">
        <v>20</v>
      </c>
      <c r="D285">
        <v>1</v>
      </c>
      <c r="E285">
        <v>48211090</v>
      </c>
      <c r="F285">
        <v>297274</v>
      </c>
      <c r="G285" t="s">
        <v>315</v>
      </c>
      <c r="H285" t="s">
        <v>60</v>
      </c>
      <c r="I285" t="s">
        <v>60</v>
      </c>
      <c r="J285" t="s">
        <v>60</v>
      </c>
      <c r="K285" t="s">
        <v>60</v>
      </c>
      <c r="L285" t="s">
        <v>12</v>
      </c>
      <c r="M285">
        <v>75</v>
      </c>
      <c r="P285">
        <v>40</v>
      </c>
      <c r="Q285" t="s">
        <v>80</v>
      </c>
      <c r="R285" t="s">
        <v>415</v>
      </c>
      <c r="S285" t="s">
        <v>363</v>
      </c>
      <c r="T285" t="s">
        <v>333</v>
      </c>
      <c r="V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Q285">
        <v>182378</v>
      </c>
      <c r="AR285" t="b">
        <v>1</v>
      </c>
      <c r="AS285" t="b">
        <v>1</v>
      </c>
      <c r="AT285" t="b">
        <v>1</v>
      </c>
      <c r="AU285" t="b">
        <v>1</v>
      </c>
      <c r="AV285" t="b">
        <v>1</v>
      </c>
      <c r="AW285" t="b">
        <v>1</v>
      </c>
      <c r="AX285" t="b">
        <v>1</v>
      </c>
      <c r="BA285" t="s">
        <v>439</v>
      </c>
    </row>
    <row r="286" spans="1:53" x14ac:dyDescent="0.25">
      <c r="A286" t="s">
        <v>386</v>
      </c>
      <c r="B286">
        <v>7</v>
      </c>
      <c r="C286">
        <v>21</v>
      </c>
      <c r="D286">
        <v>1</v>
      </c>
      <c r="E286">
        <v>48211090</v>
      </c>
      <c r="F286">
        <v>297275</v>
      </c>
      <c r="G286" t="s">
        <v>316</v>
      </c>
      <c r="H286" t="s">
        <v>60</v>
      </c>
      <c r="I286" t="s">
        <v>60</v>
      </c>
      <c r="J286" t="s">
        <v>60</v>
      </c>
      <c r="K286" t="s">
        <v>60</v>
      </c>
      <c r="L286" t="s">
        <v>12</v>
      </c>
      <c r="M286">
        <v>11.5</v>
      </c>
      <c r="P286">
        <v>40</v>
      </c>
      <c r="Q286" t="s">
        <v>80</v>
      </c>
      <c r="R286" t="s">
        <v>415</v>
      </c>
      <c r="S286" t="s">
        <v>363</v>
      </c>
      <c r="T286" t="s">
        <v>333</v>
      </c>
      <c r="V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Q286">
        <v>182378</v>
      </c>
      <c r="AR286" t="b">
        <v>1</v>
      </c>
      <c r="AS286" t="b">
        <v>1</v>
      </c>
      <c r="AT286" t="b">
        <v>1</v>
      </c>
      <c r="AU286" t="b">
        <v>1</v>
      </c>
      <c r="AV286" t="b">
        <v>1</v>
      </c>
      <c r="AW286" t="b">
        <v>1</v>
      </c>
      <c r="AX286" t="b">
        <v>1</v>
      </c>
      <c r="BA286" t="s">
        <v>439</v>
      </c>
    </row>
    <row r="287" spans="1:53" x14ac:dyDescent="0.25">
      <c r="A287" t="s">
        <v>386</v>
      </c>
      <c r="B287">
        <v>7</v>
      </c>
      <c r="C287">
        <v>22</v>
      </c>
      <c r="D287">
        <v>1</v>
      </c>
      <c r="E287">
        <v>48211090</v>
      </c>
      <c r="F287">
        <v>297276</v>
      </c>
      <c r="G287" t="s">
        <v>317</v>
      </c>
      <c r="H287" t="s">
        <v>60</v>
      </c>
      <c r="I287" t="s">
        <v>60</v>
      </c>
      <c r="J287" t="s">
        <v>60</v>
      </c>
      <c r="K287" t="s">
        <v>60</v>
      </c>
      <c r="L287" t="s">
        <v>12</v>
      </c>
      <c r="M287">
        <v>26</v>
      </c>
      <c r="P287">
        <v>40</v>
      </c>
      <c r="Q287" t="s">
        <v>80</v>
      </c>
      <c r="R287" t="s">
        <v>415</v>
      </c>
      <c r="S287" t="s">
        <v>363</v>
      </c>
      <c r="T287" t="s">
        <v>333</v>
      </c>
      <c r="V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Q287">
        <v>182378</v>
      </c>
      <c r="AR287" t="b">
        <v>1</v>
      </c>
      <c r="AS287" t="b">
        <v>1</v>
      </c>
      <c r="AT287" t="b">
        <v>1</v>
      </c>
      <c r="AU287" t="b">
        <v>1</v>
      </c>
      <c r="AV287" t="b">
        <v>1</v>
      </c>
      <c r="AW287" t="b">
        <v>1</v>
      </c>
      <c r="AX287" t="b">
        <v>1</v>
      </c>
      <c r="BA287" t="s">
        <v>439</v>
      </c>
    </row>
    <row r="288" spans="1:53" x14ac:dyDescent="0.25">
      <c r="A288" t="s">
        <v>386</v>
      </c>
      <c r="B288">
        <v>7</v>
      </c>
      <c r="C288">
        <v>23</v>
      </c>
      <c r="D288">
        <v>1</v>
      </c>
      <c r="E288">
        <v>48211090</v>
      </c>
      <c r="F288">
        <v>297277</v>
      </c>
      <c r="G288" t="s">
        <v>318</v>
      </c>
      <c r="H288" t="s">
        <v>60</v>
      </c>
      <c r="I288" t="s">
        <v>60</v>
      </c>
      <c r="J288" t="s">
        <v>60</v>
      </c>
      <c r="K288" t="s">
        <v>60</v>
      </c>
      <c r="L288" t="s">
        <v>12</v>
      </c>
      <c r="M288">
        <v>19</v>
      </c>
      <c r="P288">
        <v>40</v>
      </c>
      <c r="Q288" t="s">
        <v>80</v>
      </c>
      <c r="R288" t="s">
        <v>415</v>
      </c>
      <c r="S288" t="s">
        <v>363</v>
      </c>
      <c r="T288" t="s">
        <v>333</v>
      </c>
      <c r="V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Q288">
        <v>182378</v>
      </c>
      <c r="AR288" t="b">
        <v>1</v>
      </c>
      <c r="AS288" t="b">
        <v>1</v>
      </c>
      <c r="AT288" t="b">
        <v>1</v>
      </c>
      <c r="AU288" t="b">
        <v>1</v>
      </c>
      <c r="AV288" t="b">
        <v>1</v>
      </c>
      <c r="AW288" t="b">
        <v>1</v>
      </c>
      <c r="AX288" t="b">
        <v>1</v>
      </c>
      <c r="BA288" t="s">
        <v>439</v>
      </c>
    </row>
    <row r="289" spans="1:53" x14ac:dyDescent="0.25">
      <c r="A289" t="s">
        <v>386</v>
      </c>
      <c r="B289">
        <v>7</v>
      </c>
      <c r="C289">
        <v>24</v>
      </c>
      <c r="D289">
        <v>1</v>
      </c>
      <c r="E289">
        <v>48211090</v>
      </c>
      <c r="F289">
        <v>297278</v>
      </c>
      <c r="G289" t="s">
        <v>319</v>
      </c>
      <c r="H289" t="s">
        <v>60</v>
      </c>
      <c r="I289" t="s">
        <v>60</v>
      </c>
      <c r="J289" t="s">
        <v>60</v>
      </c>
      <c r="K289" t="s">
        <v>60</v>
      </c>
      <c r="L289" t="s">
        <v>12</v>
      </c>
      <c r="M289">
        <v>18.5</v>
      </c>
      <c r="P289">
        <v>40</v>
      </c>
      <c r="Q289" t="s">
        <v>80</v>
      </c>
      <c r="R289" t="s">
        <v>415</v>
      </c>
      <c r="S289" t="s">
        <v>363</v>
      </c>
      <c r="T289" t="s">
        <v>333</v>
      </c>
      <c r="V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Q289">
        <v>182378</v>
      </c>
      <c r="AR289" t="b">
        <v>1</v>
      </c>
      <c r="AS289" t="b">
        <v>1</v>
      </c>
      <c r="AT289" t="b">
        <v>1</v>
      </c>
      <c r="AU289" t="b">
        <v>1</v>
      </c>
      <c r="AV289" t="b">
        <v>1</v>
      </c>
      <c r="AW289" t="b">
        <v>1</v>
      </c>
      <c r="AX289" t="b">
        <v>1</v>
      </c>
      <c r="BA289" t="s">
        <v>439</v>
      </c>
    </row>
    <row r="290" spans="1:53" x14ac:dyDescent="0.25">
      <c r="A290" t="s">
        <v>386</v>
      </c>
      <c r="B290">
        <v>9</v>
      </c>
      <c r="C290">
        <v>1</v>
      </c>
      <c r="D290">
        <v>1</v>
      </c>
      <c r="E290">
        <v>52081900</v>
      </c>
      <c r="F290">
        <v>274799</v>
      </c>
      <c r="G290" t="s">
        <v>311</v>
      </c>
      <c r="H290" t="s">
        <v>60</v>
      </c>
      <c r="I290" t="s">
        <v>60</v>
      </c>
      <c r="J290" t="s">
        <v>60</v>
      </c>
      <c r="K290" t="s">
        <v>60</v>
      </c>
      <c r="L290" t="s">
        <v>27</v>
      </c>
      <c r="M290">
        <v>3.75</v>
      </c>
      <c r="P290">
        <v>40</v>
      </c>
      <c r="Q290" t="s">
        <v>80</v>
      </c>
      <c r="R290" t="s">
        <v>409</v>
      </c>
      <c r="S290" t="s">
        <v>358</v>
      </c>
      <c r="T290" t="s">
        <v>327</v>
      </c>
      <c r="V290">
        <v>0</v>
      </c>
      <c r="Y290">
        <v>0</v>
      </c>
      <c r="Z290">
        <v>0</v>
      </c>
      <c r="AA290">
        <v>0</v>
      </c>
      <c r="AB290">
        <v>899703.6</v>
      </c>
      <c r="AC290">
        <v>0</v>
      </c>
      <c r="AD290">
        <v>0</v>
      </c>
      <c r="AE290">
        <v>0</v>
      </c>
      <c r="AQ290">
        <v>182379</v>
      </c>
      <c r="AR290" t="b">
        <v>1</v>
      </c>
      <c r="AS290" t="b">
        <v>1</v>
      </c>
      <c r="AT290" t="b">
        <v>1</v>
      </c>
      <c r="AU290" t="b">
        <v>1</v>
      </c>
      <c r="AV290" t="b">
        <v>1</v>
      </c>
      <c r="AW290" t="b">
        <v>1</v>
      </c>
      <c r="AX290" t="b">
        <v>1</v>
      </c>
      <c r="BA290" t="s">
        <v>440</v>
      </c>
    </row>
    <row r="291" spans="1:53" x14ac:dyDescent="0.25">
      <c r="A291" t="s">
        <v>386</v>
      </c>
      <c r="B291">
        <v>9</v>
      </c>
      <c r="C291">
        <v>2</v>
      </c>
      <c r="D291">
        <v>1</v>
      </c>
      <c r="E291">
        <v>52081900</v>
      </c>
      <c r="F291">
        <v>275340</v>
      </c>
      <c r="G291" t="s">
        <v>312</v>
      </c>
      <c r="H291" t="s">
        <v>60</v>
      </c>
      <c r="I291" t="s">
        <v>60</v>
      </c>
      <c r="J291" t="s">
        <v>60</v>
      </c>
      <c r="K291" t="s">
        <v>60</v>
      </c>
      <c r="L291" t="s">
        <v>27</v>
      </c>
      <c r="M291">
        <v>3.75</v>
      </c>
      <c r="P291">
        <v>40</v>
      </c>
      <c r="Q291" t="s">
        <v>80</v>
      </c>
      <c r="R291" t="s">
        <v>429</v>
      </c>
      <c r="S291" t="s">
        <v>376</v>
      </c>
      <c r="T291" t="s">
        <v>347</v>
      </c>
      <c r="V291">
        <v>0</v>
      </c>
      <c r="Y291">
        <v>0</v>
      </c>
      <c r="Z291">
        <v>0</v>
      </c>
      <c r="AA291">
        <v>0</v>
      </c>
      <c r="AB291">
        <v>899703.6</v>
      </c>
      <c r="AC291">
        <v>0</v>
      </c>
      <c r="AD291">
        <v>0</v>
      </c>
      <c r="AE291">
        <v>0</v>
      </c>
      <c r="AQ291">
        <v>182379</v>
      </c>
      <c r="AR291" t="b">
        <v>1</v>
      </c>
      <c r="AS291" t="b">
        <v>1</v>
      </c>
      <c r="AT291" t="b">
        <v>1</v>
      </c>
      <c r="AU291" t="b">
        <v>1</v>
      </c>
      <c r="AV291" t="b">
        <v>1</v>
      </c>
      <c r="AW291" t="b">
        <v>1</v>
      </c>
      <c r="AX291" t="b">
        <v>1</v>
      </c>
      <c r="BA291" t="s">
        <v>440</v>
      </c>
    </row>
    <row r="292" spans="1:53" x14ac:dyDescent="0.25">
      <c r="A292" t="s">
        <v>386</v>
      </c>
      <c r="B292">
        <v>9</v>
      </c>
      <c r="C292">
        <v>3</v>
      </c>
      <c r="D292">
        <v>1</v>
      </c>
      <c r="E292">
        <v>56039200</v>
      </c>
      <c r="F292">
        <v>267890</v>
      </c>
      <c r="G292" t="s">
        <v>323</v>
      </c>
      <c r="H292" t="s">
        <v>60</v>
      </c>
      <c r="I292" t="s">
        <v>60</v>
      </c>
      <c r="J292" t="s">
        <v>60</v>
      </c>
      <c r="K292" t="s">
        <v>60</v>
      </c>
      <c r="L292" t="s">
        <v>11</v>
      </c>
      <c r="M292">
        <v>4.5999999999999996</v>
      </c>
      <c r="P292">
        <v>40</v>
      </c>
      <c r="Q292" t="s">
        <v>80</v>
      </c>
      <c r="R292" t="s">
        <v>430</v>
      </c>
      <c r="S292" t="s">
        <v>377</v>
      </c>
      <c r="T292" t="s">
        <v>348</v>
      </c>
      <c r="V292">
        <v>0</v>
      </c>
      <c r="Y292">
        <v>0</v>
      </c>
      <c r="Z292">
        <v>0</v>
      </c>
      <c r="AA292">
        <v>0</v>
      </c>
      <c r="AB292">
        <v>27197.13</v>
      </c>
      <c r="AC292">
        <v>0</v>
      </c>
      <c r="AD292">
        <v>0</v>
      </c>
      <c r="AE292">
        <v>0</v>
      </c>
      <c r="AQ292">
        <v>182379</v>
      </c>
      <c r="AR292" t="b">
        <v>1</v>
      </c>
      <c r="AS292" t="b">
        <v>1</v>
      </c>
      <c r="AT292" t="b">
        <v>1</v>
      </c>
      <c r="AU292" t="b">
        <v>1</v>
      </c>
      <c r="AV292" t="b">
        <v>1</v>
      </c>
      <c r="AW292" t="b">
        <v>1</v>
      </c>
      <c r="AX292" t="b">
        <v>1</v>
      </c>
      <c r="BA292" t="s">
        <v>440</v>
      </c>
    </row>
    <row r="293" spans="1:53" x14ac:dyDescent="0.25">
      <c r="A293" t="s">
        <v>386</v>
      </c>
      <c r="B293">
        <v>9</v>
      </c>
      <c r="C293">
        <v>4</v>
      </c>
      <c r="D293">
        <v>1</v>
      </c>
      <c r="E293">
        <v>96062100</v>
      </c>
      <c r="F293">
        <v>270819</v>
      </c>
      <c r="G293" t="s">
        <v>324</v>
      </c>
      <c r="H293" t="s">
        <v>60</v>
      </c>
      <c r="I293" t="s">
        <v>60</v>
      </c>
      <c r="J293" t="s">
        <v>60</v>
      </c>
      <c r="K293" t="s">
        <v>60</v>
      </c>
      <c r="L293" t="s">
        <v>12</v>
      </c>
      <c r="M293">
        <v>300</v>
      </c>
      <c r="P293">
        <v>40</v>
      </c>
      <c r="Q293" t="s">
        <v>80</v>
      </c>
      <c r="R293" t="s">
        <v>431</v>
      </c>
      <c r="S293" t="s">
        <v>378</v>
      </c>
      <c r="T293" t="s">
        <v>349</v>
      </c>
      <c r="V293">
        <v>0</v>
      </c>
      <c r="Y293">
        <v>0</v>
      </c>
      <c r="Z293">
        <v>0</v>
      </c>
      <c r="AA293">
        <v>0</v>
      </c>
      <c r="AB293">
        <v>57000</v>
      </c>
      <c r="AC293">
        <v>0</v>
      </c>
      <c r="AD293">
        <v>0</v>
      </c>
      <c r="AE293">
        <v>0</v>
      </c>
      <c r="AQ293">
        <v>182379</v>
      </c>
      <c r="AR293" t="b">
        <v>1</v>
      </c>
      <c r="AS293" t="b">
        <v>1</v>
      </c>
      <c r="AT293" t="b">
        <v>1</v>
      </c>
      <c r="AU293" t="b">
        <v>1</v>
      </c>
      <c r="AV293" t="b">
        <v>1</v>
      </c>
      <c r="AW293" t="b">
        <v>1</v>
      </c>
      <c r="AX293" t="b">
        <v>1</v>
      </c>
      <c r="BA293" t="s">
        <v>440</v>
      </c>
    </row>
    <row r="294" spans="1:53" x14ac:dyDescent="0.25">
      <c r="A294" t="s">
        <v>386</v>
      </c>
      <c r="B294">
        <v>9</v>
      </c>
      <c r="C294">
        <v>5</v>
      </c>
      <c r="D294">
        <v>1</v>
      </c>
      <c r="E294">
        <v>39191020</v>
      </c>
      <c r="F294">
        <v>273158</v>
      </c>
      <c r="G294" t="s">
        <v>325</v>
      </c>
      <c r="H294" t="s">
        <v>60</v>
      </c>
      <c r="I294" t="s">
        <v>60</v>
      </c>
      <c r="J294" t="s">
        <v>60</v>
      </c>
      <c r="K294" t="s">
        <v>60</v>
      </c>
      <c r="L294" t="s">
        <v>27</v>
      </c>
      <c r="M294">
        <v>21.58</v>
      </c>
      <c r="P294">
        <v>40</v>
      </c>
      <c r="Q294" t="s">
        <v>80</v>
      </c>
      <c r="R294" t="s">
        <v>434</v>
      </c>
      <c r="S294" t="s">
        <v>381</v>
      </c>
      <c r="T294" t="s">
        <v>352</v>
      </c>
      <c r="V294">
        <v>0</v>
      </c>
      <c r="Y294">
        <v>0</v>
      </c>
      <c r="Z294">
        <v>0</v>
      </c>
      <c r="AA294">
        <v>0</v>
      </c>
      <c r="AB294">
        <v>6474000</v>
      </c>
      <c r="AC294">
        <v>0</v>
      </c>
      <c r="AD294">
        <v>0</v>
      </c>
      <c r="AE294">
        <v>0</v>
      </c>
      <c r="AQ294">
        <v>182379</v>
      </c>
      <c r="AR294" t="b">
        <v>1</v>
      </c>
      <c r="AS294" t="b">
        <v>1</v>
      </c>
      <c r="AT294" t="b">
        <v>1</v>
      </c>
      <c r="AU294" t="b">
        <v>1</v>
      </c>
      <c r="AV294" t="b">
        <v>1</v>
      </c>
      <c r="AW294" t="b">
        <v>1</v>
      </c>
      <c r="AX294" t="b">
        <v>1</v>
      </c>
      <c r="BA294" t="s">
        <v>440</v>
      </c>
    </row>
    <row r="295" spans="1:53" x14ac:dyDescent="0.25">
      <c r="A295" t="s">
        <v>386</v>
      </c>
      <c r="B295">
        <v>9</v>
      </c>
      <c r="C295">
        <v>6</v>
      </c>
      <c r="D295">
        <v>1</v>
      </c>
      <c r="E295">
        <v>48211090</v>
      </c>
      <c r="F295">
        <v>297274</v>
      </c>
      <c r="G295" t="s">
        <v>315</v>
      </c>
      <c r="H295" t="s">
        <v>60</v>
      </c>
      <c r="I295" t="s">
        <v>60</v>
      </c>
      <c r="J295" t="s">
        <v>60</v>
      </c>
      <c r="K295" t="s">
        <v>60</v>
      </c>
      <c r="L295" t="s">
        <v>12</v>
      </c>
      <c r="M295">
        <v>100</v>
      </c>
      <c r="P295">
        <v>40</v>
      </c>
      <c r="Q295" t="s">
        <v>80</v>
      </c>
      <c r="R295" t="s">
        <v>415</v>
      </c>
      <c r="S295" t="s">
        <v>363</v>
      </c>
      <c r="T295" t="s">
        <v>333</v>
      </c>
      <c r="V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Q295">
        <v>182379</v>
      </c>
      <c r="AR295" t="b">
        <v>1</v>
      </c>
      <c r="AS295" t="b">
        <v>1</v>
      </c>
      <c r="AT295" t="b">
        <v>1</v>
      </c>
      <c r="AU295" t="b">
        <v>1</v>
      </c>
      <c r="AV295" t="b">
        <v>1</v>
      </c>
      <c r="AW295" t="b">
        <v>1</v>
      </c>
      <c r="AX295" t="b">
        <v>1</v>
      </c>
      <c r="BA295" t="s">
        <v>440</v>
      </c>
    </row>
    <row r="296" spans="1:53" x14ac:dyDescent="0.25">
      <c r="A296" t="s">
        <v>386</v>
      </c>
      <c r="B296">
        <v>9</v>
      </c>
      <c r="C296">
        <v>7</v>
      </c>
      <c r="D296">
        <v>1</v>
      </c>
      <c r="E296">
        <v>48211090</v>
      </c>
      <c r="F296">
        <v>297275</v>
      </c>
      <c r="G296" t="s">
        <v>316</v>
      </c>
      <c r="H296" t="s">
        <v>60</v>
      </c>
      <c r="I296" t="s">
        <v>60</v>
      </c>
      <c r="J296" t="s">
        <v>60</v>
      </c>
      <c r="K296" t="s">
        <v>60</v>
      </c>
      <c r="L296" t="s">
        <v>12</v>
      </c>
      <c r="M296">
        <v>15</v>
      </c>
      <c r="P296">
        <v>40</v>
      </c>
      <c r="Q296" t="s">
        <v>80</v>
      </c>
      <c r="R296" t="s">
        <v>415</v>
      </c>
      <c r="S296" t="s">
        <v>363</v>
      </c>
      <c r="T296" t="s">
        <v>333</v>
      </c>
      <c r="V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Q296">
        <v>182379</v>
      </c>
      <c r="AR296" t="b">
        <v>1</v>
      </c>
      <c r="AS296" t="b">
        <v>1</v>
      </c>
      <c r="AT296" t="b">
        <v>1</v>
      </c>
      <c r="AU296" t="b">
        <v>1</v>
      </c>
      <c r="AV296" t="b">
        <v>1</v>
      </c>
      <c r="AW296" t="b">
        <v>1</v>
      </c>
      <c r="AX296" t="b">
        <v>1</v>
      </c>
      <c r="BA296" t="s">
        <v>440</v>
      </c>
    </row>
    <row r="297" spans="1:53" x14ac:dyDescent="0.25">
      <c r="A297" t="s">
        <v>386</v>
      </c>
      <c r="B297">
        <v>9</v>
      </c>
      <c r="C297">
        <v>8</v>
      </c>
      <c r="D297">
        <v>1</v>
      </c>
      <c r="E297">
        <v>48211090</v>
      </c>
      <c r="F297">
        <v>297276</v>
      </c>
      <c r="G297" t="s">
        <v>317</v>
      </c>
      <c r="H297" t="s">
        <v>60</v>
      </c>
      <c r="I297" t="s">
        <v>60</v>
      </c>
      <c r="J297" t="s">
        <v>60</v>
      </c>
      <c r="K297" t="s">
        <v>60</v>
      </c>
      <c r="L297" t="s">
        <v>12</v>
      </c>
      <c r="M297">
        <v>35</v>
      </c>
      <c r="P297">
        <v>40</v>
      </c>
      <c r="Q297" t="s">
        <v>80</v>
      </c>
      <c r="R297" t="s">
        <v>415</v>
      </c>
      <c r="S297" t="s">
        <v>363</v>
      </c>
      <c r="T297" t="s">
        <v>333</v>
      </c>
      <c r="V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Q297">
        <v>182379</v>
      </c>
      <c r="AR297" t="b">
        <v>1</v>
      </c>
      <c r="AS297" t="b">
        <v>1</v>
      </c>
      <c r="AT297" t="b">
        <v>1</v>
      </c>
      <c r="AU297" t="b">
        <v>1</v>
      </c>
      <c r="AV297" t="b">
        <v>1</v>
      </c>
      <c r="AW297" t="b">
        <v>1</v>
      </c>
      <c r="AX297" t="b">
        <v>1</v>
      </c>
      <c r="BA297" t="s">
        <v>440</v>
      </c>
    </row>
    <row r="298" spans="1:53" x14ac:dyDescent="0.25">
      <c r="A298" t="s">
        <v>386</v>
      </c>
      <c r="B298">
        <v>9</v>
      </c>
      <c r="C298">
        <v>9</v>
      </c>
      <c r="D298">
        <v>1</v>
      </c>
      <c r="E298">
        <v>48211090</v>
      </c>
      <c r="F298">
        <v>297277</v>
      </c>
      <c r="G298" t="s">
        <v>318</v>
      </c>
      <c r="H298" t="s">
        <v>60</v>
      </c>
      <c r="I298" t="s">
        <v>60</v>
      </c>
      <c r="J298" t="s">
        <v>60</v>
      </c>
      <c r="K298" t="s">
        <v>60</v>
      </c>
      <c r="L298" t="s">
        <v>12</v>
      </c>
      <c r="M298">
        <v>25</v>
      </c>
      <c r="P298">
        <v>40</v>
      </c>
      <c r="Q298" t="s">
        <v>80</v>
      </c>
      <c r="R298" t="s">
        <v>415</v>
      </c>
      <c r="S298" t="s">
        <v>363</v>
      </c>
      <c r="T298" t="s">
        <v>333</v>
      </c>
      <c r="V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Q298">
        <v>182379</v>
      </c>
      <c r="AR298" t="b">
        <v>1</v>
      </c>
      <c r="AS298" t="b">
        <v>1</v>
      </c>
      <c r="AT298" t="b">
        <v>1</v>
      </c>
      <c r="AU298" t="b">
        <v>1</v>
      </c>
      <c r="AV298" t="b">
        <v>1</v>
      </c>
      <c r="AW298" t="b">
        <v>1</v>
      </c>
      <c r="AX298" t="b">
        <v>1</v>
      </c>
      <c r="BA298" t="s">
        <v>440</v>
      </c>
    </row>
    <row r="299" spans="1:53" x14ac:dyDescent="0.25">
      <c r="A299" t="s">
        <v>386</v>
      </c>
      <c r="B299">
        <v>9</v>
      </c>
      <c r="C299">
        <v>10</v>
      </c>
      <c r="D299">
        <v>1</v>
      </c>
      <c r="E299">
        <v>48211090</v>
      </c>
      <c r="F299">
        <v>297278</v>
      </c>
      <c r="G299" t="s">
        <v>319</v>
      </c>
      <c r="H299" t="s">
        <v>60</v>
      </c>
      <c r="I299" t="s">
        <v>60</v>
      </c>
      <c r="J299" t="s">
        <v>60</v>
      </c>
      <c r="K299" t="s">
        <v>60</v>
      </c>
      <c r="L299" t="s">
        <v>12</v>
      </c>
      <c r="M299">
        <v>25</v>
      </c>
      <c r="P299">
        <v>40</v>
      </c>
      <c r="Q299" t="s">
        <v>80</v>
      </c>
      <c r="R299" t="s">
        <v>415</v>
      </c>
      <c r="S299" t="s">
        <v>363</v>
      </c>
      <c r="T299" t="s">
        <v>333</v>
      </c>
      <c r="V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Q299">
        <v>182379</v>
      </c>
      <c r="AR299" t="b">
        <v>1</v>
      </c>
      <c r="AS299" t="b">
        <v>1</v>
      </c>
      <c r="AT299" t="b">
        <v>1</v>
      </c>
      <c r="AU299" t="b">
        <v>1</v>
      </c>
      <c r="AV299" t="b">
        <v>1</v>
      </c>
      <c r="AW299" t="b">
        <v>1</v>
      </c>
      <c r="AX299" t="b">
        <v>1</v>
      </c>
      <c r="BA299" t="s">
        <v>440</v>
      </c>
    </row>
    <row r="300" spans="1:53" x14ac:dyDescent="0.25">
      <c r="A300" t="s">
        <v>386</v>
      </c>
      <c r="B300">
        <v>9</v>
      </c>
      <c r="C300">
        <v>11</v>
      </c>
      <c r="D300">
        <v>1</v>
      </c>
      <c r="E300">
        <v>52081900</v>
      </c>
      <c r="F300">
        <v>274799</v>
      </c>
      <c r="G300" t="s">
        <v>311</v>
      </c>
      <c r="H300" t="s">
        <v>60</v>
      </c>
      <c r="I300" t="s">
        <v>60</v>
      </c>
      <c r="J300" t="s">
        <v>60</v>
      </c>
      <c r="K300" t="s">
        <v>60</v>
      </c>
      <c r="L300" t="s">
        <v>27</v>
      </c>
      <c r="M300">
        <v>1.875</v>
      </c>
      <c r="P300">
        <v>40</v>
      </c>
      <c r="Q300" t="s">
        <v>80</v>
      </c>
      <c r="R300" t="s">
        <v>409</v>
      </c>
      <c r="S300" t="s">
        <v>358</v>
      </c>
      <c r="T300" t="s">
        <v>327</v>
      </c>
      <c r="V300">
        <v>0</v>
      </c>
      <c r="Y300">
        <v>0</v>
      </c>
      <c r="Z300">
        <v>0</v>
      </c>
      <c r="AA300">
        <v>0</v>
      </c>
      <c r="AB300">
        <v>899703.6</v>
      </c>
      <c r="AC300">
        <v>0</v>
      </c>
      <c r="AD300">
        <v>0</v>
      </c>
      <c r="AE300">
        <v>0</v>
      </c>
      <c r="AQ300">
        <v>182379</v>
      </c>
      <c r="AR300" t="b">
        <v>1</v>
      </c>
      <c r="AS300" t="b">
        <v>1</v>
      </c>
      <c r="AT300" t="b">
        <v>1</v>
      </c>
      <c r="AU300" t="b">
        <v>1</v>
      </c>
      <c r="AV300" t="b">
        <v>1</v>
      </c>
      <c r="AW300" t="b">
        <v>1</v>
      </c>
      <c r="AX300" t="b">
        <v>1</v>
      </c>
      <c r="BA300" t="s">
        <v>440</v>
      </c>
    </row>
    <row r="301" spans="1:53" x14ac:dyDescent="0.25">
      <c r="A301" t="s">
        <v>386</v>
      </c>
      <c r="B301">
        <v>9</v>
      </c>
      <c r="C301">
        <v>12</v>
      </c>
      <c r="D301">
        <v>1</v>
      </c>
      <c r="E301">
        <v>52081900</v>
      </c>
      <c r="F301">
        <v>275340</v>
      </c>
      <c r="G301" t="s">
        <v>312</v>
      </c>
      <c r="H301" t="s">
        <v>60</v>
      </c>
      <c r="I301" t="s">
        <v>60</v>
      </c>
      <c r="J301" t="s">
        <v>60</v>
      </c>
      <c r="K301" t="s">
        <v>60</v>
      </c>
      <c r="L301" t="s">
        <v>27</v>
      </c>
      <c r="M301">
        <v>1.875</v>
      </c>
      <c r="P301">
        <v>40</v>
      </c>
      <c r="Q301" t="s">
        <v>80</v>
      </c>
      <c r="R301" t="s">
        <v>429</v>
      </c>
      <c r="S301" t="s">
        <v>376</v>
      </c>
      <c r="T301" t="s">
        <v>347</v>
      </c>
      <c r="V301">
        <v>0</v>
      </c>
      <c r="Y301">
        <v>0</v>
      </c>
      <c r="Z301">
        <v>0</v>
      </c>
      <c r="AA301">
        <v>0</v>
      </c>
      <c r="AB301">
        <v>899703.6</v>
      </c>
      <c r="AC301">
        <v>0</v>
      </c>
      <c r="AD301">
        <v>0</v>
      </c>
      <c r="AE301">
        <v>0</v>
      </c>
      <c r="AQ301">
        <v>182379</v>
      </c>
      <c r="AR301" t="b">
        <v>1</v>
      </c>
      <c r="AS301" t="b">
        <v>1</v>
      </c>
      <c r="AT301" t="b">
        <v>1</v>
      </c>
      <c r="AU301" t="b">
        <v>1</v>
      </c>
      <c r="AV301" t="b">
        <v>1</v>
      </c>
      <c r="AW301" t="b">
        <v>1</v>
      </c>
      <c r="AX301" t="b">
        <v>1</v>
      </c>
      <c r="BA301" t="s">
        <v>440</v>
      </c>
    </row>
    <row r="302" spans="1:53" x14ac:dyDescent="0.25">
      <c r="A302" t="s">
        <v>386</v>
      </c>
      <c r="B302">
        <v>9</v>
      </c>
      <c r="C302">
        <v>13</v>
      </c>
      <c r="D302">
        <v>1</v>
      </c>
      <c r="E302">
        <v>56039200</v>
      </c>
      <c r="F302">
        <v>267890</v>
      </c>
      <c r="G302" t="s">
        <v>323</v>
      </c>
      <c r="H302" t="s">
        <v>60</v>
      </c>
      <c r="I302" t="s">
        <v>60</v>
      </c>
      <c r="J302" t="s">
        <v>60</v>
      </c>
      <c r="K302" t="s">
        <v>60</v>
      </c>
      <c r="L302" t="s">
        <v>11</v>
      </c>
      <c r="M302">
        <v>2.2999999999999998</v>
      </c>
      <c r="P302">
        <v>40</v>
      </c>
      <c r="Q302" t="s">
        <v>80</v>
      </c>
      <c r="R302" t="s">
        <v>430</v>
      </c>
      <c r="S302" t="s">
        <v>377</v>
      </c>
      <c r="T302" t="s">
        <v>348</v>
      </c>
      <c r="V302">
        <v>0</v>
      </c>
      <c r="Y302">
        <v>0</v>
      </c>
      <c r="Z302">
        <v>0</v>
      </c>
      <c r="AA302">
        <v>0</v>
      </c>
      <c r="AB302">
        <v>27197.13</v>
      </c>
      <c r="AC302">
        <v>0</v>
      </c>
      <c r="AD302">
        <v>0</v>
      </c>
      <c r="AE302">
        <v>0</v>
      </c>
      <c r="AQ302">
        <v>182379</v>
      </c>
      <c r="AR302" t="b">
        <v>1</v>
      </c>
      <c r="AS302" t="b">
        <v>1</v>
      </c>
      <c r="AT302" t="b">
        <v>1</v>
      </c>
      <c r="AU302" t="b">
        <v>1</v>
      </c>
      <c r="AV302" t="b">
        <v>1</v>
      </c>
      <c r="AW302" t="b">
        <v>1</v>
      </c>
      <c r="AX302" t="b">
        <v>1</v>
      </c>
      <c r="BA302" t="s">
        <v>440</v>
      </c>
    </row>
    <row r="303" spans="1:53" x14ac:dyDescent="0.25">
      <c r="A303" t="s">
        <v>386</v>
      </c>
      <c r="B303">
        <v>9</v>
      </c>
      <c r="C303">
        <v>14</v>
      </c>
      <c r="D303">
        <v>1</v>
      </c>
      <c r="E303">
        <v>96062100</v>
      </c>
      <c r="F303">
        <v>270819</v>
      </c>
      <c r="G303" t="s">
        <v>324</v>
      </c>
      <c r="H303" t="s">
        <v>60</v>
      </c>
      <c r="I303" t="s">
        <v>60</v>
      </c>
      <c r="J303" t="s">
        <v>60</v>
      </c>
      <c r="K303" t="s">
        <v>60</v>
      </c>
      <c r="L303" t="s">
        <v>12</v>
      </c>
      <c r="M303">
        <v>150</v>
      </c>
      <c r="P303">
        <v>40</v>
      </c>
      <c r="Q303" t="s">
        <v>80</v>
      </c>
      <c r="R303" t="s">
        <v>431</v>
      </c>
      <c r="S303" t="s">
        <v>378</v>
      </c>
      <c r="T303" t="s">
        <v>349</v>
      </c>
      <c r="V303">
        <v>0</v>
      </c>
      <c r="Y303">
        <v>0</v>
      </c>
      <c r="Z303">
        <v>0</v>
      </c>
      <c r="AA303">
        <v>0</v>
      </c>
      <c r="AB303">
        <v>57000</v>
      </c>
      <c r="AC303">
        <v>0</v>
      </c>
      <c r="AD303">
        <v>0</v>
      </c>
      <c r="AE303">
        <v>0</v>
      </c>
      <c r="AQ303">
        <v>182379</v>
      </c>
      <c r="AR303" t="b">
        <v>1</v>
      </c>
      <c r="AS303" t="b">
        <v>1</v>
      </c>
      <c r="AT303" t="b">
        <v>1</v>
      </c>
      <c r="AU303" t="b">
        <v>1</v>
      </c>
      <c r="AV303" t="b">
        <v>1</v>
      </c>
      <c r="AW303" t="b">
        <v>1</v>
      </c>
      <c r="AX303" t="b">
        <v>1</v>
      </c>
      <c r="BA303" t="s">
        <v>440</v>
      </c>
    </row>
    <row r="304" spans="1:53" x14ac:dyDescent="0.25">
      <c r="A304" t="s">
        <v>386</v>
      </c>
      <c r="B304">
        <v>9</v>
      </c>
      <c r="C304">
        <v>15</v>
      </c>
      <c r="D304">
        <v>1</v>
      </c>
      <c r="E304">
        <v>39191020</v>
      </c>
      <c r="F304">
        <v>273158</v>
      </c>
      <c r="G304" t="s">
        <v>325</v>
      </c>
      <c r="H304" t="s">
        <v>60</v>
      </c>
      <c r="I304" t="s">
        <v>60</v>
      </c>
      <c r="J304" t="s">
        <v>60</v>
      </c>
      <c r="K304" t="s">
        <v>60</v>
      </c>
      <c r="L304" t="s">
        <v>27</v>
      </c>
      <c r="M304">
        <v>10.79</v>
      </c>
      <c r="P304">
        <v>40</v>
      </c>
      <c r="Q304" t="s">
        <v>80</v>
      </c>
      <c r="R304" t="s">
        <v>434</v>
      </c>
      <c r="S304" t="s">
        <v>381</v>
      </c>
      <c r="T304" t="s">
        <v>352</v>
      </c>
      <c r="V304">
        <v>0</v>
      </c>
      <c r="Y304">
        <v>0</v>
      </c>
      <c r="Z304">
        <v>0</v>
      </c>
      <c r="AA304">
        <v>0</v>
      </c>
      <c r="AB304">
        <v>6474000</v>
      </c>
      <c r="AC304">
        <v>0</v>
      </c>
      <c r="AD304">
        <v>0</v>
      </c>
      <c r="AE304">
        <v>0</v>
      </c>
      <c r="AQ304">
        <v>182379</v>
      </c>
      <c r="AR304" t="b">
        <v>1</v>
      </c>
      <c r="AS304" t="b">
        <v>1</v>
      </c>
      <c r="AT304" t="b">
        <v>1</v>
      </c>
      <c r="AU304" t="b">
        <v>1</v>
      </c>
      <c r="AV304" t="b">
        <v>1</v>
      </c>
      <c r="AW304" t="b">
        <v>1</v>
      </c>
      <c r="AX304" t="b">
        <v>1</v>
      </c>
      <c r="BA304" t="s">
        <v>440</v>
      </c>
    </row>
    <row r="305" spans="1:53" x14ac:dyDescent="0.25">
      <c r="A305" t="s">
        <v>386</v>
      </c>
      <c r="B305">
        <v>9</v>
      </c>
      <c r="C305">
        <v>16</v>
      </c>
      <c r="D305">
        <v>1</v>
      </c>
      <c r="E305">
        <v>48211090</v>
      </c>
      <c r="F305">
        <v>297274</v>
      </c>
      <c r="G305" t="s">
        <v>315</v>
      </c>
      <c r="H305" t="s">
        <v>60</v>
      </c>
      <c r="I305" t="s">
        <v>60</v>
      </c>
      <c r="J305" t="s">
        <v>60</v>
      </c>
      <c r="K305" t="s">
        <v>60</v>
      </c>
      <c r="L305" t="s">
        <v>12</v>
      </c>
      <c r="M305">
        <v>50</v>
      </c>
      <c r="P305">
        <v>40</v>
      </c>
      <c r="Q305" t="s">
        <v>80</v>
      </c>
      <c r="R305" t="s">
        <v>415</v>
      </c>
      <c r="S305" t="s">
        <v>363</v>
      </c>
      <c r="T305" t="s">
        <v>333</v>
      </c>
      <c r="V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Q305">
        <v>182379</v>
      </c>
      <c r="AR305" t="b">
        <v>1</v>
      </c>
      <c r="AS305" t="b">
        <v>1</v>
      </c>
      <c r="AT305" t="b">
        <v>1</v>
      </c>
      <c r="AU305" t="b">
        <v>1</v>
      </c>
      <c r="AV305" t="b">
        <v>1</v>
      </c>
      <c r="AW305" t="b">
        <v>1</v>
      </c>
      <c r="AX305" t="b">
        <v>1</v>
      </c>
      <c r="BA305" t="s">
        <v>440</v>
      </c>
    </row>
    <row r="306" spans="1:53" x14ac:dyDescent="0.25">
      <c r="A306" t="s">
        <v>386</v>
      </c>
      <c r="B306">
        <v>9</v>
      </c>
      <c r="C306">
        <v>17</v>
      </c>
      <c r="D306">
        <v>1</v>
      </c>
      <c r="E306">
        <v>48211090</v>
      </c>
      <c r="F306">
        <v>297275</v>
      </c>
      <c r="G306" t="s">
        <v>316</v>
      </c>
      <c r="H306" t="s">
        <v>60</v>
      </c>
      <c r="I306" t="s">
        <v>60</v>
      </c>
      <c r="J306" t="s">
        <v>60</v>
      </c>
      <c r="K306" t="s">
        <v>60</v>
      </c>
      <c r="L306" t="s">
        <v>12</v>
      </c>
      <c r="M306">
        <v>7.5</v>
      </c>
      <c r="P306">
        <v>40</v>
      </c>
      <c r="Q306" t="s">
        <v>80</v>
      </c>
      <c r="R306" t="s">
        <v>415</v>
      </c>
      <c r="S306" t="s">
        <v>363</v>
      </c>
      <c r="T306" t="s">
        <v>333</v>
      </c>
      <c r="V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Q306">
        <v>182379</v>
      </c>
      <c r="AR306" t="b">
        <v>1</v>
      </c>
      <c r="AS306" t="b">
        <v>1</v>
      </c>
      <c r="AT306" t="b">
        <v>1</v>
      </c>
      <c r="AU306" t="b">
        <v>1</v>
      </c>
      <c r="AV306" t="b">
        <v>1</v>
      </c>
      <c r="AW306" t="b">
        <v>1</v>
      </c>
      <c r="AX306" t="b">
        <v>1</v>
      </c>
      <c r="BA306" t="s">
        <v>440</v>
      </c>
    </row>
    <row r="307" spans="1:53" x14ac:dyDescent="0.25">
      <c r="A307" t="s">
        <v>386</v>
      </c>
      <c r="B307">
        <v>9</v>
      </c>
      <c r="C307">
        <v>18</v>
      </c>
      <c r="D307">
        <v>1</v>
      </c>
      <c r="E307">
        <v>48211090</v>
      </c>
      <c r="F307">
        <v>297276</v>
      </c>
      <c r="G307" t="s">
        <v>317</v>
      </c>
      <c r="H307" t="s">
        <v>60</v>
      </c>
      <c r="I307" t="s">
        <v>60</v>
      </c>
      <c r="J307" t="s">
        <v>60</v>
      </c>
      <c r="K307" t="s">
        <v>60</v>
      </c>
      <c r="L307" t="s">
        <v>12</v>
      </c>
      <c r="M307">
        <v>17.5</v>
      </c>
      <c r="P307">
        <v>40</v>
      </c>
      <c r="Q307" t="s">
        <v>80</v>
      </c>
      <c r="R307" t="s">
        <v>415</v>
      </c>
      <c r="S307" t="s">
        <v>363</v>
      </c>
      <c r="T307" t="s">
        <v>333</v>
      </c>
      <c r="V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Q307">
        <v>182379</v>
      </c>
      <c r="AR307" t="b">
        <v>1</v>
      </c>
      <c r="AS307" t="b">
        <v>1</v>
      </c>
      <c r="AT307" t="b">
        <v>1</v>
      </c>
      <c r="AU307" t="b">
        <v>1</v>
      </c>
      <c r="AV307" t="b">
        <v>1</v>
      </c>
      <c r="AW307" t="b">
        <v>1</v>
      </c>
      <c r="AX307" t="b">
        <v>1</v>
      </c>
      <c r="BA307" t="s">
        <v>440</v>
      </c>
    </row>
    <row r="308" spans="1:53" x14ac:dyDescent="0.25">
      <c r="A308" t="s">
        <v>386</v>
      </c>
      <c r="B308">
        <v>9</v>
      </c>
      <c r="C308">
        <v>19</v>
      </c>
      <c r="D308">
        <v>1</v>
      </c>
      <c r="E308">
        <v>48211090</v>
      </c>
      <c r="F308">
        <v>297277</v>
      </c>
      <c r="G308" t="s">
        <v>318</v>
      </c>
      <c r="H308" t="s">
        <v>60</v>
      </c>
      <c r="I308" t="s">
        <v>60</v>
      </c>
      <c r="J308" t="s">
        <v>60</v>
      </c>
      <c r="K308" t="s">
        <v>60</v>
      </c>
      <c r="L308" t="s">
        <v>12</v>
      </c>
      <c r="M308">
        <v>12.5</v>
      </c>
      <c r="P308">
        <v>40</v>
      </c>
      <c r="Q308" t="s">
        <v>80</v>
      </c>
      <c r="R308" t="s">
        <v>415</v>
      </c>
      <c r="S308" t="s">
        <v>363</v>
      </c>
      <c r="T308" t="s">
        <v>333</v>
      </c>
      <c r="V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Q308">
        <v>182379</v>
      </c>
      <c r="AR308" t="b">
        <v>1</v>
      </c>
      <c r="AS308" t="b">
        <v>1</v>
      </c>
      <c r="AT308" t="b">
        <v>1</v>
      </c>
      <c r="AU308" t="b">
        <v>1</v>
      </c>
      <c r="AV308" t="b">
        <v>1</v>
      </c>
      <c r="AW308" t="b">
        <v>1</v>
      </c>
      <c r="AX308" t="b">
        <v>1</v>
      </c>
      <c r="BA308" t="s">
        <v>440</v>
      </c>
    </row>
    <row r="309" spans="1:53" x14ac:dyDescent="0.25">
      <c r="A309" t="s">
        <v>386</v>
      </c>
      <c r="B309">
        <v>9</v>
      </c>
      <c r="C309">
        <v>20</v>
      </c>
      <c r="D309">
        <v>1</v>
      </c>
      <c r="E309">
        <v>48211090</v>
      </c>
      <c r="F309">
        <v>297278</v>
      </c>
      <c r="G309" t="s">
        <v>319</v>
      </c>
      <c r="H309" t="s">
        <v>60</v>
      </c>
      <c r="I309" t="s">
        <v>60</v>
      </c>
      <c r="J309" t="s">
        <v>60</v>
      </c>
      <c r="K309" t="s">
        <v>60</v>
      </c>
      <c r="L309" t="s">
        <v>12</v>
      </c>
      <c r="M309">
        <v>12.5</v>
      </c>
      <c r="P309">
        <v>40</v>
      </c>
      <c r="Q309" t="s">
        <v>80</v>
      </c>
      <c r="R309" t="s">
        <v>415</v>
      </c>
      <c r="S309" t="s">
        <v>363</v>
      </c>
      <c r="T309" t="s">
        <v>333</v>
      </c>
      <c r="V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Q309">
        <v>182379</v>
      </c>
      <c r="AR309" t="b">
        <v>1</v>
      </c>
      <c r="AS309" t="b">
        <v>1</v>
      </c>
      <c r="AT309" t="b">
        <v>1</v>
      </c>
      <c r="AU309" t="b">
        <v>1</v>
      </c>
      <c r="AV309" t="b">
        <v>1</v>
      </c>
      <c r="AW309" t="b">
        <v>1</v>
      </c>
      <c r="AX309" t="b">
        <v>1</v>
      </c>
      <c r="BA309" t="s">
        <v>440</v>
      </c>
    </row>
    <row r="310" spans="1:53" x14ac:dyDescent="0.25">
      <c r="A310" t="s">
        <v>386</v>
      </c>
      <c r="B310">
        <v>11</v>
      </c>
      <c r="C310">
        <v>1</v>
      </c>
      <c r="D310">
        <v>1</v>
      </c>
      <c r="E310">
        <v>52081900</v>
      </c>
      <c r="F310">
        <v>274799</v>
      </c>
      <c r="G310" t="s">
        <v>311</v>
      </c>
      <c r="H310" t="s">
        <v>60</v>
      </c>
      <c r="I310" t="s">
        <v>60</v>
      </c>
      <c r="J310" t="s">
        <v>60</v>
      </c>
      <c r="K310" t="s">
        <v>60</v>
      </c>
      <c r="L310" t="s">
        <v>27</v>
      </c>
      <c r="M310">
        <v>9.6</v>
      </c>
      <c r="P310">
        <v>40</v>
      </c>
      <c r="Q310" t="s">
        <v>80</v>
      </c>
      <c r="R310" t="s">
        <v>409</v>
      </c>
      <c r="S310" t="s">
        <v>358</v>
      </c>
      <c r="T310" t="s">
        <v>327</v>
      </c>
      <c r="V310">
        <v>0</v>
      </c>
      <c r="Y310">
        <v>0</v>
      </c>
      <c r="Z310">
        <v>0</v>
      </c>
      <c r="AA310">
        <v>0</v>
      </c>
      <c r="AB310">
        <v>2303241.2200000002</v>
      </c>
      <c r="AC310">
        <v>0</v>
      </c>
      <c r="AD310">
        <v>0</v>
      </c>
      <c r="AE310">
        <v>0</v>
      </c>
      <c r="AQ310">
        <v>182380</v>
      </c>
      <c r="AR310" t="b">
        <v>1</v>
      </c>
      <c r="AS310" t="b">
        <v>1</v>
      </c>
      <c r="AT310" t="b">
        <v>1</v>
      </c>
      <c r="AU310" t="b">
        <v>1</v>
      </c>
      <c r="AV310" t="b">
        <v>1</v>
      </c>
      <c r="AW310" t="b">
        <v>1</v>
      </c>
      <c r="AX310" t="b">
        <v>1</v>
      </c>
      <c r="BA310" t="s">
        <v>441</v>
      </c>
    </row>
    <row r="311" spans="1:53" x14ac:dyDescent="0.25">
      <c r="A311" t="s">
        <v>386</v>
      </c>
      <c r="B311">
        <v>11</v>
      </c>
      <c r="C311">
        <v>2</v>
      </c>
      <c r="D311">
        <v>1</v>
      </c>
      <c r="E311">
        <v>52081900</v>
      </c>
      <c r="F311">
        <v>275340</v>
      </c>
      <c r="G311" t="s">
        <v>312</v>
      </c>
      <c r="H311" t="s">
        <v>60</v>
      </c>
      <c r="I311" t="s">
        <v>60</v>
      </c>
      <c r="J311" t="s">
        <v>60</v>
      </c>
      <c r="K311" t="s">
        <v>60</v>
      </c>
      <c r="L311" t="s">
        <v>27</v>
      </c>
      <c r="M311">
        <v>9.6</v>
      </c>
      <c r="P311">
        <v>40</v>
      </c>
      <c r="Q311" t="s">
        <v>80</v>
      </c>
      <c r="R311" t="s">
        <v>435</v>
      </c>
      <c r="S311" t="s">
        <v>382</v>
      </c>
      <c r="T311" t="s">
        <v>353</v>
      </c>
      <c r="V311">
        <v>0</v>
      </c>
      <c r="Y311">
        <v>0</v>
      </c>
      <c r="Z311">
        <v>0</v>
      </c>
      <c r="AA311">
        <v>0</v>
      </c>
      <c r="AB311">
        <v>2303241.2200000002</v>
      </c>
      <c r="AC311">
        <v>0</v>
      </c>
      <c r="AD311">
        <v>0</v>
      </c>
      <c r="AE311">
        <v>0</v>
      </c>
      <c r="AQ311">
        <v>182380</v>
      </c>
      <c r="AR311" t="b">
        <v>1</v>
      </c>
      <c r="AS311" t="b">
        <v>1</v>
      </c>
      <c r="AT311" t="b">
        <v>1</v>
      </c>
      <c r="AU311" t="b">
        <v>1</v>
      </c>
      <c r="AV311" t="b">
        <v>1</v>
      </c>
      <c r="AW311" t="b">
        <v>1</v>
      </c>
      <c r="AX311" t="b">
        <v>1</v>
      </c>
      <c r="BA311" t="s">
        <v>441</v>
      </c>
    </row>
    <row r="312" spans="1:53" x14ac:dyDescent="0.25">
      <c r="A312" t="s">
        <v>386</v>
      </c>
      <c r="B312">
        <v>11</v>
      </c>
      <c r="C312">
        <v>3</v>
      </c>
      <c r="D312">
        <v>1</v>
      </c>
      <c r="E312">
        <v>56039200</v>
      </c>
      <c r="F312">
        <v>267890</v>
      </c>
      <c r="G312" t="s">
        <v>323</v>
      </c>
      <c r="H312" t="s">
        <v>60</v>
      </c>
      <c r="I312" t="s">
        <v>60</v>
      </c>
      <c r="J312" t="s">
        <v>60</v>
      </c>
      <c r="K312" t="s">
        <v>60</v>
      </c>
      <c r="L312" t="s">
        <v>11</v>
      </c>
      <c r="M312">
        <v>4</v>
      </c>
      <c r="P312">
        <v>40</v>
      </c>
      <c r="Q312" t="s">
        <v>80</v>
      </c>
      <c r="R312" t="s">
        <v>430</v>
      </c>
      <c r="S312" t="s">
        <v>377</v>
      </c>
      <c r="T312" t="s">
        <v>348</v>
      </c>
      <c r="V312">
        <v>0</v>
      </c>
      <c r="Y312">
        <v>0</v>
      </c>
      <c r="Z312">
        <v>0</v>
      </c>
      <c r="AA312">
        <v>0</v>
      </c>
      <c r="AB312">
        <v>23649.68</v>
      </c>
      <c r="AC312">
        <v>0</v>
      </c>
      <c r="AD312">
        <v>0</v>
      </c>
      <c r="AE312">
        <v>0</v>
      </c>
      <c r="AQ312">
        <v>182380</v>
      </c>
      <c r="AR312" t="b">
        <v>1</v>
      </c>
      <c r="AS312" t="b">
        <v>1</v>
      </c>
      <c r="AT312" t="b">
        <v>1</v>
      </c>
      <c r="AU312" t="b">
        <v>1</v>
      </c>
      <c r="AV312" t="b">
        <v>1</v>
      </c>
      <c r="AW312" t="b">
        <v>1</v>
      </c>
      <c r="AX312" t="b">
        <v>1</v>
      </c>
      <c r="BA312" t="s">
        <v>441</v>
      </c>
    </row>
    <row r="313" spans="1:53" x14ac:dyDescent="0.25">
      <c r="A313" t="s">
        <v>386</v>
      </c>
      <c r="B313">
        <v>11</v>
      </c>
      <c r="C313">
        <v>4</v>
      </c>
      <c r="D313">
        <v>1</v>
      </c>
      <c r="E313">
        <v>39191020</v>
      </c>
      <c r="F313">
        <v>273158</v>
      </c>
      <c r="G313" t="s">
        <v>325</v>
      </c>
      <c r="H313" t="s">
        <v>60</v>
      </c>
      <c r="I313" t="s">
        <v>60</v>
      </c>
      <c r="J313" t="s">
        <v>60</v>
      </c>
      <c r="K313" t="s">
        <v>60</v>
      </c>
      <c r="L313" t="s">
        <v>27</v>
      </c>
      <c r="M313">
        <v>43.16</v>
      </c>
      <c r="P313">
        <v>40</v>
      </c>
      <c r="Q313" t="s">
        <v>80</v>
      </c>
      <c r="R313" t="s">
        <v>436</v>
      </c>
      <c r="S313" t="s">
        <v>383</v>
      </c>
      <c r="T313" t="s">
        <v>354</v>
      </c>
      <c r="V313">
        <v>0</v>
      </c>
      <c r="Y313">
        <v>0</v>
      </c>
      <c r="Z313">
        <v>0</v>
      </c>
      <c r="AA313">
        <v>0</v>
      </c>
      <c r="AB313">
        <v>12948000</v>
      </c>
      <c r="AC313">
        <v>0</v>
      </c>
      <c r="AD313">
        <v>0</v>
      </c>
      <c r="AE313">
        <v>0</v>
      </c>
      <c r="AQ313">
        <v>182380</v>
      </c>
      <c r="AR313" t="b">
        <v>1</v>
      </c>
      <c r="AS313" t="b">
        <v>1</v>
      </c>
      <c r="AT313" t="b">
        <v>1</v>
      </c>
      <c r="AU313" t="b">
        <v>1</v>
      </c>
      <c r="AV313" t="b">
        <v>1</v>
      </c>
      <c r="AW313" t="b">
        <v>1</v>
      </c>
      <c r="AX313" t="b">
        <v>1</v>
      </c>
      <c r="BA313" t="s">
        <v>441</v>
      </c>
    </row>
    <row r="314" spans="1:53" x14ac:dyDescent="0.25">
      <c r="A314" t="s">
        <v>386</v>
      </c>
      <c r="B314">
        <v>11</v>
      </c>
      <c r="C314">
        <v>5</v>
      </c>
      <c r="D314">
        <v>1</v>
      </c>
      <c r="E314">
        <v>48211090</v>
      </c>
      <c r="F314">
        <v>297274</v>
      </c>
      <c r="G314" t="s">
        <v>315</v>
      </c>
      <c r="H314" t="s">
        <v>60</v>
      </c>
      <c r="I314" t="s">
        <v>60</v>
      </c>
      <c r="J314" t="s">
        <v>60</v>
      </c>
      <c r="K314" t="s">
        <v>60</v>
      </c>
      <c r="L314" t="s">
        <v>12</v>
      </c>
      <c r="M314">
        <v>200</v>
      </c>
      <c r="P314">
        <v>40</v>
      </c>
      <c r="Q314" t="s">
        <v>80</v>
      </c>
      <c r="R314" t="s">
        <v>415</v>
      </c>
      <c r="S314" t="s">
        <v>363</v>
      </c>
      <c r="T314" t="s">
        <v>333</v>
      </c>
      <c r="V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Q314">
        <v>182380</v>
      </c>
      <c r="AR314" t="b">
        <v>1</v>
      </c>
      <c r="AS314" t="b">
        <v>1</v>
      </c>
      <c r="AT314" t="b">
        <v>1</v>
      </c>
      <c r="AU314" t="b">
        <v>1</v>
      </c>
      <c r="AV314" t="b">
        <v>1</v>
      </c>
      <c r="AW314" t="b">
        <v>1</v>
      </c>
      <c r="AX314" t="b">
        <v>1</v>
      </c>
      <c r="BA314" t="s">
        <v>441</v>
      </c>
    </row>
    <row r="315" spans="1:53" x14ac:dyDescent="0.25">
      <c r="A315" t="s">
        <v>386</v>
      </c>
      <c r="B315">
        <v>11</v>
      </c>
      <c r="C315">
        <v>6</v>
      </c>
      <c r="D315">
        <v>1</v>
      </c>
      <c r="E315">
        <v>48211090</v>
      </c>
      <c r="F315">
        <v>297275</v>
      </c>
      <c r="G315" t="s">
        <v>316</v>
      </c>
      <c r="H315" t="s">
        <v>60</v>
      </c>
      <c r="I315" t="s">
        <v>60</v>
      </c>
      <c r="J315" t="s">
        <v>60</v>
      </c>
      <c r="K315" t="s">
        <v>60</v>
      </c>
      <c r="L315" t="s">
        <v>12</v>
      </c>
      <c r="M315">
        <v>30</v>
      </c>
      <c r="P315">
        <v>40</v>
      </c>
      <c r="Q315" t="s">
        <v>80</v>
      </c>
      <c r="R315" t="s">
        <v>415</v>
      </c>
      <c r="S315" t="s">
        <v>363</v>
      </c>
      <c r="T315" t="s">
        <v>333</v>
      </c>
      <c r="V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Q315">
        <v>182380</v>
      </c>
      <c r="AR315" t="b">
        <v>1</v>
      </c>
      <c r="AS315" t="b">
        <v>1</v>
      </c>
      <c r="AT315" t="b">
        <v>1</v>
      </c>
      <c r="AU315" t="b">
        <v>1</v>
      </c>
      <c r="AV315" t="b">
        <v>1</v>
      </c>
      <c r="AW315" t="b">
        <v>1</v>
      </c>
      <c r="AX315" t="b">
        <v>1</v>
      </c>
      <c r="BA315" t="s">
        <v>441</v>
      </c>
    </row>
    <row r="316" spans="1:53" x14ac:dyDescent="0.25">
      <c r="A316" t="s">
        <v>386</v>
      </c>
      <c r="B316">
        <v>11</v>
      </c>
      <c r="C316">
        <v>7</v>
      </c>
      <c r="D316">
        <v>1</v>
      </c>
      <c r="E316">
        <v>48211090</v>
      </c>
      <c r="F316">
        <v>297276</v>
      </c>
      <c r="G316" t="s">
        <v>317</v>
      </c>
      <c r="H316" t="s">
        <v>60</v>
      </c>
      <c r="I316" t="s">
        <v>60</v>
      </c>
      <c r="J316" t="s">
        <v>60</v>
      </c>
      <c r="K316" t="s">
        <v>60</v>
      </c>
      <c r="L316" t="s">
        <v>12</v>
      </c>
      <c r="M316">
        <v>70</v>
      </c>
      <c r="P316">
        <v>40</v>
      </c>
      <c r="Q316" t="s">
        <v>80</v>
      </c>
      <c r="R316" t="s">
        <v>415</v>
      </c>
      <c r="S316" t="s">
        <v>363</v>
      </c>
      <c r="T316" t="s">
        <v>333</v>
      </c>
      <c r="V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Q316">
        <v>182380</v>
      </c>
      <c r="AR316" t="b">
        <v>1</v>
      </c>
      <c r="AS316" t="b">
        <v>1</v>
      </c>
      <c r="AT316" t="b">
        <v>1</v>
      </c>
      <c r="AU316" t="b">
        <v>1</v>
      </c>
      <c r="AV316" t="b">
        <v>1</v>
      </c>
      <c r="AW316" t="b">
        <v>1</v>
      </c>
      <c r="AX316" t="b">
        <v>1</v>
      </c>
      <c r="BA316" t="s">
        <v>441</v>
      </c>
    </row>
    <row r="317" spans="1:53" x14ac:dyDescent="0.25">
      <c r="A317" t="s">
        <v>386</v>
      </c>
      <c r="B317">
        <v>11</v>
      </c>
      <c r="C317">
        <v>8</v>
      </c>
      <c r="D317">
        <v>1</v>
      </c>
      <c r="E317">
        <v>48211090</v>
      </c>
      <c r="F317">
        <v>297277</v>
      </c>
      <c r="G317" t="s">
        <v>318</v>
      </c>
      <c r="H317" t="s">
        <v>60</v>
      </c>
      <c r="I317" t="s">
        <v>60</v>
      </c>
      <c r="J317" t="s">
        <v>60</v>
      </c>
      <c r="K317" t="s">
        <v>60</v>
      </c>
      <c r="L317" t="s">
        <v>12</v>
      </c>
      <c r="M317">
        <v>50</v>
      </c>
      <c r="P317">
        <v>40</v>
      </c>
      <c r="Q317" t="s">
        <v>80</v>
      </c>
      <c r="R317" t="s">
        <v>415</v>
      </c>
      <c r="S317" t="s">
        <v>363</v>
      </c>
      <c r="T317" t="s">
        <v>333</v>
      </c>
      <c r="V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Q317">
        <v>182380</v>
      </c>
      <c r="AR317" t="b">
        <v>1</v>
      </c>
      <c r="AS317" t="b">
        <v>1</v>
      </c>
      <c r="AT317" t="b">
        <v>1</v>
      </c>
      <c r="AU317" t="b">
        <v>1</v>
      </c>
      <c r="AV317" t="b">
        <v>1</v>
      </c>
      <c r="AW317" t="b">
        <v>1</v>
      </c>
      <c r="AX317" t="b">
        <v>1</v>
      </c>
      <c r="BA317" t="s">
        <v>441</v>
      </c>
    </row>
    <row r="318" spans="1:53" x14ac:dyDescent="0.25">
      <c r="A318" t="s">
        <v>386</v>
      </c>
      <c r="B318">
        <v>11</v>
      </c>
      <c r="C318">
        <v>9</v>
      </c>
      <c r="D318">
        <v>1</v>
      </c>
      <c r="E318">
        <v>48211090</v>
      </c>
      <c r="F318">
        <v>297278</v>
      </c>
      <c r="G318" t="s">
        <v>319</v>
      </c>
      <c r="H318" t="s">
        <v>60</v>
      </c>
      <c r="I318" t="s">
        <v>60</v>
      </c>
      <c r="J318" t="s">
        <v>60</v>
      </c>
      <c r="K318" t="s">
        <v>60</v>
      </c>
      <c r="L318" t="s">
        <v>12</v>
      </c>
      <c r="M318">
        <v>50</v>
      </c>
      <c r="P318">
        <v>40</v>
      </c>
      <c r="Q318" t="s">
        <v>80</v>
      </c>
      <c r="R318" t="s">
        <v>415</v>
      </c>
      <c r="S318" t="s">
        <v>363</v>
      </c>
      <c r="T318" t="s">
        <v>333</v>
      </c>
      <c r="V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Q318">
        <v>182380</v>
      </c>
      <c r="AR318" t="b">
        <v>1</v>
      </c>
      <c r="AS318" t="b">
        <v>1</v>
      </c>
      <c r="AT318" t="b">
        <v>1</v>
      </c>
      <c r="AU318" t="b">
        <v>1</v>
      </c>
      <c r="AV318" t="b">
        <v>1</v>
      </c>
      <c r="AW318" t="b">
        <v>1</v>
      </c>
      <c r="AX318" t="b">
        <v>1</v>
      </c>
      <c r="BA318" t="s">
        <v>441</v>
      </c>
    </row>
    <row r="319" spans="1:53" x14ac:dyDescent="0.25">
      <c r="A319" t="s">
        <v>386</v>
      </c>
      <c r="B319">
        <v>11</v>
      </c>
      <c r="C319">
        <v>10</v>
      </c>
      <c r="D319">
        <v>1</v>
      </c>
      <c r="E319">
        <v>96062100</v>
      </c>
      <c r="F319">
        <v>297279</v>
      </c>
      <c r="G319" t="s">
        <v>326</v>
      </c>
      <c r="H319" t="s">
        <v>60</v>
      </c>
      <c r="I319" t="s">
        <v>60</v>
      </c>
      <c r="J319" t="s">
        <v>60</v>
      </c>
      <c r="K319" t="s">
        <v>60</v>
      </c>
      <c r="L319" t="s">
        <v>12</v>
      </c>
      <c r="M319">
        <v>800</v>
      </c>
      <c r="P319">
        <v>40</v>
      </c>
      <c r="Q319" t="s">
        <v>80</v>
      </c>
      <c r="R319" t="s">
        <v>415</v>
      </c>
      <c r="S319" t="s">
        <v>363</v>
      </c>
      <c r="T319" t="s">
        <v>333</v>
      </c>
      <c r="V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Q319">
        <v>182380</v>
      </c>
      <c r="AR319" t="b">
        <v>1</v>
      </c>
      <c r="AS319" t="b">
        <v>1</v>
      </c>
      <c r="AT319" t="b">
        <v>1</v>
      </c>
      <c r="AU319" t="b">
        <v>1</v>
      </c>
      <c r="AV319" t="b">
        <v>1</v>
      </c>
      <c r="AW319" t="b">
        <v>1</v>
      </c>
      <c r="AX319" t="b">
        <v>1</v>
      </c>
      <c r="BA319" t="s">
        <v>441</v>
      </c>
    </row>
    <row r="320" spans="1:53" x14ac:dyDescent="0.25">
      <c r="A320" t="s">
        <v>386</v>
      </c>
      <c r="B320">
        <v>11</v>
      </c>
      <c r="C320">
        <v>11</v>
      </c>
      <c r="D320">
        <v>1</v>
      </c>
      <c r="E320">
        <v>52081900</v>
      </c>
      <c r="F320">
        <v>274799</v>
      </c>
      <c r="G320" t="s">
        <v>311</v>
      </c>
      <c r="H320" t="s">
        <v>60</v>
      </c>
      <c r="I320" t="s">
        <v>60</v>
      </c>
      <c r="J320" t="s">
        <v>60</v>
      </c>
      <c r="K320" t="s">
        <v>60</v>
      </c>
      <c r="L320" t="s">
        <v>27</v>
      </c>
      <c r="M320">
        <v>4.8</v>
      </c>
      <c r="P320">
        <v>40</v>
      </c>
      <c r="Q320" t="s">
        <v>80</v>
      </c>
      <c r="R320" t="s">
        <v>409</v>
      </c>
      <c r="S320" t="s">
        <v>358</v>
      </c>
      <c r="T320" t="s">
        <v>327</v>
      </c>
      <c r="V320">
        <v>0</v>
      </c>
      <c r="Y320">
        <v>0</v>
      </c>
      <c r="Z320">
        <v>0</v>
      </c>
      <c r="AA320">
        <v>0</v>
      </c>
      <c r="AB320">
        <v>2303241.2200000002</v>
      </c>
      <c r="AC320">
        <v>0</v>
      </c>
      <c r="AD320">
        <v>0</v>
      </c>
      <c r="AE320">
        <v>0</v>
      </c>
      <c r="AQ320">
        <v>182380</v>
      </c>
      <c r="AR320" t="b">
        <v>1</v>
      </c>
      <c r="AS320" t="b">
        <v>1</v>
      </c>
      <c r="AT320" t="b">
        <v>1</v>
      </c>
      <c r="AU320" t="b">
        <v>1</v>
      </c>
      <c r="AV320" t="b">
        <v>1</v>
      </c>
      <c r="AW320" t="b">
        <v>1</v>
      </c>
      <c r="AX320" t="b">
        <v>1</v>
      </c>
      <c r="BA320" t="s">
        <v>441</v>
      </c>
    </row>
    <row r="321" spans="1:53" x14ac:dyDescent="0.25">
      <c r="A321" t="s">
        <v>386</v>
      </c>
      <c r="B321">
        <v>11</v>
      </c>
      <c r="C321">
        <v>12</v>
      </c>
      <c r="D321">
        <v>1</v>
      </c>
      <c r="E321">
        <v>52081900</v>
      </c>
      <c r="F321">
        <v>275340</v>
      </c>
      <c r="G321" t="s">
        <v>312</v>
      </c>
      <c r="H321" t="s">
        <v>60</v>
      </c>
      <c r="I321" t="s">
        <v>60</v>
      </c>
      <c r="J321" t="s">
        <v>60</v>
      </c>
      <c r="K321" t="s">
        <v>60</v>
      </c>
      <c r="L321" t="s">
        <v>27</v>
      </c>
      <c r="M321">
        <v>4.8</v>
      </c>
      <c r="P321">
        <v>40</v>
      </c>
      <c r="Q321" t="s">
        <v>80</v>
      </c>
      <c r="R321" t="s">
        <v>435</v>
      </c>
      <c r="S321" t="s">
        <v>382</v>
      </c>
      <c r="T321" t="s">
        <v>353</v>
      </c>
      <c r="V321">
        <v>0</v>
      </c>
      <c r="Y321">
        <v>0</v>
      </c>
      <c r="Z321">
        <v>0</v>
      </c>
      <c r="AA321">
        <v>0</v>
      </c>
      <c r="AB321">
        <v>2303241.2200000002</v>
      </c>
      <c r="AC321">
        <v>0</v>
      </c>
      <c r="AD321">
        <v>0</v>
      </c>
      <c r="AE321">
        <v>0</v>
      </c>
      <c r="AQ321">
        <v>182380</v>
      </c>
      <c r="AR321" t="b">
        <v>1</v>
      </c>
      <c r="AS321" t="b">
        <v>1</v>
      </c>
      <c r="AT321" t="b">
        <v>1</v>
      </c>
      <c r="AU321" t="b">
        <v>1</v>
      </c>
      <c r="AV321" t="b">
        <v>1</v>
      </c>
      <c r="AW321" t="b">
        <v>1</v>
      </c>
      <c r="AX321" t="b">
        <v>1</v>
      </c>
      <c r="BA321" t="s">
        <v>441</v>
      </c>
    </row>
    <row r="322" spans="1:53" x14ac:dyDescent="0.25">
      <c r="A322" t="s">
        <v>386</v>
      </c>
      <c r="B322">
        <v>11</v>
      </c>
      <c r="C322">
        <v>13</v>
      </c>
      <c r="D322">
        <v>1</v>
      </c>
      <c r="E322">
        <v>56039200</v>
      </c>
      <c r="F322">
        <v>267890</v>
      </c>
      <c r="G322" t="s">
        <v>323</v>
      </c>
      <c r="H322" t="s">
        <v>60</v>
      </c>
      <c r="I322" t="s">
        <v>60</v>
      </c>
      <c r="J322" t="s">
        <v>60</v>
      </c>
      <c r="K322" t="s">
        <v>60</v>
      </c>
      <c r="L322" t="s">
        <v>11</v>
      </c>
      <c r="M322">
        <v>2</v>
      </c>
      <c r="P322">
        <v>40</v>
      </c>
      <c r="Q322" t="s">
        <v>80</v>
      </c>
      <c r="R322" t="s">
        <v>430</v>
      </c>
      <c r="S322" t="s">
        <v>377</v>
      </c>
      <c r="T322" t="s">
        <v>348</v>
      </c>
      <c r="V322">
        <v>0</v>
      </c>
      <c r="Y322">
        <v>0</v>
      </c>
      <c r="Z322">
        <v>0</v>
      </c>
      <c r="AA322">
        <v>0</v>
      </c>
      <c r="AB322">
        <v>23649.68</v>
      </c>
      <c r="AC322">
        <v>0</v>
      </c>
      <c r="AD322">
        <v>0</v>
      </c>
      <c r="AE322">
        <v>0</v>
      </c>
      <c r="AQ322">
        <v>182380</v>
      </c>
      <c r="AR322" t="b">
        <v>1</v>
      </c>
      <c r="AS322" t="b">
        <v>1</v>
      </c>
      <c r="AT322" t="b">
        <v>1</v>
      </c>
      <c r="AU322" t="b">
        <v>1</v>
      </c>
      <c r="AV322" t="b">
        <v>1</v>
      </c>
      <c r="AW322" t="b">
        <v>1</v>
      </c>
      <c r="AX322" t="b">
        <v>1</v>
      </c>
      <c r="BA322" t="s">
        <v>441</v>
      </c>
    </row>
    <row r="323" spans="1:53" x14ac:dyDescent="0.25">
      <c r="A323" t="s">
        <v>386</v>
      </c>
      <c r="B323">
        <v>11</v>
      </c>
      <c r="C323">
        <v>14</v>
      </c>
      <c r="D323">
        <v>1</v>
      </c>
      <c r="E323">
        <v>39191020</v>
      </c>
      <c r="F323">
        <v>273158</v>
      </c>
      <c r="G323" t="s">
        <v>325</v>
      </c>
      <c r="H323" t="s">
        <v>60</v>
      </c>
      <c r="I323" t="s">
        <v>60</v>
      </c>
      <c r="J323" t="s">
        <v>60</v>
      </c>
      <c r="K323" t="s">
        <v>60</v>
      </c>
      <c r="L323" t="s">
        <v>27</v>
      </c>
      <c r="M323">
        <v>21.58</v>
      </c>
      <c r="P323">
        <v>40</v>
      </c>
      <c r="Q323" t="s">
        <v>80</v>
      </c>
      <c r="R323" t="s">
        <v>436</v>
      </c>
      <c r="S323" t="s">
        <v>383</v>
      </c>
      <c r="T323" t="s">
        <v>354</v>
      </c>
      <c r="V323">
        <v>0</v>
      </c>
      <c r="Y323">
        <v>0</v>
      </c>
      <c r="Z323">
        <v>0</v>
      </c>
      <c r="AA323">
        <v>0</v>
      </c>
      <c r="AB323">
        <v>12948000</v>
      </c>
      <c r="AC323">
        <v>0</v>
      </c>
      <c r="AD323">
        <v>0</v>
      </c>
      <c r="AE323">
        <v>0</v>
      </c>
      <c r="AQ323">
        <v>182380</v>
      </c>
      <c r="AR323" t="b">
        <v>1</v>
      </c>
      <c r="AS323" t="b">
        <v>1</v>
      </c>
      <c r="AT323" t="b">
        <v>1</v>
      </c>
      <c r="AU323" t="b">
        <v>1</v>
      </c>
      <c r="AV323" t="b">
        <v>1</v>
      </c>
      <c r="AW323" t="b">
        <v>1</v>
      </c>
      <c r="AX323" t="b">
        <v>1</v>
      </c>
      <c r="BA323" t="s">
        <v>441</v>
      </c>
    </row>
    <row r="324" spans="1:53" x14ac:dyDescent="0.25">
      <c r="A324" t="s">
        <v>386</v>
      </c>
      <c r="B324">
        <v>11</v>
      </c>
      <c r="C324">
        <v>15</v>
      </c>
      <c r="D324">
        <v>1</v>
      </c>
      <c r="E324">
        <v>48211090</v>
      </c>
      <c r="F324">
        <v>297274</v>
      </c>
      <c r="G324" t="s">
        <v>315</v>
      </c>
      <c r="H324" t="s">
        <v>60</v>
      </c>
      <c r="I324" t="s">
        <v>60</v>
      </c>
      <c r="J324" t="s">
        <v>60</v>
      </c>
      <c r="K324" t="s">
        <v>60</v>
      </c>
      <c r="L324" t="s">
        <v>12</v>
      </c>
      <c r="M324">
        <v>100</v>
      </c>
      <c r="P324">
        <v>40</v>
      </c>
      <c r="Q324" t="s">
        <v>80</v>
      </c>
      <c r="R324" t="s">
        <v>415</v>
      </c>
      <c r="S324" t="s">
        <v>363</v>
      </c>
      <c r="T324" t="s">
        <v>333</v>
      </c>
      <c r="V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Q324">
        <v>182380</v>
      </c>
      <c r="AR324" t="b">
        <v>1</v>
      </c>
      <c r="AS324" t="b">
        <v>1</v>
      </c>
      <c r="AT324" t="b">
        <v>1</v>
      </c>
      <c r="AU324" t="b">
        <v>1</v>
      </c>
      <c r="AV324" t="b">
        <v>1</v>
      </c>
      <c r="AW324" t="b">
        <v>1</v>
      </c>
      <c r="AX324" t="b">
        <v>1</v>
      </c>
      <c r="BA324" t="s">
        <v>441</v>
      </c>
    </row>
    <row r="325" spans="1:53" x14ac:dyDescent="0.25">
      <c r="A325" t="s">
        <v>386</v>
      </c>
      <c r="B325">
        <v>11</v>
      </c>
      <c r="C325">
        <v>16</v>
      </c>
      <c r="D325">
        <v>1</v>
      </c>
      <c r="E325">
        <v>48211090</v>
      </c>
      <c r="F325">
        <v>297275</v>
      </c>
      <c r="G325" t="s">
        <v>316</v>
      </c>
      <c r="H325" t="s">
        <v>60</v>
      </c>
      <c r="I325" t="s">
        <v>60</v>
      </c>
      <c r="J325" t="s">
        <v>60</v>
      </c>
      <c r="K325" t="s">
        <v>60</v>
      </c>
      <c r="L325" t="s">
        <v>12</v>
      </c>
      <c r="M325">
        <v>15</v>
      </c>
      <c r="P325">
        <v>40</v>
      </c>
      <c r="Q325" t="s">
        <v>80</v>
      </c>
      <c r="R325" t="s">
        <v>415</v>
      </c>
      <c r="S325" t="s">
        <v>363</v>
      </c>
      <c r="T325" t="s">
        <v>333</v>
      </c>
      <c r="V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Q325">
        <v>182380</v>
      </c>
      <c r="AR325" t="b">
        <v>1</v>
      </c>
      <c r="AS325" t="b">
        <v>1</v>
      </c>
      <c r="AT325" t="b">
        <v>1</v>
      </c>
      <c r="AU325" t="b">
        <v>1</v>
      </c>
      <c r="AV325" t="b">
        <v>1</v>
      </c>
      <c r="AW325" t="b">
        <v>1</v>
      </c>
      <c r="AX325" t="b">
        <v>1</v>
      </c>
      <c r="BA325" t="s">
        <v>441</v>
      </c>
    </row>
    <row r="326" spans="1:53" x14ac:dyDescent="0.25">
      <c r="A326" t="s">
        <v>386</v>
      </c>
      <c r="B326">
        <v>11</v>
      </c>
      <c r="C326">
        <v>17</v>
      </c>
      <c r="D326">
        <v>1</v>
      </c>
      <c r="E326">
        <v>48211090</v>
      </c>
      <c r="F326">
        <v>297276</v>
      </c>
      <c r="G326" t="s">
        <v>317</v>
      </c>
      <c r="H326" t="s">
        <v>60</v>
      </c>
      <c r="I326" t="s">
        <v>60</v>
      </c>
      <c r="J326" t="s">
        <v>60</v>
      </c>
      <c r="K326" t="s">
        <v>60</v>
      </c>
      <c r="L326" t="s">
        <v>12</v>
      </c>
      <c r="M326">
        <v>35</v>
      </c>
      <c r="P326">
        <v>40</v>
      </c>
      <c r="Q326" t="s">
        <v>80</v>
      </c>
      <c r="R326" t="s">
        <v>415</v>
      </c>
      <c r="S326" t="s">
        <v>363</v>
      </c>
      <c r="T326" t="s">
        <v>333</v>
      </c>
      <c r="V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Q326">
        <v>182380</v>
      </c>
      <c r="AR326" t="b">
        <v>1</v>
      </c>
      <c r="AS326" t="b">
        <v>1</v>
      </c>
      <c r="AT326" t="b">
        <v>1</v>
      </c>
      <c r="AU326" t="b">
        <v>1</v>
      </c>
      <c r="AV326" t="b">
        <v>1</v>
      </c>
      <c r="AW326" t="b">
        <v>1</v>
      </c>
      <c r="AX326" t="b">
        <v>1</v>
      </c>
      <c r="BA326" t="s">
        <v>441</v>
      </c>
    </row>
    <row r="327" spans="1:53" x14ac:dyDescent="0.25">
      <c r="A327" t="s">
        <v>386</v>
      </c>
      <c r="B327">
        <v>11</v>
      </c>
      <c r="C327">
        <v>18</v>
      </c>
      <c r="D327">
        <v>1</v>
      </c>
      <c r="E327">
        <v>48211090</v>
      </c>
      <c r="F327">
        <v>297277</v>
      </c>
      <c r="G327" t="s">
        <v>318</v>
      </c>
      <c r="H327" t="s">
        <v>60</v>
      </c>
      <c r="I327" t="s">
        <v>60</v>
      </c>
      <c r="J327" t="s">
        <v>60</v>
      </c>
      <c r="K327" t="s">
        <v>60</v>
      </c>
      <c r="L327" t="s">
        <v>12</v>
      </c>
      <c r="M327">
        <v>25</v>
      </c>
      <c r="P327">
        <v>40</v>
      </c>
      <c r="Q327" t="s">
        <v>80</v>
      </c>
      <c r="R327" t="s">
        <v>415</v>
      </c>
      <c r="S327" t="s">
        <v>363</v>
      </c>
      <c r="T327" t="s">
        <v>333</v>
      </c>
      <c r="V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Q327">
        <v>182380</v>
      </c>
      <c r="AR327" t="b">
        <v>1</v>
      </c>
      <c r="AS327" t="b">
        <v>1</v>
      </c>
      <c r="AT327" t="b">
        <v>1</v>
      </c>
      <c r="AU327" t="b">
        <v>1</v>
      </c>
      <c r="AV327" t="b">
        <v>1</v>
      </c>
      <c r="AW327" t="b">
        <v>1</v>
      </c>
      <c r="AX327" t="b">
        <v>1</v>
      </c>
      <c r="BA327" t="s">
        <v>441</v>
      </c>
    </row>
    <row r="328" spans="1:53" x14ac:dyDescent="0.25">
      <c r="A328" t="s">
        <v>386</v>
      </c>
      <c r="B328">
        <v>11</v>
      </c>
      <c r="C328">
        <v>19</v>
      </c>
      <c r="D328">
        <v>1</v>
      </c>
      <c r="E328">
        <v>48211090</v>
      </c>
      <c r="F328">
        <v>297278</v>
      </c>
      <c r="G328" t="s">
        <v>319</v>
      </c>
      <c r="H328" t="s">
        <v>60</v>
      </c>
      <c r="I328" t="s">
        <v>60</v>
      </c>
      <c r="J328" t="s">
        <v>60</v>
      </c>
      <c r="K328" t="s">
        <v>60</v>
      </c>
      <c r="L328" t="s">
        <v>12</v>
      </c>
      <c r="M328">
        <v>25</v>
      </c>
      <c r="P328">
        <v>40</v>
      </c>
      <c r="Q328" t="s">
        <v>80</v>
      </c>
      <c r="R328" t="s">
        <v>415</v>
      </c>
      <c r="S328" t="s">
        <v>363</v>
      </c>
      <c r="T328" t="s">
        <v>333</v>
      </c>
      <c r="V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Q328">
        <v>182380</v>
      </c>
      <c r="AR328" t="b">
        <v>1</v>
      </c>
      <c r="AS328" t="b">
        <v>1</v>
      </c>
      <c r="AT328" t="b">
        <v>1</v>
      </c>
      <c r="AU328" t="b">
        <v>1</v>
      </c>
      <c r="AV328" t="b">
        <v>1</v>
      </c>
      <c r="AW328" t="b">
        <v>1</v>
      </c>
      <c r="AX328" t="b">
        <v>1</v>
      </c>
      <c r="BA328" t="s">
        <v>441</v>
      </c>
    </row>
    <row r="329" spans="1:53" x14ac:dyDescent="0.25">
      <c r="A329" t="s">
        <v>386</v>
      </c>
      <c r="B329">
        <v>11</v>
      </c>
      <c r="C329">
        <v>20</v>
      </c>
      <c r="D329">
        <v>1</v>
      </c>
      <c r="E329">
        <v>96062100</v>
      </c>
      <c r="F329">
        <v>297279</v>
      </c>
      <c r="G329" t="s">
        <v>326</v>
      </c>
      <c r="H329" t="s">
        <v>60</v>
      </c>
      <c r="I329" t="s">
        <v>60</v>
      </c>
      <c r="J329" t="s">
        <v>60</v>
      </c>
      <c r="K329" t="s">
        <v>60</v>
      </c>
      <c r="L329" t="s">
        <v>12</v>
      </c>
      <c r="M329">
        <v>400</v>
      </c>
      <c r="P329">
        <v>40</v>
      </c>
      <c r="Q329" t="s">
        <v>80</v>
      </c>
      <c r="R329" t="s">
        <v>415</v>
      </c>
      <c r="S329" t="s">
        <v>363</v>
      </c>
      <c r="T329" t="s">
        <v>333</v>
      </c>
      <c r="V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Q329">
        <v>182380</v>
      </c>
      <c r="AR329" t="b">
        <v>1</v>
      </c>
      <c r="AS329" t="b">
        <v>1</v>
      </c>
      <c r="AT329" t="b">
        <v>1</v>
      </c>
      <c r="AU329" t="b">
        <v>1</v>
      </c>
      <c r="AV329" t="b">
        <v>1</v>
      </c>
      <c r="AW329" t="b">
        <v>1</v>
      </c>
      <c r="AX329" t="b">
        <v>1</v>
      </c>
      <c r="BA329" t="s">
        <v>441</v>
      </c>
    </row>
    <row r="330" spans="1:53" x14ac:dyDescent="0.25">
      <c r="A330" t="s">
        <v>386</v>
      </c>
      <c r="B330">
        <v>1</v>
      </c>
      <c r="C330">
        <v>1</v>
      </c>
      <c r="D330">
        <v>1</v>
      </c>
      <c r="E330">
        <v>52081900</v>
      </c>
      <c r="F330">
        <v>274799</v>
      </c>
      <c r="G330" t="s">
        <v>311</v>
      </c>
      <c r="H330" t="s">
        <v>60</v>
      </c>
      <c r="I330" t="s">
        <v>60</v>
      </c>
      <c r="J330" t="s">
        <v>60</v>
      </c>
      <c r="K330" t="s">
        <v>60</v>
      </c>
      <c r="L330" t="s">
        <v>27</v>
      </c>
      <c r="M330">
        <v>9.4</v>
      </c>
      <c r="P330">
        <v>40</v>
      </c>
      <c r="Q330" t="s">
        <v>80</v>
      </c>
      <c r="R330" t="s">
        <v>409</v>
      </c>
      <c r="S330" t="s">
        <v>358</v>
      </c>
      <c r="T330" t="s">
        <v>327</v>
      </c>
      <c r="V330">
        <v>0</v>
      </c>
      <c r="Y330">
        <v>0</v>
      </c>
      <c r="Z330">
        <v>0</v>
      </c>
      <c r="AA330">
        <v>0</v>
      </c>
      <c r="AB330">
        <v>2255257.02</v>
      </c>
      <c r="AC330">
        <v>0</v>
      </c>
      <c r="AD330">
        <v>0</v>
      </c>
      <c r="AE330">
        <v>0</v>
      </c>
      <c r="AQ330">
        <v>182375</v>
      </c>
      <c r="AR330" t="b">
        <v>1</v>
      </c>
      <c r="AS330" t="b">
        <v>1</v>
      </c>
      <c r="AT330" t="b">
        <v>1</v>
      </c>
      <c r="AU330" t="b">
        <v>1</v>
      </c>
      <c r="AV330" t="b">
        <v>1</v>
      </c>
      <c r="AW330" t="b">
        <v>1</v>
      </c>
      <c r="AX330" t="b">
        <v>1</v>
      </c>
      <c r="BA330" t="s">
        <v>407</v>
      </c>
    </row>
    <row r="331" spans="1:53" x14ac:dyDescent="0.25">
      <c r="A331" t="s">
        <v>386</v>
      </c>
      <c r="B331">
        <v>1</v>
      </c>
      <c r="C331">
        <v>2</v>
      </c>
      <c r="D331">
        <v>1</v>
      </c>
      <c r="E331">
        <v>52081900</v>
      </c>
      <c r="F331">
        <v>275340</v>
      </c>
      <c r="G331" t="s">
        <v>312</v>
      </c>
      <c r="H331" t="s">
        <v>60</v>
      </c>
      <c r="I331" t="s">
        <v>60</v>
      </c>
      <c r="J331" t="s">
        <v>60</v>
      </c>
      <c r="K331" t="s">
        <v>60</v>
      </c>
      <c r="L331" t="s">
        <v>27</v>
      </c>
      <c r="M331">
        <v>9.4</v>
      </c>
      <c r="P331">
        <v>40</v>
      </c>
      <c r="Q331" t="s">
        <v>80</v>
      </c>
      <c r="R331" t="s">
        <v>410</v>
      </c>
      <c r="S331" t="s">
        <v>359</v>
      </c>
      <c r="T331" t="s">
        <v>328</v>
      </c>
      <c r="V331">
        <v>0</v>
      </c>
      <c r="Y331">
        <v>0</v>
      </c>
      <c r="Z331">
        <v>0</v>
      </c>
      <c r="AA331">
        <v>0</v>
      </c>
      <c r="AB331">
        <v>2255257.02</v>
      </c>
      <c r="AC331">
        <v>0</v>
      </c>
      <c r="AD331">
        <v>0</v>
      </c>
      <c r="AE331">
        <v>0</v>
      </c>
      <c r="AQ331">
        <v>182375</v>
      </c>
      <c r="AR331" t="b">
        <v>1</v>
      </c>
      <c r="AS331" t="b">
        <v>1</v>
      </c>
      <c r="AT331" t="b">
        <v>1</v>
      </c>
      <c r="AU331" t="b">
        <v>1</v>
      </c>
      <c r="AV331" t="b">
        <v>1</v>
      </c>
      <c r="AW331" t="b">
        <v>1</v>
      </c>
      <c r="AX331" t="b">
        <v>1</v>
      </c>
      <c r="BA331" t="s">
        <v>407</v>
      </c>
    </row>
    <row r="332" spans="1:53" x14ac:dyDescent="0.25">
      <c r="A332" t="s">
        <v>386</v>
      </c>
      <c r="B332">
        <v>1</v>
      </c>
      <c r="C332">
        <v>3</v>
      </c>
      <c r="D332">
        <v>1</v>
      </c>
      <c r="E332">
        <v>58062090</v>
      </c>
      <c r="F332">
        <v>248283</v>
      </c>
      <c r="G332" t="s">
        <v>313</v>
      </c>
      <c r="H332" t="s">
        <v>60</v>
      </c>
      <c r="I332" t="s">
        <v>60</v>
      </c>
      <c r="J332" t="s">
        <v>60</v>
      </c>
      <c r="K332" t="s">
        <v>60</v>
      </c>
      <c r="L332" t="s">
        <v>59</v>
      </c>
      <c r="M332">
        <v>5.0000000000000001E-3</v>
      </c>
      <c r="P332">
        <v>40</v>
      </c>
      <c r="Q332" t="s">
        <v>80</v>
      </c>
      <c r="R332" t="s">
        <v>411</v>
      </c>
      <c r="S332" t="s">
        <v>357</v>
      </c>
      <c r="T332" t="s">
        <v>329</v>
      </c>
      <c r="V332">
        <v>0</v>
      </c>
      <c r="Y332">
        <v>0</v>
      </c>
      <c r="Z332">
        <v>0</v>
      </c>
      <c r="AA332">
        <v>0</v>
      </c>
      <c r="AB332">
        <v>305</v>
      </c>
      <c r="AC332">
        <v>0</v>
      </c>
      <c r="AD332">
        <v>0</v>
      </c>
      <c r="AE332">
        <v>0</v>
      </c>
      <c r="AQ332">
        <v>182375</v>
      </c>
      <c r="AR332" t="b">
        <v>1</v>
      </c>
      <c r="AS332" t="b">
        <v>1</v>
      </c>
      <c r="AT332" t="b">
        <v>1</v>
      </c>
      <c r="AU332" t="b">
        <v>1</v>
      </c>
      <c r="AV332" t="b">
        <v>1</v>
      </c>
      <c r="AW332" t="b">
        <v>1</v>
      </c>
      <c r="AX332" t="b">
        <v>1</v>
      </c>
      <c r="BA332" t="s">
        <v>407</v>
      </c>
    </row>
    <row r="333" spans="1:53" x14ac:dyDescent="0.25">
      <c r="A333" t="s">
        <v>386</v>
      </c>
      <c r="B333">
        <v>1</v>
      </c>
      <c r="C333">
        <v>4</v>
      </c>
      <c r="D333">
        <v>1</v>
      </c>
      <c r="E333">
        <v>58062090</v>
      </c>
      <c r="F333">
        <v>248283</v>
      </c>
      <c r="G333" t="s">
        <v>313</v>
      </c>
      <c r="H333" t="s">
        <v>60</v>
      </c>
      <c r="I333" t="s">
        <v>60</v>
      </c>
      <c r="J333" t="s">
        <v>60</v>
      </c>
      <c r="K333" t="s">
        <v>60</v>
      </c>
      <c r="L333" t="s">
        <v>59</v>
      </c>
      <c r="M333">
        <v>0.01</v>
      </c>
      <c r="P333">
        <v>40</v>
      </c>
      <c r="Q333" t="s">
        <v>80</v>
      </c>
      <c r="R333" t="s">
        <v>412</v>
      </c>
      <c r="S333" t="s">
        <v>360</v>
      </c>
      <c r="T333" t="s">
        <v>330</v>
      </c>
      <c r="V333">
        <v>0</v>
      </c>
      <c r="Y333">
        <v>0</v>
      </c>
      <c r="Z333">
        <v>0</v>
      </c>
      <c r="AA333">
        <v>0</v>
      </c>
      <c r="AB333">
        <v>640</v>
      </c>
      <c r="AC333">
        <v>0</v>
      </c>
      <c r="AD333">
        <v>0</v>
      </c>
      <c r="AE333">
        <v>0</v>
      </c>
      <c r="AQ333">
        <v>182375</v>
      </c>
      <c r="AR333" t="b">
        <v>1</v>
      </c>
      <c r="AS333" t="b">
        <v>1</v>
      </c>
      <c r="AT333" t="b">
        <v>1</v>
      </c>
      <c r="AU333" t="b">
        <v>1</v>
      </c>
      <c r="AV333" t="b">
        <v>1</v>
      </c>
      <c r="AW333" t="b">
        <v>1</v>
      </c>
      <c r="AX333" t="b">
        <v>1</v>
      </c>
      <c r="BA333" t="s">
        <v>407</v>
      </c>
    </row>
    <row r="334" spans="1:53" x14ac:dyDescent="0.25">
      <c r="A334" t="s">
        <v>386</v>
      </c>
      <c r="B334">
        <v>1</v>
      </c>
      <c r="C334">
        <v>5</v>
      </c>
      <c r="D334">
        <v>1</v>
      </c>
      <c r="E334">
        <v>58062090</v>
      </c>
      <c r="F334">
        <v>248283</v>
      </c>
      <c r="G334" t="s">
        <v>313</v>
      </c>
      <c r="H334" t="s">
        <v>60</v>
      </c>
      <c r="I334" t="s">
        <v>60</v>
      </c>
      <c r="J334" t="s">
        <v>60</v>
      </c>
      <c r="K334" t="s">
        <v>60</v>
      </c>
      <c r="L334" t="s">
        <v>59</v>
      </c>
      <c r="M334">
        <v>0.01</v>
      </c>
      <c r="P334">
        <v>40</v>
      </c>
      <c r="Q334" t="s">
        <v>80</v>
      </c>
      <c r="R334" t="s">
        <v>413</v>
      </c>
      <c r="S334" t="s">
        <v>361</v>
      </c>
      <c r="T334" t="s">
        <v>331</v>
      </c>
      <c r="V334">
        <v>0</v>
      </c>
      <c r="Y334">
        <v>0</v>
      </c>
      <c r="Z334">
        <v>0</v>
      </c>
      <c r="AA334">
        <v>0</v>
      </c>
      <c r="AB334">
        <v>640</v>
      </c>
      <c r="AC334">
        <v>0</v>
      </c>
      <c r="AD334">
        <v>0</v>
      </c>
      <c r="AE334">
        <v>0</v>
      </c>
      <c r="AQ334">
        <v>182375</v>
      </c>
      <c r="AR334" t="b">
        <v>1</v>
      </c>
      <c r="AS334" t="b">
        <v>1</v>
      </c>
      <c r="AT334" t="b">
        <v>1</v>
      </c>
      <c r="AU334" t="b">
        <v>1</v>
      </c>
      <c r="AV334" t="b">
        <v>1</v>
      </c>
      <c r="AW334" t="b">
        <v>1</v>
      </c>
      <c r="AX334" t="b">
        <v>1</v>
      </c>
      <c r="BA334" t="s">
        <v>407</v>
      </c>
    </row>
    <row r="335" spans="1:53" x14ac:dyDescent="0.25">
      <c r="A335" t="s">
        <v>386</v>
      </c>
      <c r="B335">
        <v>1</v>
      </c>
      <c r="C335">
        <v>6</v>
      </c>
      <c r="D335">
        <v>1</v>
      </c>
      <c r="E335">
        <v>58062090</v>
      </c>
      <c r="F335">
        <v>248283</v>
      </c>
      <c r="G335" t="s">
        <v>314</v>
      </c>
      <c r="H335" t="s">
        <v>60</v>
      </c>
      <c r="I335" t="s">
        <v>60</v>
      </c>
      <c r="J335" t="s">
        <v>60</v>
      </c>
      <c r="K335" t="s">
        <v>60</v>
      </c>
      <c r="L335" t="s">
        <v>59</v>
      </c>
      <c r="M335">
        <v>0.01</v>
      </c>
      <c r="P335">
        <v>40</v>
      </c>
      <c r="Q335" t="s">
        <v>80</v>
      </c>
      <c r="R335" t="s">
        <v>414</v>
      </c>
      <c r="S335" t="s">
        <v>362</v>
      </c>
      <c r="T335" t="s">
        <v>332</v>
      </c>
      <c r="V335">
        <v>0</v>
      </c>
      <c r="Y335">
        <v>0</v>
      </c>
      <c r="Z335">
        <v>0</v>
      </c>
      <c r="AA335">
        <v>0</v>
      </c>
      <c r="AB335">
        <v>640</v>
      </c>
      <c r="AC335">
        <v>0</v>
      </c>
      <c r="AD335">
        <v>0</v>
      </c>
      <c r="AE335">
        <v>0</v>
      </c>
      <c r="AQ335">
        <v>182375</v>
      </c>
      <c r="AR335" t="b">
        <v>1</v>
      </c>
      <c r="AS335" t="b">
        <v>1</v>
      </c>
      <c r="AT335" t="b">
        <v>1</v>
      </c>
      <c r="AU335" t="b">
        <v>1</v>
      </c>
      <c r="AV335" t="b">
        <v>1</v>
      </c>
      <c r="AW335" t="b">
        <v>1</v>
      </c>
      <c r="AX335" t="b">
        <v>1</v>
      </c>
      <c r="BA335" t="s">
        <v>407</v>
      </c>
    </row>
    <row r="336" spans="1:53" x14ac:dyDescent="0.25">
      <c r="A336" t="s">
        <v>386</v>
      </c>
      <c r="B336">
        <v>1</v>
      </c>
      <c r="C336">
        <v>7</v>
      </c>
      <c r="D336">
        <v>1</v>
      </c>
      <c r="E336">
        <v>48211090</v>
      </c>
      <c r="F336">
        <v>297274</v>
      </c>
      <c r="G336" t="s">
        <v>315</v>
      </c>
      <c r="H336" t="s">
        <v>60</v>
      </c>
      <c r="I336" t="s">
        <v>60</v>
      </c>
      <c r="J336" t="s">
        <v>60</v>
      </c>
      <c r="K336" t="s">
        <v>60</v>
      </c>
      <c r="L336" t="s">
        <v>12</v>
      </c>
      <c r="M336">
        <v>200</v>
      </c>
      <c r="P336">
        <v>40</v>
      </c>
      <c r="Q336" t="s">
        <v>80</v>
      </c>
      <c r="R336" t="s">
        <v>415</v>
      </c>
      <c r="S336" t="s">
        <v>363</v>
      </c>
      <c r="T336" t="s">
        <v>333</v>
      </c>
      <c r="V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Q336">
        <v>182375</v>
      </c>
      <c r="AR336" t="b">
        <v>1</v>
      </c>
      <c r="AS336" t="b">
        <v>1</v>
      </c>
      <c r="AT336" t="b">
        <v>1</v>
      </c>
      <c r="AU336" t="b">
        <v>1</v>
      </c>
      <c r="AV336" t="b">
        <v>1</v>
      </c>
      <c r="AW336" t="b">
        <v>1</v>
      </c>
      <c r="AX336" t="b">
        <v>1</v>
      </c>
      <c r="BA336" t="s">
        <v>407</v>
      </c>
    </row>
    <row r="337" spans="1:53" x14ac:dyDescent="0.25">
      <c r="A337" t="s">
        <v>386</v>
      </c>
      <c r="B337">
        <v>1</v>
      </c>
      <c r="C337">
        <v>8</v>
      </c>
      <c r="D337">
        <v>1</v>
      </c>
      <c r="E337">
        <v>48211090</v>
      </c>
      <c r="F337">
        <v>297275</v>
      </c>
      <c r="G337" t="s">
        <v>316</v>
      </c>
      <c r="H337" t="s">
        <v>60</v>
      </c>
      <c r="I337" t="s">
        <v>60</v>
      </c>
      <c r="J337" t="s">
        <v>60</v>
      </c>
      <c r="K337" t="s">
        <v>60</v>
      </c>
      <c r="L337" t="s">
        <v>12</v>
      </c>
      <c r="M337">
        <v>30</v>
      </c>
      <c r="P337">
        <v>40</v>
      </c>
      <c r="Q337" t="s">
        <v>80</v>
      </c>
      <c r="R337" t="s">
        <v>415</v>
      </c>
      <c r="S337" t="s">
        <v>363</v>
      </c>
      <c r="T337" t="s">
        <v>333</v>
      </c>
      <c r="V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Q337">
        <v>182375</v>
      </c>
      <c r="AR337" t="b">
        <v>1</v>
      </c>
      <c r="AS337" t="b">
        <v>1</v>
      </c>
      <c r="AT337" t="b">
        <v>1</v>
      </c>
      <c r="AU337" t="b">
        <v>1</v>
      </c>
      <c r="AV337" t="b">
        <v>1</v>
      </c>
      <c r="AW337" t="b">
        <v>1</v>
      </c>
      <c r="AX337" t="b">
        <v>1</v>
      </c>
      <c r="BA337" t="s">
        <v>407</v>
      </c>
    </row>
    <row r="338" spans="1:53" x14ac:dyDescent="0.25">
      <c r="A338" t="s">
        <v>386</v>
      </c>
      <c r="B338">
        <v>1</v>
      </c>
      <c r="C338">
        <v>9</v>
      </c>
      <c r="D338">
        <v>1</v>
      </c>
      <c r="E338">
        <v>48211090</v>
      </c>
      <c r="F338">
        <v>297276</v>
      </c>
      <c r="G338" t="s">
        <v>317</v>
      </c>
      <c r="H338" t="s">
        <v>60</v>
      </c>
      <c r="I338" t="s">
        <v>60</v>
      </c>
      <c r="J338" t="s">
        <v>60</v>
      </c>
      <c r="K338" t="s">
        <v>60</v>
      </c>
      <c r="L338" t="s">
        <v>12</v>
      </c>
      <c r="M338">
        <v>70</v>
      </c>
      <c r="P338">
        <v>40</v>
      </c>
      <c r="Q338" t="s">
        <v>80</v>
      </c>
      <c r="R338" t="s">
        <v>415</v>
      </c>
      <c r="S338" t="s">
        <v>363</v>
      </c>
      <c r="T338" t="s">
        <v>333</v>
      </c>
      <c r="V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Q338">
        <v>182375</v>
      </c>
      <c r="AR338" t="b">
        <v>1</v>
      </c>
      <c r="AS338" t="b">
        <v>1</v>
      </c>
      <c r="AT338" t="b">
        <v>1</v>
      </c>
      <c r="AU338" t="b">
        <v>1</v>
      </c>
      <c r="AV338" t="b">
        <v>1</v>
      </c>
      <c r="AW338" t="b">
        <v>1</v>
      </c>
      <c r="AX338" t="b">
        <v>1</v>
      </c>
      <c r="BA338" t="s">
        <v>407</v>
      </c>
    </row>
    <row r="339" spans="1:53" x14ac:dyDescent="0.25">
      <c r="A339" t="s">
        <v>386</v>
      </c>
      <c r="B339">
        <v>1</v>
      </c>
      <c r="C339">
        <v>10</v>
      </c>
      <c r="D339">
        <v>1</v>
      </c>
      <c r="E339">
        <v>48211090</v>
      </c>
      <c r="F339">
        <v>297277</v>
      </c>
      <c r="G339" t="s">
        <v>318</v>
      </c>
      <c r="H339" t="s">
        <v>60</v>
      </c>
      <c r="I339" t="s">
        <v>60</v>
      </c>
      <c r="J339" t="s">
        <v>60</v>
      </c>
      <c r="K339" t="s">
        <v>60</v>
      </c>
      <c r="L339" t="s">
        <v>12</v>
      </c>
      <c r="M339">
        <v>50</v>
      </c>
      <c r="P339">
        <v>40</v>
      </c>
      <c r="Q339" t="s">
        <v>80</v>
      </c>
      <c r="R339" t="s">
        <v>415</v>
      </c>
      <c r="S339" t="s">
        <v>363</v>
      </c>
      <c r="T339" t="s">
        <v>333</v>
      </c>
      <c r="V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Q339">
        <v>182375</v>
      </c>
      <c r="AR339" t="b">
        <v>1</v>
      </c>
      <c r="AS339" t="b">
        <v>1</v>
      </c>
      <c r="AT339" t="b">
        <v>1</v>
      </c>
      <c r="AU339" t="b">
        <v>1</v>
      </c>
      <c r="AV339" t="b">
        <v>1</v>
      </c>
      <c r="AW339" t="b">
        <v>1</v>
      </c>
      <c r="AX339" t="b">
        <v>1</v>
      </c>
      <c r="BA339" t="s">
        <v>407</v>
      </c>
    </row>
    <row r="340" spans="1:53" x14ac:dyDescent="0.25">
      <c r="A340" t="s">
        <v>386</v>
      </c>
      <c r="B340">
        <v>1</v>
      </c>
      <c r="C340">
        <v>11</v>
      </c>
      <c r="D340">
        <v>1</v>
      </c>
      <c r="E340">
        <v>48211090</v>
      </c>
      <c r="F340">
        <v>297278</v>
      </c>
      <c r="G340" t="s">
        <v>319</v>
      </c>
      <c r="H340" t="s">
        <v>60</v>
      </c>
      <c r="I340" t="s">
        <v>60</v>
      </c>
      <c r="J340" t="s">
        <v>60</v>
      </c>
      <c r="K340" t="s">
        <v>60</v>
      </c>
      <c r="L340" t="s">
        <v>12</v>
      </c>
      <c r="M340">
        <v>50</v>
      </c>
      <c r="P340">
        <v>40</v>
      </c>
      <c r="Q340" t="s">
        <v>80</v>
      </c>
      <c r="R340" t="s">
        <v>415</v>
      </c>
      <c r="S340" t="s">
        <v>363</v>
      </c>
      <c r="T340" t="s">
        <v>333</v>
      </c>
      <c r="V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Q340">
        <v>182375</v>
      </c>
      <c r="AR340" t="b">
        <v>1</v>
      </c>
      <c r="AS340" t="b">
        <v>1</v>
      </c>
      <c r="AT340" t="b">
        <v>1</v>
      </c>
      <c r="AU340" t="b">
        <v>1</v>
      </c>
      <c r="AV340" t="b">
        <v>1</v>
      </c>
      <c r="AW340" t="b">
        <v>1</v>
      </c>
      <c r="AX340" t="b">
        <v>1</v>
      </c>
      <c r="BA340" t="s">
        <v>407</v>
      </c>
    </row>
    <row r="341" spans="1:53" x14ac:dyDescent="0.25">
      <c r="A341" t="s">
        <v>386</v>
      </c>
      <c r="B341">
        <v>1</v>
      </c>
      <c r="C341">
        <v>12</v>
      </c>
      <c r="D341">
        <v>1</v>
      </c>
      <c r="E341">
        <v>52081900</v>
      </c>
      <c r="F341">
        <v>275340</v>
      </c>
      <c r="G341" t="s">
        <v>312</v>
      </c>
      <c r="H341" t="s">
        <v>60</v>
      </c>
      <c r="I341" t="s">
        <v>60</v>
      </c>
      <c r="J341" t="s">
        <v>60</v>
      </c>
      <c r="K341" t="s">
        <v>60</v>
      </c>
      <c r="L341" t="s">
        <v>27</v>
      </c>
      <c r="M341">
        <v>4.7</v>
      </c>
      <c r="P341">
        <v>40</v>
      </c>
      <c r="Q341" t="s">
        <v>80</v>
      </c>
      <c r="R341" t="s">
        <v>410</v>
      </c>
      <c r="S341" t="s">
        <v>359</v>
      </c>
      <c r="T341" t="s">
        <v>328</v>
      </c>
      <c r="V341">
        <v>0</v>
      </c>
      <c r="Y341">
        <v>0</v>
      </c>
      <c r="Z341">
        <v>0</v>
      </c>
      <c r="AA341">
        <v>0</v>
      </c>
      <c r="AB341">
        <v>2255257.02</v>
      </c>
      <c r="AC341">
        <v>0</v>
      </c>
      <c r="AD341">
        <v>0</v>
      </c>
      <c r="AE341">
        <v>0</v>
      </c>
      <c r="AQ341">
        <v>182375</v>
      </c>
      <c r="AR341" t="b">
        <v>1</v>
      </c>
      <c r="AS341" t="b">
        <v>1</v>
      </c>
      <c r="AT341" t="b">
        <v>1</v>
      </c>
      <c r="AU341" t="b">
        <v>1</v>
      </c>
      <c r="AV341" t="b">
        <v>1</v>
      </c>
      <c r="AW341" t="b">
        <v>1</v>
      </c>
      <c r="AX341" t="b">
        <v>1</v>
      </c>
      <c r="BA341" t="s">
        <v>407</v>
      </c>
    </row>
    <row r="342" spans="1:53" x14ac:dyDescent="0.25">
      <c r="A342" t="s">
        <v>386</v>
      </c>
      <c r="B342">
        <v>1</v>
      </c>
      <c r="C342">
        <v>13</v>
      </c>
      <c r="D342">
        <v>1</v>
      </c>
      <c r="E342">
        <v>58062090</v>
      </c>
      <c r="F342">
        <v>248283</v>
      </c>
      <c r="G342" t="s">
        <v>313</v>
      </c>
      <c r="H342" t="s">
        <v>60</v>
      </c>
      <c r="I342" t="s">
        <v>60</v>
      </c>
      <c r="J342" t="s">
        <v>60</v>
      </c>
      <c r="K342" t="s">
        <v>60</v>
      </c>
      <c r="L342" t="s">
        <v>59</v>
      </c>
      <c r="M342">
        <v>2.5000000000000001E-3</v>
      </c>
      <c r="P342">
        <v>40</v>
      </c>
      <c r="Q342" t="s">
        <v>80</v>
      </c>
      <c r="R342" t="s">
        <v>411</v>
      </c>
      <c r="S342" t="s">
        <v>357</v>
      </c>
      <c r="T342" t="s">
        <v>329</v>
      </c>
      <c r="V342">
        <v>0</v>
      </c>
      <c r="Y342">
        <v>0</v>
      </c>
      <c r="Z342">
        <v>0</v>
      </c>
      <c r="AA342">
        <v>0</v>
      </c>
      <c r="AB342">
        <v>305</v>
      </c>
      <c r="AC342">
        <v>0</v>
      </c>
      <c r="AD342">
        <v>0</v>
      </c>
      <c r="AE342">
        <v>0</v>
      </c>
      <c r="AQ342">
        <v>182375</v>
      </c>
      <c r="AR342" t="b">
        <v>1</v>
      </c>
      <c r="AS342" t="b">
        <v>1</v>
      </c>
      <c r="AT342" t="b">
        <v>1</v>
      </c>
      <c r="AU342" t="b">
        <v>1</v>
      </c>
      <c r="AV342" t="b">
        <v>1</v>
      </c>
      <c r="AW342" t="b">
        <v>1</v>
      </c>
      <c r="AX342" t="b">
        <v>1</v>
      </c>
      <c r="BA342" t="s">
        <v>407</v>
      </c>
    </row>
    <row r="343" spans="1:53" x14ac:dyDescent="0.25">
      <c r="A343" t="s">
        <v>386</v>
      </c>
      <c r="B343">
        <v>1</v>
      </c>
      <c r="C343">
        <v>14</v>
      </c>
      <c r="D343">
        <v>1</v>
      </c>
      <c r="E343">
        <v>58062090</v>
      </c>
      <c r="F343">
        <v>248283</v>
      </c>
      <c r="G343" t="s">
        <v>313</v>
      </c>
      <c r="H343" t="s">
        <v>60</v>
      </c>
      <c r="I343" t="s">
        <v>60</v>
      </c>
      <c r="J343" t="s">
        <v>60</v>
      </c>
      <c r="K343" t="s">
        <v>60</v>
      </c>
      <c r="L343" t="s">
        <v>59</v>
      </c>
      <c r="M343">
        <v>5.0000000000000001E-3</v>
      </c>
      <c r="P343">
        <v>40</v>
      </c>
      <c r="Q343" t="s">
        <v>80</v>
      </c>
      <c r="R343" t="s">
        <v>412</v>
      </c>
      <c r="S343" t="s">
        <v>360</v>
      </c>
      <c r="T343" t="s">
        <v>330</v>
      </c>
      <c r="V343">
        <v>0</v>
      </c>
      <c r="Y343">
        <v>0</v>
      </c>
      <c r="Z343">
        <v>0</v>
      </c>
      <c r="AA343">
        <v>0</v>
      </c>
      <c r="AB343">
        <v>640</v>
      </c>
      <c r="AC343">
        <v>0</v>
      </c>
      <c r="AD343">
        <v>0</v>
      </c>
      <c r="AE343">
        <v>0</v>
      </c>
      <c r="AQ343">
        <v>182375</v>
      </c>
      <c r="AR343" t="b">
        <v>1</v>
      </c>
      <c r="AS343" t="b">
        <v>1</v>
      </c>
      <c r="AT343" t="b">
        <v>1</v>
      </c>
      <c r="AU343" t="b">
        <v>1</v>
      </c>
      <c r="AV343" t="b">
        <v>1</v>
      </c>
      <c r="AW343" t="b">
        <v>1</v>
      </c>
      <c r="AX343" t="b">
        <v>1</v>
      </c>
      <c r="BA343" t="s">
        <v>407</v>
      </c>
    </row>
    <row r="344" spans="1:53" x14ac:dyDescent="0.25">
      <c r="A344" t="s">
        <v>386</v>
      </c>
      <c r="B344">
        <v>1</v>
      </c>
      <c r="C344">
        <v>15</v>
      </c>
      <c r="D344">
        <v>1</v>
      </c>
      <c r="E344">
        <v>58062090</v>
      </c>
      <c r="F344">
        <v>248283</v>
      </c>
      <c r="G344" t="s">
        <v>313</v>
      </c>
      <c r="H344" t="s">
        <v>60</v>
      </c>
      <c r="I344" t="s">
        <v>60</v>
      </c>
      <c r="J344" t="s">
        <v>60</v>
      </c>
      <c r="K344" t="s">
        <v>60</v>
      </c>
      <c r="L344" t="s">
        <v>59</v>
      </c>
      <c r="M344">
        <v>5.0000000000000001E-3</v>
      </c>
      <c r="P344">
        <v>40</v>
      </c>
      <c r="Q344" t="s">
        <v>80</v>
      </c>
      <c r="R344" t="s">
        <v>413</v>
      </c>
      <c r="S344" t="s">
        <v>361</v>
      </c>
      <c r="T344" t="s">
        <v>331</v>
      </c>
      <c r="V344">
        <v>0</v>
      </c>
      <c r="Y344">
        <v>0</v>
      </c>
      <c r="Z344">
        <v>0</v>
      </c>
      <c r="AA344">
        <v>0</v>
      </c>
      <c r="AB344">
        <v>640</v>
      </c>
      <c r="AC344">
        <v>0</v>
      </c>
      <c r="AD344">
        <v>0</v>
      </c>
      <c r="AE344">
        <v>0</v>
      </c>
      <c r="AQ344">
        <v>182375</v>
      </c>
      <c r="AR344" t="b">
        <v>1</v>
      </c>
      <c r="AS344" t="b">
        <v>1</v>
      </c>
      <c r="AT344" t="b">
        <v>1</v>
      </c>
      <c r="AU344" t="b">
        <v>1</v>
      </c>
      <c r="AV344" t="b">
        <v>1</v>
      </c>
      <c r="AW344" t="b">
        <v>1</v>
      </c>
      <c r="AX344" t="b">
        <v>1</v>
      </c>
      <c r="BA344" t="s">
        <v>407</v>
      </c>
    </row>
    <row r="345" spans="1:53" x14ac:dyDescent="0.25">
      <c r="A345" t="s">
        <v>386</v>
      </c>
      <c r="B345">
        <v>1</v>
      </c>
      <c r="C345">
        <v>16</v>
      </c>
      <c r="D345">
        <v>1</v>
      </c>
      <c r="E345">
        <v>58062090</v>
      </c>
      <c r="F345">
        <v>248283</v>
      </c>
      <c r="G345" t="s">
        <v>314</v>
      </c>
      <c r="H345" t="s">
        <v>60</v>
      </c>
      <c r="I345" t="s">
        <v>60</v>
      </c>
      <c r="J345" t="s">
        <v>60</v>
      </c>
      <c r="K345" t="s">
        <v>60</v>
      </c>
      <c r="L345" t="s">
        <v>59</v>
      </c>
      <c r="M345">
        <v>5.0000000000000001E-3</v>
      </c>
      <c r="P345">
        <v>40</v>
      </c>
      <c r="Q345" t="s">
        <v>80</v>
      </c>
      <c r="R345" t="s">
        <v>414</v>
      </c>
      <c r="S345" t="s">
        <v>362</v>
      </c>
      <c r="T345" t="s">
        <v>332</v>
      </c>
      <c r="V345">
        <v>0</v>
      </c>
      <c r="Y345">
        <v>0</v>
      </c>
      <c r="Z345">
        <v>0</v>
      </c>
      <c r="AA345">
        <v>0</v>
      </c>
      <c r="AB345">
        <v>640</v>
      </c>
      <c r="AC345">
        <v>0</v>
      </c>
      <c r="AD345">
        <v>0</v>
      </c>
      <c r="AE345">
        <v>0</v>
      </c>
      <c r="AQ345">
        <v>182375</v>
      </c>
      <c r="AR345" t="b">
        <v>1</v>
      </c>
      <c r="AS345" t="b">
        <v>1</v>
      </c>
      <c r="AT345" t="b">
        <v>1</v>
      </c>
      <c r="AU345" t="b">
        <v>1</v>
      </c>
      <c r="AV345" t="b">
        <v>1</v>
      </c>
      <c r="AW345" t="b">
        <v>1</v>
      </c>
      <c r="AX345" t="b">
        <v>1</v>
      </c>
      <c r="BA345" t="s">
        <v>407</v>
      </c>
    </row>
    <row r="346" spans="1:53" x14ac:dyDescent="0.25">
      <c r="A346" t="s">
        <v>386</v>
      </c>
      <c r="B346">
        <v>1</v>
      </c>
      <c r="C346">
        <v>17</v>
      </c>
      <c r="D346">
        <v>1</v>
      </c>
      <c r="E346">
        <v>48211090</v>
      </c>
      <c r="F346">
        <v>297274</v>
      </c>
      <c r="G346" t="s">
        <v>315</v>
      </c>
      <c r="H346" t="s">
        <v>60</v>
      </c>
      <c r="I346" t="s">
        <v>60</v>
      </c>
      <c r="J346" t="s">
        <v>60</v>
      </c>
      <c r="K346" t="s">
        <v>60</v>
      </c>
      <c r="L346" t="s">
        <v>12</v>
      </c>
      <c r="M346">
        <v>100</v>
      </c>
      <c r="P346">
        <v>40</v>
      </c>
      <c r="Q346" t="s">
        <v>80</v>
      </c>
      <c r="R346" t="s">
        <v>415</v>
      </c>
      <c r="S346" t="s">
        <v>363</v>
      </c>
      <c r="T346" t="s">
        <v>333</v>
      </c>
      <c r="V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Q346">
        <v>182375</v>
      </c>
      <c r="AR346" t="b">
        <v>1</v>
      </c>
      <c r="AS346" t="b">
        <v>1</v>
      </c>
      <c r="AT346" t="b">
        <v>1</v>
      </c>
      <c r="AU346" t="b">
        <v>1</v>
      </c>
      <c r="AV346" t="b">
        <v>1</v>
      </c>
      <c r="AW346" t="b">
        <v>1</v>
      </c>
      <c r="AX346" t="b">
        <v>1</v>
      </c>
      <c r="BA346" t="s">
        <v>407</v>
      </c>
    </row>
    <row r="347" spans="1:53" x14ac:dyDescent="0.25">
      <c r="A347" t="s">
        <v>386</v>
      </c>
      <c r="B347">
        <v>1</v>
      </c>
      <c r="C347">
        <v>18</v>
      </c>
      <c r="D347">
        <v>1</v>
      </c>
      <c r="E347">
        <v>48211090</v>
      </c>
      <c r="F347">
        <v>297275</v>
      </c>
      <c r="G347" t="s">
        <v>316</v>
      </c>
      <c r="H347" t="s">
        <v>60</v>
      </c>
      <c r="I347" t="s">
        <v>60</v>
      </c>
      <c r="J347" t="s">
        <v>60</v>
      </c>
      <c r="K347" t="s">
        <v>60</v>
      </c>
      <c r="L347" t="s">
        <v>12</v>
      </c>
      <c r="M347">
        <v>15</v>
      </c>
      <c r="P347">
        <v>40</v>
      </c>
      <c r="Q347" t="s">
        <v>80</v>
      </c>
      <c r="R347" t="s">
        <v>415</v>
      </c>
      <c r="S347" t="s">
        <v>363</v>
      </c>
      <c r="T347" t="s">
        <v>333</v>
      </c>
      <c r="V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Q347">
        <v>182375</v>
      </c>
      <c r="AR347" t="b">
        <v>1</v>
      </c>
      <c r="AS347" t="b">
        <v>1</v>
      </c>
      <c r="AT347" t="b">
        <v>1</v>
      </c>
      <c r="AU347" t="b">
        <v>1</v>
      </c>
      <c r="AV347" t="b">
        <v>1</v>
      </c>
      <c r="AW347" t="b">
        <v>1</v>
      </c>
      <c r="AX347" t="b">
        <v>1</v>
      </c>
      <c r="BA347" t="s">
        <v>407</v>
      </c>
    </row>
    <row r="348" spans="1:53" x14ac:dyDescent="0.25">
      <c r="A348" t="s">
        <v>386</v>
      </c>
      <c r="B348">
        <v>1</v>
      </c>
      <c r="C348">
        <v>19</v>
      </c>
      <c r="D348">
        <v>1</v>
      </c>
      <c r="E348">
        <v>48211090</v>
      </c>
      <c r="F348">
        <v>297276</v>
      </c>
      <c r="G348" t="s">
        <v>317</v>
      </c>
      <c r="H348" t="s">
        <v>60</v>
      </c>
      <c r="I348" t="s">
        <v>60</v>
      </c>
      <c r="J348" t="s">
        <v>60</v>
      </c>
      <c r="K348" t="s">
        <v>60</v>
      </c>
      <c r="L348" t="s">
        <v>12</v>
      </c>
      <c r="M348">
        <v>35</v>
      </c>
      <c r="P348">
        <v>40</v>
      </c>
      <c r="Q348" t="s">
        <v>80</v>
      </c>
      <c r="R348" t="s">
        <v>415</v>
      </c>
      <c r="S348" t="s">
        <v>363</v>
      </c>
      <c r="T348" t="s">
        <v>333</v>
      </c>
      <c r="V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Q348">
        <v>182375</v>
      </c>
      <c r="AR348" t="b">
        <v>1</v>
      </c>
      <c r="AS348" t="b">
        <v>1</v>
      </c>
      <c r="AT348" t="b">
        <v>1</v>
      </c>
      <c r="AU348" t="b">
        <v>1</v>
      </c>
      <c r="AV348" t="b">
        <v>1</v>
      </c>
      <c r="AW348" t="b">
        <v>1</v>
      </c>
      <c r="AX348" t="b">
        <v>1</v>
      </c>
      <c r="BA348" t="s">
        <v>407</v>
      </c>
    </row>
    <row r="349" spans="1:53" x14ac:dyDescent="0.25">
      <c r="A349" t="s">
        <v>386</v>
      </c>
      <c r="B349">
        <v>1</v>
      </c>
      <c r="C349">
        <v>20</v>
      </c>
      <c r="D349">
        <v>1</v>
      </c>
      <c r="E349">
        <v>48211090</v>
      </c>
      <c r="F349">
        <v>297277</v>
      </c>
      <c r="G349" t="s">
        <v>318</v>
      </c>
      <c r="H349" t="s">
        <v>60</v>
      </c>
      <c r="I349" t="s">
        <v>60</v>
      </c>
      <c r="J349" t="s">
        <v>60</v>
      </c>
      <c r="K349" t="s">
        <v>60</v>
      </c>
      <c r="L349" t="s">
        <v>12</v>
      </c>
      <c r="M349">
        <v>25</v>
      </c>
      <c r="P349">
        <v>40</v>
      </c>
      <c r="Q349" t="s">
        <v>80</v>
      </c>
      <c r="R349" t="s">
        <v>415</v>
      </c>
      <c r="S349" t="s">
        <v>363</v>
      </c>
      <c r="T349" t="s">
        <v>333</v>
      </c>
      <c r="V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Q349">
        <v>182375</v>
      </c>
      <c r="AR349" t="b">
        <v>1</v>
      </c>
      <c r="AS349" t="b">
        <v>1</v>
      </c>
      <c r="AT349" t="b">
        <v>1</v>
      </c>
      <c r="AU349" t="b">
        <v>1</v>
      </c>
      <c r="AV349" t="b">
        <v>1</v>
      </c>
      <c r="AW349" t="b">
        <v>1</v>
      </c>
      <c r="AX349" t="b">
        <v>1</v>
      </c>
      <c r="BA349" t="s">
        <v>407</v>
      </c>
    </row>
    <row r="350" spans="1:53" x14ac:dyDescent="0.25">
      <c r="A350" t="s">
        <v>386</v>
      </c>
      <c r="B350">
        <v>1</v>
      </c>
      <c r="C350">
        <v>21</v>
      </c>
      <c r="D350">
        <v>1</v>
      </c>
      <c r="E350">
        <v>48211090</v>
      </c>
      <c r="F350">
        <v>297278</v>
      </c>
      <c r="G350" t="s">
        <v>319</v>
      </c>
      <c r="H350" t="s">
        <v>60</v>
      </c>
      <c r="I350" t="s">
        <v>60</v>
      </c>
      <c r="J350" t="s">
        <v>60</v>
      </c>
      <c r="K350" t="s">
        <v>60</v>
      </c>
      <c r="L350" t="s">
        <v>12</v>
      </c>
      <c r="M350">
        <v>25</v>
      </c>
      <c r="P350">
        <v>40</v>
      </c>
      <c r="Q350" t="s">
        <v>80</v>
      </c>
      <c r="R350" t="s">
        <v>415</v>
      </c>
      <c r="S350" t="s">
        <v>363</v>
      </c>
      <c r="T350" t="s">
        <v>333</v>
      </c>
      <c r="V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Q350">
        <v>182375</v>
      </c>
      <c r="AR350" t="b">
        <v>1</v>
      </c>
      <c r="AS350" t="b">
        <v>1</v>
      </c>
      <c r="AT350" t="b">
        <v>1</v>
      </c>
      <c r="AU350" t="b">
        <v>1</v>
      </c>
      <c r="AV350" t="b">
        <v>1</v>
      </c>
      <c r="AW350" t="b">
        <v>1</v>
      </c>
      <c r="AX350" t="b">
        <v>1</v>
      </c>
      <c r="BA350" t="s">
        <v>407</v>
      </c>
    </row>
    <row r="351" spans="1:53" x14ac:dyDescent="0.25">
      <c r="A351" t="s">
        <v>386</v>
      </c>
      <c r="B351">
        <v>1</v>
      </c>
      <c r="C351">
        <v>22</v>
      </c>
      <c r="D351">
        <v>1</v>
      </c>
      <c r="E351">
        <v>52081900</v>
      </c>
      <c r="F351">
        <v>274799</v>
      </c>
      <c r="G351" t="s">
        <v>311</v>
      </c>
      <c r="H351" t="s">
        <v>60</v>
      </c>
      <c r="I351" t="s">
        <v>60</v>
      </c>
      <c r="J351" t="s">
        <v>60</v>
      </c>
      <c r="K351" t="s">
        <v>60</v>
      </c>
      <c r="L351" t="s">
        <v>27</v>
      </c>
      <c r="M351">
        <v>4.7</v>
      </c>
      <c r="P351">
        <v>40</v>
      </c>
      <c r="Q351" t="s">
        <v>80</v>
      </c>
      <c r="R351" t="s">
        <v>409</v>
      </c>
      <c r="S351" t="s">
        <v>358</v>
      </c>
      <c r="T351" t="s">
        <v>327</v>
      </c>
      <c r="V351">
        <v>0</v>
      </c>
      <c r="Y351">
        <v>0</v>
      </c>
      <c r="Z351">
        <v>0</v>
      </c>
      <c r="AA351">
        <v>0</v>
      </c>
      <c r="AB351">
        <v>2255257.02</v>
      </c>
      <c r="AC351">
        <v>0</v>
      </c>
      <c r="AD351">
        <v>0</v>
      </c>
      <c r="AE351">
        <v>0</v>
      </c>
      <c r="AQ351">
        <v>182375</v>
      </c>
      <c r="AR351" t="b">
        <v>1</v>
      </c>
      <c r="AS351" t="b">
        <v>1</v>
      </c>
      <c r="AT351" t="b">
        <v>1</v>
      </c>
      <c r="AU351" t="b">
        <v>1</v>
      </c>
      <c r="AV351" t="b">
        <v>1</v>
      </c>
      <c r="AW351" t="b">
        <v>1</v>
      </c>
      <c r="AX351" t="b">
        <v>1</v>
      </c>
      <c r="BA351" t="s">
        <v>407</v>
      </c>
    </row>
    <row r="352" spans="1:53" x14ac:dyDescent="0.25">
      <c r="A352" t="s">
        <v>386</v>
      </c>
      <c r="B352">
        <v>1</v>
      </c>
      <c r="C352">
        <v>23</v>
      </c>
      <c r="D352">
        <v>1</v>
      </c>
      <c r="E352">
        <v>52081900</v>
      </c>
      <c r="F352">
        <v>275340</v>
      </c>
      <c r="G352" t="s">
        <v>312</v>
      </c>
      <c r="H352" t="s">
        <v>60</v>
      </c>
      <c r="I352" t="s">
        <v>60</v>
      </c>
      <c r="J352" t="s">
        <v>60</v>
      </c>
      <c r="K352" t="s">
        <v>60</v>
      </c>
      <c r="L352" t="s">
        <v>27</v>
      </c>
      <c r="M352">
        <v>4.7</v>
      </c>
      <c r="P352">
        <v>40</v>
      </c>
      <c r="Q352" t="s">
        <v>80</v>
      </c>
      <c r="R352" t="s">
        <v>410</v>
      </c>
      <c r="S352" t="s">
        <v>359</v>
      </c>
      <c r="T352" t="s">
        <v>328</v>
      </c>
      <c r="V352">
        <v>0</v>
      </c>
      <c r="Y352">
        <v>0</v>
      </c>
      <c r="Z352">
        <v>0</v>
      </c>
      <c r="AA352">
        <v>0</v>
      </c>
      <c r="AB352">
        <v>2255257.02</v>
      </c>
      <c r="AC352">
        <v>0</v>
      </c>
      <c r="AD352">
        <v>0</v>
      </c>
      <c r="AE352">
        <v>0</v>
      </c>
      <c r="AQ352">
        <v>182375</v>
      </c>
      <c r="AR352" t="b">
        <v>1</v>
      </c>
      <c r="AS352" t="b">
        <v>1</v>
      </c>
      <c r="AT352" t="b">
        <v>1</v>
      </c>
      <c r="AU352" t="b">
        <v>1</v>
      </c>
      <c r="AV352" t="b">
        <v>1</v>
      </c>
      <c r="AW352" t="b">
        <v>1</v>
      </c>
      <c r="AX352" t="b">
        <v>1</v>
      </c>
      <c r="BA352" t="s">
        <v>407</v>
      </c>
    </row>
    <row r="353" spans="1:53" x14ac:dyDescent="0.25">
      <c r="A353" t="s">
        <v>386</v>
      </c>
      <c r="B353">
        <v>1</v>
      </c>
      <c r="C353">
        <v>24</v>
      </c>
      <c r="D353">
        <v>1</v>
      </c>
      <c r="E353">
        <v>58062090</v>
      </c>
      <c r="F353">
        <v>248283</v>
      </c>
      <c r="G353" t="s">
        <v>313</v>
      </c>
      <c r="H353" t="s">
        <v>60</v>
      </c>
      <c r="I353" t="s">
        <v>60</v>
      </c>
      <c r="J353" t="s">
        <v>60</v>
      </c>
      <c r="K353" t="s">
        <v>60</v>
      </c>
      <c r="L353" t="s">
        <v>59</v>
      </c>
      <c r="M353">
        <v>2.5000000000000001E-3</v>
      </c>
      <c r="P353">
        <v>40</v>
      </c>
      <c r="Q353" t="s">
        <v>80</v>
      </c>
      <c r="R353" t="s">
        <v>411</v>
      </c>
      <c r="S353" t="s">
        <v>357</v>
      </c>
      <c r="T353" t="s">
        <v>329</v>
      </c>
      <c r="V353">
        <v>0</v>
      </c>
      <c r="Y353">
        <v>0</v>
      </c>
      <c r="Z353">
        <v>0</v>
      </c>
      <c r="AA353">
        <v>0</v>
      </c>
      <c r="AB353">
        <v>305</v>
      </c>
      <c r="AC353">
        <v>0</v>
      </c>
      <c r="AD353">
        <v>0</v>
      </c>
      <c r="AE353">
        <v>0</v>
      </c>
      <c r="AQ353">
        <v>182375</v>
      </c>
      <c r="AR353" t="b">
        <v>1</v>
      </c>
      <c r="AS353" t="b">
        <v>1</v>
      </c>
      <c r="AT353" t="b">
        <v>1</v>
      </c>
      <c r="AU353" t="b">
        <v>1</v>
      </c>
      <c r="AV353" t="b">
        <v>1</v>
      </c>
      <c r="AW353" t="b">
        <v>1</v>
      </c>
      <c r="AX353" t="b">
        <v>1</v>
      </c>
      <c r="BA353" t="s">
        <v>407</v>
      </c>
    </row>
    <row r="354" spans="1:53" x14ac:dyDescent="0.25">
      <c r="A354" t="s">
        <v>386</v>
      </c>
      <c r="B354">
        <v>1</v>
      </c>
      <c r="C354">
        <v>25</v>
      </c>
      <c r="D354">
        <v>1</v>
      </c>
      <c r="E354">
        <v>58062090</v>
      </c>
      <c r="F354">
        <v>248283</v>
      </c>
      <c r="G354" t="s">
        <v>313</v>
      </c>
      <c r="H354" t="s">
        <v>60</v>
      </c>
      <c r="I354" t="s">
        <v>60</v>
      </c>
      <c r="J354" t="s">
        <v>60</v>
      </c>
      <c r="K354" t="s">
        <v>60</v>
      </c>
      <c r="L354" t="s">
        <v>59</v>
      </c>
      <c r="M354">
        <v>5.0000000000000001E-3</v>
      </c>
      <c r="P354">
        <v>40</v>
      </c>
      <c r="Q354" t="s">
        <v>80</v>
      </c>
      <c r="R354" t="s">
        <v>412</v>
      </c>
      <c r="S354" t="s">
        <v>360</v>
      </c>
      <c r="T354" t="s">
        <v>330</v>
      </c>
      <c r="V354">
        <v>0</v>
      </c>
      <c r="Y354">
        <v>0</v>
      </c>
      <c r="Z354">
        <v>0</v>
      </c>
      <c r="AA354">
        <v>0</v>
      </c>
      <c r="AB354">
        <v>640</v>
      </c>
      <c r="AC354">
        <v>0</v>
      </c>
      <c r="AD354">
        <v>0</v>
      </c>
      <c r="AE354">
        <v>0</v>
      </c>
      <c r="AQ354">
        <v>182375</v>
      </c>
      <c r="AR354" t="b">
        <v>1</v>
      </c>
      <c r="AS354" t="b">
        <v>1</v>
      </c>
      <c r="AT354" t="b">
        <v>1</v>
      </c>
      <c r="AU354" t="b">
        <v>1</v>
      </c>
      <c r="AV354" t="b">
        <v>1</v>
      </c>
      <c r="AW354" t="b">
        <v>1</v>
      </c>
      <c r="AX354" t="b">
        <v>1</v>
      </c>
      <c r="BA354" t="s">
        <v>407</v>
      </c>
    </row>
    <row r="355" spans="1:53" x14ac:dyDescent="0.25">
      <c r="A355" t="s">
        <v>386</v>
      </c>
      <c r="B355">
        <v>1</v>
      </c>
      <c r="C355">
        <v>26</v>
      </c>
      <c r="D355">
        <v>1</v>
      </c>
      <c r="E355">
        <v>58062090</v>
      </c>
      <c r="F355">
        <v>248283</v>
      </c>
      <c r="G355" t="s">
        <v>313</v>
      </c>
      <c r="H355" t="s">
        <v>60</v>
      </c>
      <c r="I355" t="s">
        <v>60</v>
      </c>
      <c r="J355" t="s">
        <v>60</v>
      </c>
      <c r="K355" t="s">
        <v>60</v>
      </c>
      <c r="L355" t="s">
        <v>59</v>
      </c>
      <c r="M355">
        <v>5.0000000000000001E-3</v>
      </c>
      <c r="P355">
        <v>40</v>
      </c>
      <c r="Q355" t="s">
        <v>80</v>
      </c>
      <c r="R355" t="s">
        <v>413</v>
      </c>
      <c r="S355" t="s">
        <v>361</v>
      </c>
      <c r="T355" t="s">
        <v>331</v>
      </c>
      <c r="V355">
        <v>0</v>
      </c>
      <c r="Y355">
        <v>0</v>
      </c>
      <c r="Z355">
        <v>0</v>
      </c>
      <c r="AA355">
        <v>0</v>
      </c>
      <c r="AB355">
        <v>640</v>
      </c>
      <c r="AC355">
        <v>0</v>
      </c>
      <c r="AD355">
        <v>0</v>
      </c>
      <c r="AE355">
        <v>0</v>
      </c>
      <c r="AQ355">
        <v>182375</v>
      </c>
      <c r="AR355" t="b">
        <v>1</v>
      </c>
      <c r="AS355" t="b">
        <v>1</v>
      </c>
      <c r="AT355" t="b">
        <v>1</v>
      </c>
      <c r="AU355" t="b">
        <v>1</v>
      </c>
      <c r="AV355" t="b">
        <v>1</v>
      </c>
      <c r="AW355" t="b">
        <v>1</v>
      </c>
      <c r="AX355" t="b">
        <v>1</v>
      </c>
      <c r="BA355" t="s">
        <v>407</v>
      </c>
    </row>
    <row r="356" spans="1:53" x14ac:dyDescent="0.25">
      <c r="A356" t="s">
        <v>386</v>
      </c>
      <c r="B356">
        <v>1</v>
      </c>
      <c r="C356">
        <v>27</v>
      </c>
      <c r="D356">
        <v>1</v>
      </c>
      <c r="E356">
        <v>58062090</v>
      </c>
      <c r="F356">
        <v>248283</v>
      </c>
      <c r="G356" t="s">
        <v>314</v>
      </c>
      <c r="H356" t="s">
        <v>60</v>
      </c>
      <c r="I356" t="s">
        <v>60</v>
      </c>
      <c r="J356" t="s">
        <v>60</v>
      </c>
      <c r="K356" t="s">
        <v>60</v>
      </c>
      <c r="L356" t="s">
        <v>59</v>
      </c>
      <c r="M356">
        <v>5.0000000000000001E-3</v>
      </c>
      <c r="P356">
        <v>40</v>
      </c>
      <c r="Q356" t="s">
        <v>80</v>
      </c>
      <c r="R356" t="s">
        <v>414</v>
      </c>
      <c r="S356" t="s">
        <v>362</v>
      </c>
      <c r="T356" t="s">
        <v>332</v>
      </c>
      <c r="V356">
        <v>0</v>
      </c>
      <c r="Y356">
        <v>0</v>
      </c>
      <c r="Z356">
        <v>0</v>
      </c>
      <c r="AA356">
        <v>0</v>
      </c>
      <c r="AB356">
        <v>640</v>
      </c>
      <c r="AC356">
        <v>0</v>
      </c>
      <c r="AD356">
        <v>0</v>
      </c>
      <c r="AE356">
        <v>0</v>
      </c>
      <c r="AQ356">
        <v>182375</v>
      </c>
      <c r="AR356" t="b">
        <v>1</v>
      </c>
      <c r="AS356" t="b">
        <v>1</v>
      </c>
      <c r="AT356" t="b">
        <v>1</v>
      </c>
      <c r="AU356" t="b">
        <v>1</v>
      </c>
      <c r="AV356" t="b">
        <v>1</v>
      </c>
      <c r="AW356" t="b">
        <v>1</v>
      </c>
      <c r="AX356" t="b">
        <v>1</v>
      </c>
      <c r="BA356" t="s">
        <v>407</v>
      </c>
    </row>
    <row r="357" spans="1:53" x14ac:dyDescent="0.25">
      <c r="A357" t="s">
        <v>386</v>
      </c>
      <c r="B357">
        <v>1</v>
      </c>
      <c r="C357">
        <v>28</v>
      </c>
      <c r="D357">
        <v>1</v>
      </c>
      <c r="E357">
        <v>48211090</v>
      </c>
      <c r="F357">
        <v>297274</v>
      </c>
      <c r="G357" t="s">
        <v>315</v>
      </c>
      <c r="H357" t="s">
        <v>60</v>
      </c>
      <c r="I357" t="s">
        <v>60</v>
      </c>
      <c r="J357" t="s">
        <v>60</v>
      </c>
      <c r="K357" t="s">
        <v>60</v>
      </c>
      <c r="L357" t="s">
        <v>12</v>
      </c>
      <c r="M357">
        <v>100</v>
      </c>
      <c r="P357">
        <v>40</v>
      </c>
      <c r="Q357" t="s">
        <v>80</v>
      </c>
      <c r="R357" t="s">
        <v>415</v>
      </c>
      <c r="S357" t="s">
        <v>363</v>
      </c>
      <c r="T357" t="s">
        <v>333</v>
      </c>
      <c r="V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Q357">
        <v>182375</v>
      </c>
      <c r="AR357" t="b">
        <v>1</v>
      </c>
      <c r="AS357" t="b">
        <v>1</v>
      </c>
      <c r="AT357" t="b">
        <v>1</v>
      </c>
      <c r="AU357" t="b">
        <v>1</v>
      </c>
      <c r="AV357" t="b">
        <v>1</v>
      </c>
      <c r="AW357" t="b">
        <v>1</v>
      </c>
      <c r="AX357" t="b">
        <v>1</v>
      </c>
      <c r="BA357" t="s">
        <v>407</v>
      </c>
    </row>
    <row r="358" spans="1:53" x14ac:dyDescent="0.25">
      <c r="A358" t="s">
        <v>386</v>
      </c>
      <c r="B358">
        <v>1</v>
      </c>
      <c r="C358">
        <v>29</v>
      </c>
      <c r="D358">
        <v>1</v>
      </c>
      <c r="E358">
        <v>48211090</v>
      </c>
      <c r="F358">
        <v>297275</v>
      </c>
      <c r="G358" t="s">
        <v>316</v>
      </c>
      <c r="H358" t="s">
        <v>60</v>
      </c>
      <c r="I358" t="s">
        <v>60</v>
      </c>
      <c r="J358" t="s">
        <v>60</v>
      </c>
      <c r="K358" t="s">
        <v>60</v>
      </c>
      <c r="L358" t="s">
        <v>12</v>
      </c>
      <c r="M358">
        <v>15</v>
      </c>
      <c r="P358">
        <v>40</v>
      </c>
      <c r="Q358" t="s">
        <v>80</v>
      </c>
      <c r="R358" t="s">
        <v>415</v>
      </c>
      <c r="S358" t="s">
        <v>363</v>
      </c>
      <c r="T358" t="s">
        <v>333</v>
      </c>
      <c r="V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Q358">
        <v>182375</v>
      </c>
      <c r="AR358" t="b">
        <v>1</v>
      </c>
      <c r="AS358" t="b">
        <v>1</v>
      </c>
      <c r="AT358" t="b">
        <v>1</v>
      </c>
      <c r="AU358" t="b">
        <v>1</v>
      </c>
      <c r="AV358" t="b">
        <v>1</v>
      </c>
      <c r="AW358" t="b">
        <v>1</v>
      </c>
      <c r="AX358" t="b">
        <v>1</v>
      </c>
      <c r="BA358" t="s">
        <v>407</v>
      </c>
    </row>
    <row r="359" spans="1:53" x14ac:dyDescent="0.25">
      <c r="A359" t="s">
        <v>386</v>
      </c>
      <c r="B359">
        <v>1</v>
      </c>
      <c r="C359">
        <v>30</v>
      </c>
      <c r="D359">
        <v>1</v>
      </c>
      <c r="E359">
        <v>48211090</v>
      </c>
      <c r="F359">
        <v>297276</v>
      </c>
      <c r="G359" t="s">
        <v>317</v>
      </c>
      <c r="H359" t="s">
        <v>60</v>
      </c>
      <c r="I359" t="s">
        <v>60</v>
      </c>
      <c r="J359" t="s">
        <v>60</v>
      </c>
      <c r="K359" t="s">
        <v>60</v>
      </c>
      <c r="L359" t="s">
        <v>12</v>
      </c>
      <c r="M359">
        <v>35</v>
      </c>
      <c r="P359">
        <v>40</v>
      </c>
      <c r="Q359" t="s">
        <v>80</v>
      </c>
      <c r="R359" t="s">
        <v>415</v>
      </c>
      <c r="S359" t="s">
        <v>363</v>
      </c>
      <c r="T359" t="s">
        <v>333</v>
      </c>
      <c r="V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Q359">
        <v>182375</v>
      </c>
      <c r="AR359" t="b">
        <v>1</v>
      </c>
      <c r="AS359" t="b">
        <v>1</v>
      </c>
      <c r="AT359" t="b">
        <v>1</v>
      </c>
      <c r="AU359" t="b">
        <v>1</v>
      </c>
      <c r="AV359" t="b">
        <v>1</v>
      </c>
      <c r="AW359" t="b">
        <v>1</v>
      </c>
      <c r="AX359" t="b">
        <v>1</v>
      </c>
      <c r="BA359" t="s">
        <v>407</v>
      </c>
    </row>
    <row r="360" spans="1:53" x14ac:dyDescent="0.25">
      <c r="A360" t="s">
        <v>386</v>
      </c>
      <c r="B360">
        <v>1</v>
      </c>
      <c r="C360">
        <v>31</v>
      </c>
      <c r="D360">
        <v>1</v>
      </c>
      <c r="E360">
        <v>48211090</v>
      </c>
      <c r="F360">
        <v>297277</v>
      </c>
      <c r="G360" t="s">
        <v>318</v>
      </c>
      <c r="H360" t="s">
        <v>60</v>
      </c>
      <c r="I360" t="s">
        <v>60</v>
      </c>
      <c r="J360" t="s">
        <v>60</v>
      </c>
      <c r="K360" t="s">
        <v>60</v>
      </c>
      <c r="L360" t="s">
        <v>12</v>
      </c>
      <c r="M360">
        <v>25</v>
      </c>
      <c r="P360">
        <v>40</v>
      </c>
      <c r="Q360" t="s">
        <v>80</v>
      </c>
      <c r="R360" t="s">
        <v>415</v>
      </c>
      <c r="S360" t="s">
        <v>363</v>
      </c>
      <c r="T360" t="s">
        <v>333</v>
      </c>
      <c r="V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Q360">
        <v>182375</v>
      </c>
      <c r="AR360" t="b">
        <v>1</v>
      </c>
      <c r="AS360" t="b">
        <v>1</v>
      </c>
      <c r="AT360" t="b">
        <v>1</v>
      </c>
      <c r="AU360" t="b">
        <v>1</v>
      </c>
      <c r="AV360" t="b">
        <v>1</v>
      </c>
      <c r="AW360" t="b">
        <v>1</v>
      </c>
      <c r="AX360" t="b">
        <v>1</v>
      </c>
      <c r="BA360" t="s">
        <v>407</v>
      </c>
    </row>
    <row r="361" spans="1:53" x14ac:dyDescent="0.25">
      <c r="A361" t="s">
        <v>386</v>
      </c>
      <c r="B361">
        <v>1</v>
      </c>
      <c r="C361">
        <v>32</v>
      </c>
      <c r="D361">
        <v>1</v>
      </c>
      <c r="E361">
        <v>48211090</v>
      </c>
      <c r="F361">
        <v>297278</v>
      </c>
      <c r="G361" t="s">
        <v>319</v>
      </c>
      <c r="H361" t="s">
        <v>60</v>
      </c>
      <c r="I361" t="s">
        <v>60</v>
      </c>
      <c r="J361" t="s">
        <v>60</v>
      </c>
      <c r="K361" t="s">
        <v>60</v>
      </c>
      <c r="L361" t="s">
        <v>12</v>
      </c>
      <c r="M361">
        <v>25</v>
      </c>
      <c r="P361">
        <v>40</v>
      </c>
      <c r="Q361" t="s">
        <v>80</v>
      </c>
      <c r="R361" t="s">
        <v>415</v>
      </c>
      <c r="S361" t="s">
        <v>363</v>
      </c>
      <c r="T361" t="s">
        <v>333</v>
      </c>
      <c r="V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Q361">
        <v>182375</v>
      </c>
      <c r="AR361" t="b">
        <v>1</v>
      </c>
      <c r="AS361" t="b">
        <v>1</v>
      </c>
      <c r="AT361" t="b">
        <v>1</v>
      </c>
      <c r="AU361" t="b">
        <v>1</v>
      </c>
      <c r="AV361" t="b">
        <v>1</v>
      </c>
      <c r="AW361" t="b">
        <v>1</v>
      </c>
      <c r="AX361" t="b">
        <v>1</v>
      </c>
      <c r="BA361" t="s">
        <v>407</v>
      </c>
    </row>
    <row r="362" spans="1:53" x14ac:dyDescent="0.25">
      <c r="A362" t="s">
        <v>386</v>
      </c>
      <c r="B362">
        <v>1</v>
      </c>
      <c r="C362">
        <v>33</v>
      </c>
      <c r="D362">
        <v>1</v>
      </c>
      <c r="E362">
        <v>52081900</v>
      </c>
      <c r="F362">
        <v>275340</v>
      </c>
      <c r="G362" t="s">
        <v>312</v>
      </c>
      <c r="H362" t="s">
        <v>60</v>
      </c>
      <c r="I362" t="s">
        <v>60</v>
      </c>
      <c r="J362" t="s">
        <v>60</v>
      </c>
      <c r="K362" t="s">
        <v>60</v>
      </c>
      <c r="L362" t="s">
        <v>27</v>
      </c>
      <c r="M362">
        <v>4.7</v>
      </c>
      <c r="P362">
        <v>40</v>
      </c>
      <c r="Q362" t="s">
        <v>80</v>
      </c>
      <c r="R362" t="s">
        <v>410</v>
      </c>
      <c r="S362" t="s">
        <v>359</v>
      </c>
      <c r="T362" t="s">
        <v>328</v>
      </c>
      <c r="V362">
        <v>0</v>
      </c>
      <c r="Y362">
        <v>0</v>
      </c>
      <c r="Z362">
        <v>0</v>
      </c>
      <c r="AA362">
        <v>0</v>
      </c>
      <c r="AB362">
        <v>2255257.02</v>
      </c>
      <c r="AC362">
        <v>0</v>
      </c>
      <c r="AD362">
        <v>0</v>
      </c>
      <c r="AE362">
        <v>0</v>
      </c>
      <c r="AQ362">
        <v>182375</v>
      </c>
      <c r="AR362" t="b">
        <v>1</v>
      </c>
      <c r="AS362" t="b">
        <v>1</v>
      </c>
      <c r="AT362" t="b">
        <v>1</v>
      </c>
      <c r="AU362" t="b">
        <v>1</v>
      </c>
      <c r="AV362" t="b">
        <v>1</v>
      </c>
      <c r="AW362" t="b">
        <v>1</v>
      </c>
      <c r="AX362" t="b">
        <v>1</v>
      </c>
      <c r="BA362" t="s">
        <v>407</v>
      </c>
    </row>
    <row r="363" spans="1:53" x14ac:dyDescent="0.25">
      <c r="A363" t="s">
        <v>386</v>
      </c>
      <c r="B363">
        <v>1</v>
      </c>
      <c r="C363">
        <v>34</v>
      </c>
      <c r="D363">
        <v>1</v>
      </c>
      <c r="E363">
        <v>58062090</v>
      </c>
      <c r="F363">
        <v>248283</v>
      </c>
      <c r="G363" t="s">
        <v>313</v>
      </c>
      <c r="H363" t="s">
        <v>60</v>
      </c>
      <c r="I363" t="s">
        <v>60</v>
      </c>
      <c r="J363" t="s">
        <v>60</v>
      </c>
      <c r="K363" t="s">
        <v>60</v>
      </c>
      <c r="L363" t="s">
        <v>59</v>
      </c>
      <c r="M363">
        <v>2.5000000000000001E-3</v>
      </c>
      <c r="P363">
        <v>40</v>
      </c>
      <c r="Q363" t="s">
        <v>80</v>
      </c>
      <c r="R363" t="s">
        <v>411</v>
      </c>
      <c r="S363" t="s">
        <v>357</v>
      </c>
      <c r="T363" t="s">
        <v>329</v>
      </c>
      <c r="V363">
        <v>0</v>
      </c>
      <c r="Y363">
        <v>0</v>
      </c>
      <c r="Z363">
        <v>0</v>
      </c>
      <c r="AA363">
        <v>0</v>
      </c>
      <c r="AB363">
        <v>305</v>
      </c>
      <c r="AC363">
        <v>0</v>
      </c>
      <c r="AD363">
        <v>0</v>
      </c>
      <c r="AE363">
        <v>0</v>
      </c>
      <c r="AQ363">
        <v>182375</v>
      </c>
      <c r="AR363" t="b">
        <v>1</v>
      </c>
      <c r="AS363" t="b">
        <v>1</v>
      </c>
      <c r="AT363" t="b">
        <v>1</v>
      </c>
      <c r="AU363" t="b">
        <v>1</v>
      </c>
      <c r="AV363" t="b">
        <v>1</v>
      </c>
      <c r="AW363" t="b">
        <v>1</v>
      </c>
      <c r="AX363" t="b">
        <v>1</v>
      </c>
      <c r="BA363" t="s">
        <v>407</v>
      </c>
    </row>
    <row r="364" spans="1:53" x14ac:dyDescent="0.25">
      <c r="A364" t="s">
        <v>386</v>
      </c>
      <c r="B364">
        <v>1</v>
      </c>
      <c r="C364">
        <v>35</v>
      </c>
      <c r="D364">
        <v>1</v>
      </c>
      <c r="E364">
        <v>58062090</v>
      </c>
      <c r="F364">
        <v>248283</v>
      </c>
      <c r="G364" t="s">
        <v>313</v>
      </c>
      <c r="H364" t="s">
        <v>60</v>
      </c>
      <c r="I364" t="s">
        <v>60</v>
      </c>
      <c r="J364" t="s">
        <v>60</v>
      </c>
      <c r="K364" t="s">
        <v>60</v>
      </c>
      <c r="L364" t="s">
        <v>59</v>
      </c>
      <c r="M364">
        <v>5.0000000000000001E-3</v>
      </c>
      <c r="P364">
        <v>40</v>
      </c>
      <c r="Q364" t="s">
        <v>80</v>
      </c>
      <c r="R364" t="s">
        <v>412</v>
      </c>
      <c r="S364" t="s">
        <v>360</v>
      </c>
      <c r="T364" t="s">
        <v>330</v>
      </c>
      <c r="V364">
        <v>0</v>
      </c>
      <c r="Y364">
        <v>0</v>
      </c>
      <c r="Z364">
        <v>0</v>
      </c>
      <c r="AA364">
        <v>0</v>
      </c>
      <c r="AB364">
        <v>640</v>
      </c>
      <c r="AC364">
        <v>0</v>
      </c>
      <c r="AD364">
        <v>0</v>
      </c>
      <c r="AE364">
        <v>0</v>
      </c>
      <c r="AQ364">
        <v>182375</v>
      </c>
      <c r="AR364" t="b">
        <v>1</v>
      </c>
      <c r="AS364" t="b">
        <v>1</v>
      </c>
      <c r="AT364" t="b">
        <v>1</v>
      </c>
      <c r="AU364" t="b">
        <v>1</v>
      </c>
      <c r="AV364" t="b">
        <v>1</v>
      </c>
      <c r="AW364" t="b">
        <v>1</v>
      </c>
      <c r="AX364" t="b">
        <v>1</v>
      </c>
      <c r="BA364" t="s">
        <v>407</v>
      </c>
    </row>
    <row r="365" spans="1:53" x14ac:dyDescent="0.25">
      <c r="A365" t="s">
        <v>386</v>
      </c>
      <c r="B365">
        <v>1</v>
      </c>
      <c r="C365">
        <v>36</v>
      </c>
      <c r="D365">
        <v>1</v>
      </c>
      <c r="E365">
        <v>58062090</v>
      </c>
      <c r="F365">
        <v>248283</v>
      </c>
      <c r="G365" t="s">
        <v>313</v>
      </c>
      <c r="H365" t="s">
        <v>60</v>
      </c>
      <c r="I365" t="s">
        <v>60</v>
      </c>
      <c r="J365" t="s">
        <v>60</v>
      </c>
      <c r="K365" t="s">
        <v>60</v>
      </c>
      <c r="L365" t="s">
        <v>59</v>
      </c>
      <c r="M365">
        <v>5.0000000000000001E-3</v>
      </c>
      <c r="P365">
        <v>40</v>
      </c>
      <c r="Q365" t="s">
        <v>80</v>
      </c>
      <c r="R365" t="s">
        <v>413</v>
      </c>
      <c r="S365" t="s">
        <v>361</v>
      </c>
      <c r="T365" t="s">
        <v>331</v>
      </c>
      <c r="V365">
        <v>0</v>
      </c>
      <c r="Y365">
        <v>0</v>
      </c>
      <c r="Z365">
        <v>0</v>
      </c>
      <c r="AA365">
        <v>0</v>
      </c>
      <c r="AB365">
        <v>640</v>
      </c>
      <c r="AC365">
        <v>0</v>
      </c>
      <c r="AD365">
        <v>0</v>
      </c>
      <c r="AE365">
        <v>0</v>
      </c>
      <c r="AQ365">
        <v>182375</v>
      </c>
      <c r="AR365" t="b">
        <v>1</v>
      </c>
      <c r="AS365" t="b">
        <v>1</v>
      </c>
      <c r="AT365" t="b">
        <v>1</v>
      </c>
      <c r="AU365" t="b">
        <v>1</v>
      </c>
      <c r="AV365" t="b">
        <v>1</v>
      </c>
      <c r="AW365" t="b">
        <v>1</v>
      </c>
      <c r="AX365" t="b">
        <v>1</v>
      </c>
      <c r="BA365" t="s">
        <v>407</v>
      </c>
    </row>
    <row r="366" spans="1:53" x14ac:dyDescent="0.25">
      <c r="A366" t="s">
        <v>386</v>
      </c>
      <c r="B366">
        <v>1</v>
      </c>
      <c r="C366">
        <v>37</v>
      </c>
      <c r="D366">
        <v>1</v>
      </c>
      <c r="E366">
        <v>58062090</v>
      </c>
      <c r="F366">
        <v>248283</v>
      </c>
      <c r="G366" t="s">
        <v>314</v>
      </c>
      <c r="H366" t="s">
        <v>60</v>
      </c>
      <c r="I366" t="s">
        <v>60</v>
      </c>
      <c r="J366" t="s">
        <v>60</v>
      </c>
      <c r="K366" t="s">
        <v>60</v>
      </c>
      <c r="L366" t="s">
        <v>59</v>
      </c>
      <c r="M366">
        <v>5.0000000000000001E-3</v>
      </c>
      <c r="P366">
        <v>40</v>
      </c>
      <c r="Q366" t="s">
        <v>80</v>
      </c>
      <c r="R366" t="s">
        <v>414</v>
      </c>
      <c r="S366" t="s">
        <v>362</v>
      </c>
      <c r="T366" t="s">
        <v>332</v>
      </c>
      <c r="V366">
        <v>0</v>
      </c>
      <c r="Y366">
        <v>0</v>
      </c>
      <c r="Z366">
        <v>0</v>
      </c>
      <c r="AA366">
        <v>0</v>
      </c>
      <c r="AB366">
        <v>640</v>
      </c>
      <c r="AC366">
        <v>0</v>
      </c>
      <c r="AD366">
        <v>0</v>
      </c>
      <c r="AE366">
        <v>0</v>
      </c>
      <c r="AQ366">
        <v>182375</v>
      </c>
      <c r="AR366" t="b">
        <v>1</v>
      </c>
      <c r="AS366" t="b">
        <v>1</v>
      </c>
      <c r="AT366" t="b">
        <v>1</v>
      </c>
      <c r="AU366" t="b">
        <v>1</v>
      </c>
      <c r="AV366" t="b">
        <v>1</v>
      </c>
      <c r="AW366" t="b">
        <v>1</v>
      </c>
      <c r="AX366" t="b">
        <v>1</v>
      </c>
      <c r="BA366" t="s">
        <v>407</v>
      </c>
    </row>
    <row r="367" spans="1:53" x14ac:dyDescent="0.25">
      <c r="A367" t="s">
        <v>386</v>
      </c>
      <c r="B367">
        <v>1</v>
      </c>
      <c r="C367">
        <v>38</v>
      </c>
      <c r="D367">
        <v>1</v>
      </c>
      <c r="E367">
        <v>48211090</v>
      </c>
      <c r="F367">
        <v>297274</v>
      </c>
      <c r="G367" t="s">
        <v>315</v>
      </c>
      <c r="H367" t="s">
        <v>60</v>
      </c>
      <c r="I367" t="s">
        <v>60</v>
      </c>
      <c r="J367" t="s">
        <v>60</v>
      </c>
      <c r="K367" t="s">
        <v>60</v>
      </c>
      <c r="L367" t="s">
        <v>12</v>
      </c>
      <c r="M367">
        <v>100</v>
      </c>
      <c r="P367">
        <v>40</v>
      </c>
      <c r="Q367" t="s">
        <v>80</v>
      </c>
      <c r="R367" t="s">
        <v>415</v>
      </c>
      <c r="S367" t="s">
        <v>363</v>
      </c>
      <c r="T367" t="s">
        <v>333</v>
      </c>
      <c r="V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Q367">
        <v>182375</v>
      </c>
      <c r="AR367" t="b">
        <v>1</v>
      </c>
      <c r="AS367" t="b">
        <v>1</v>
      </c>
      <c r="AT367" t="b">
        <v>1</v>
      </c>
      <c r="AU367" t="b">
        <v>1</v>
      </c>
      <c r="AV367" t="b">
        <v>1</v>
      </c>
      <c r="AW367" t="b">
        <v>1</v>
      </c>
      <c r="AX367" t="b">
        <v>1</v>
      </c>
      <c r="BA367" t="s">
        <v>407</v>
      </c>
    </row>
    <row r="368" spans="1:53" x14ac:dyDescent="0.25">
      <c r="A368" t="s">
        <v>386</v>
      </c>
      <c r="B368">
        <v>1</v>
      </c>
      <c r="C368">
        <v>39</v>
      </c>
      <c r="D368">
        <v>1</v>
      </c>
      <c r="E368">
        <v>48211090</v>
      </c>
      <c r="F368">
        <v>297275</v>
      </c>
      <c r="G368" t="s">
        <v>316</v>
      </c>
      <c r="H368" t="s">
        <v>60</v>
      </c>
      <c r="I368" t="s">
        <v>60</v>
      </c>
      <c r="J368" t="s">
        <v>60</v>
      </c>
      <c r="K368" t="s">
        <v>60</v>
      </c>
      <c r="L368" t="s">
        <v>12</v>
      </c>
      <c r="M368">
        <v>15</v>
      </c>
      <c r="P368">
        <v>40</v>
      </c>
      <c r="Q368" t="s">
        <v>80</v>
      </c>
      <c r="R368" t="s">
        <v>415</v>
      </c>
      <c r="S368" t="s">
        <v>363</v>
      </c>
      <c r="T368" t="s">
        <v>333</v>
      </c>
      <c r="V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Q368">
        <v>182375</v>
      </c>
      <c r="AR368" t="b">
        <v>1</v>
      </c>
      <c r="AS368" t="b">
        <v>1</v>
      </c>
      <c r="AT368" t="b">
        <v>1</v>
      </c>
      <c r="AU368" t="b">
        <v>1</v>
      </c>
      <c r="AV368" t="b">
        <v>1</v>
      </c>
      <c r="AW368" t="b">
        <v>1</v>
      </c>
      <c r="AX368" t="b">
        <v>1</v>
      </c>
      <c r="BA368" t="s">
        <v>407</v>
      </c>
    </row>
    <row r="369" spans="1:53" x14ac:dyDescent="0.25">
      <c r="A369" t="s">
        <v>386</v>
      </c>
      <c r="B369">
        <v>1</v>
      </c>
      <c r="C369">
        <v>40</v>
      </c>
      <c r="D369">
        <v>1</v>
      </c>
      <c r="E369">
        <v>48211090</v>
      </c>
      <c r="F369">
        <v>297276</v>
      </c>
      <c r="G369" t="s">
        <v>317</v>
      </c>
      <c r="H369" t="s">
        <v>60</v>
      </c>
      <c r="I369" t="s">
        <v>60</v>
      </c>
      <c r="J369" t="s">
        <v>60</v>
      </c>
      <c r="K369" t="s">
        <v>60</v>
      </c>
      <c r="L369" t="s">
        <v>12</v>
      </c>
      <c r="M369">
        <v>35</v>
      </c>
      <c r="P369">
        <v>40</v>
      </c>
      <c r="Q369" t="s">
        <v>80</v>
      </c>
      <c r="R369" t="s">
        <v>415</v>
      </c>
      <c r="S369" t="s">
        <v>363</v>
      </c>
      <c r="T369" t="s">
        <v>333</v>
      </c>
      <c r="V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Q369">
        <v>182375</v>
      </c>
      <c r="AR369" t="b">
        <v>1</v>
      </c>
      <c r="AS369" t="b">
        <v>1</v>
      </c>
      <c r="AT369" t="b">
        <v>1</v>
      </c>
      <c r="AU369" t="b">
        <v>1</v>
      </c>
      <c r="AV369" t="b">
        <v>1</v>
      </c>
      <c r="AW369" t="b">
        <v>1</v>
      </c>
      <c r="AX369" t="b">
        <v>1</v>
      </c>
      <c r="BA369" t="s">
        <v>407</v>
      </c>
    </row>
    <row r="370" spans="1:53" x14ac:dyDescent="0.25">
      <c r="A370" t="s">
        <v>386</v>
      </c>
      <c r="B370">
        <v>1</v>
      </c>
      <c r="C370">
        <v>41</v>
      </c>
      <c r="D370">
        <v>1</v>
      </c>
      <c r="E370">
        <v>48211090</v>
      </c>
      <c r="F370">
        <v>297277</v>
      </c>
      <c r="G370" t="s">
        <v>318</v>
      </c>
      <c r="H370" t="s">
        <v>60</v>
      </c>
      <c r="I370" t="s">
        <v>60</v>
      </c>
      <c r="J370" t="s">
        <v>60</v>
      </c>
      <c r="K370" t="s">
        <v>60</v>
      </c>
      <c r="L370" t="s">
        <v>12</v>
      </c>
      <c r="M370">
        <v>25</v>
      </c>
      <c r="P370">
        <v>40</v>
      </c>
      <c r="Q370" t="s">
        <v>80</v>
      </c>
      <c r="R370" t="s">
        <v>415</v>
      </c>
      <c r="S370" t="s">
        <v>363</v>
      </c>
      <c r="T370" t="s">
        <v>333</v>
      </c>
      <c r="V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Q370">
        <v>182375</v>
      </c>
      <c r="AR370" t="b">
        <v>1</v>
      </c>
      <c r="AS370" t="b">
        <v>1</v>
      </c>
      <c r="AT370" t="b">
        <v>1</v>
      </c>
      <c r="AU370" t="b">
        <v>1</v>
      </c>
      <c r="AV370" t="b">
        <v>1</v>
      </c>
      <c r="AW370" t="b">
        <v>1</v>
      </c>
      <c r="AX370" t="b">
        <v>1</v>
      </c>
      <c r="BA370" t="s">
        <v>407</v>
      </c>
    </row>
    <row r="371" spans="1:53" x14ac:dyDescent="0.25">
      <c r="A371" t="s">
        <v>386</v>
      </c>
      <c r="B371">
        <v>1</v>
      </c>
      <c r="C371">
        <v>42</v>
      </c>
      <c r="D371">
        <v>1</v>
      </c>
      <c r="E371">
        <v>48211090</v>
      </c>
      <c r="F371">
        <v>297278</v>
      </c>
      <c r="G371" t="s">
        <v>319</v>
      </c>
      <c r="H371" t="s">
        <v>60</v>
      </c>
      <c r="I371" t="s">
        <v>60</v>
      </c>
      <c r="J371" t="s">
        <v>60</v>
      </c>
      <c r="K371" t="s">
        <v>60</v>
      </c>
      <c r="L371" t="s">
        <v>12</v>
      </c>
      <c r="M371">
        <v>25</v>
      </c>
      <c r="P371">
        <v>40</v>
      </c>
      <c r="Q371" t="s">
        <v>80</v>
      </c>
      <c r="R371" t="s">
        <v>415</v>
      </c>
      <c r="S371" t="s">
        <v>363</v>
      </c>
      <c r="T371" t="s">
        <v>333</v>
      </c>
      <c r="V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Q371">
        <v>182375</v>
      </c>
      <c r="AR371" t="b">
        <v>1</v>
      </c>
      <c r="AS371" t="b">
        <v>1</v>
      </c>
      <c r="AT371" t="b">
        <v>1</v>
      </c>
      <c r="AU371" t="b">
        <v>1</v>
      </c>
      <c r="AV371" t="b">
        <v>1</v>
      </c>
      <c r="AW371" t="b">
        <v>1</v>
      </c>
      <c r="AX371" t="b">
        <v>1</v>
      </c>
      <c r="BA371" t="s">
        <v>407</v>
      </c>
    </row>
    <row r="372" spans="1:53" x14ac:dyDescent="0.25">
      <c r="A372" t="s">
        <v>386</v>
      </c>
      <c r="B372">
        <v>1</v>
      </c>
      <c r="C372">
        <v>43</v>
      </c>
      <c r="D372">
        <v>1</v>
      </c>
      <c r="E372">
        <v>52081900</v>
      </c>
      <c r="F372">
        <v>274799</v>
      </c>
      <c r="G372" t="s">
        <v>311</v>
      </c>
      <c r="H372" t="s">
        <v>60</v>
      </c>
      <c r="I372" t="s">
        <v>60</v>
      </c>
      <c r="J372" t="s">
        <v>60</v>
      </c>
      <c r="K372" t="s">
        <v>60</v>
      </c>
      <c r="L372" t="s">
        <v>27</v>
      </c>
      <c r="M372">
        <v>4.7</v>
      </c>
      <c r="P372">
        <v>40</v>
      </c>
      <c r="Q372" t="s">
        <v>80</v>
      </c>
      <c r="R372" t="s">
        <v>409</v>
      </c>
      <c r="S372" t="s">
        <v>358</v>
      </c>
      <c r="T372" t="s">
        <v>327</v>
      </c>
      <c r="V372">
        <v>0</v>
      </c>
      <c r="Y372">
        <v>0</v>
      </c>
      <c r="Z372">
        <v>0</v>
      </c>
      <c r="AA372">
        <v>0</v>
      </c>
      <c r="AB372">
        <v>2255257.02</v>
      </c>
      <c r="AC372">
        <v>0</v>
      </c>
      <c r="AD372">
        <v>0</v>
      </c>
      <c r="AE372">
        <v>0</v>
      </c>
      <c r="AQ372">
        <v>182375</v>
      </c>
      <c r="AR372" t="b">
        <v>1</v>
      </c>
      <c r="AS372" t="b">
        <v>1</v>
      </c>
      <c r="AT372" t="b">
        <v>1</v>
      </c>
      <c r="AU372" t="b">
        <v>1</v>
      </c>
      <c r="AV372" t="b">
        <v>1</v>
      </c>
      <c r="AW372" t="b">
        <v>1</v>
      </c>
      <c r="AX372" t="b">
        <v>1</v>
      </c>
      <c r="BA372" t="s">
        <v>407</v>
      </c>
    </row>
    <row r="373" spans="1:53" x14ac:dyDescent="0.25">
      <c r="A373" t="s">
        <v>386</v>
      </c>
      <c r="B373">
        <v>1</v>
      </c>
      <c r="C373">
        <v>44</v>
      </c>
      <c r="D373">
        <v>1</v>
      </c>
      <c r="E373">
        <v>52081900</v>
      </c>
      <c r="F373">
        <v>275340</v>
      </c>
      <c r="G373" t="s">
        <v>312</v>
      </c>
      <c r="H373" t="s">
        <v>60</v>
      </c>
      <c r="I373" t="s">
        <v>60</v>
      </c>
      <c r="J373" t="s">
        <v>60</v>
      </c>
      <c r="K373" t="s">
        <v>60</v>
      </c>
      <c r="L373" t="s">
        <v>27</v>
      </c>
      <c r="M373">
        <v>4.7</v>
      </c>
      <c r="P373">
        <v>40</v>
      </c>
      <c r="Q373" t="s">
        <v>80</v>
      </c>
      <c r="R373" t="s">
        <v>410</v>
      </c>
      <c r="S373" t="s">
        <v>359</v>
      </c>
      <c r="T373" t="s">
        <v>328</v>
      </c>
      <c r="V373">
        <v>0</v>
      </c>
      <c r="Y373">
        <v>0</v>
      </c>
      <c r="Z373">
        <v>0</v>
      </c>
      <c r="AA373">
        <v>0</v>
      </c>
      <c r="AB373">
        <v>2255257.02</v>
      </c>
      <c r="AC373">
        <v>0</v>
      </c>
      <c r="AD373">
        <v>0</v>
      </c>
      <c r="AE373">
        <v>0</v>
      </c>
      <c r="AQ373">
        <v>182375</v>
      </c>
      <c r="AR373" t="b">
        <v>1</v>
      </c>
      <c r="AS373" t="b">
        <v>1</v>
      </c>
      <c r="AT373" t="b">
        <v>1</v>
      </c>
      <c r="AU373" t="b">
        <v>1</v>
      </c>
      <c r="AV373" t="b">
        <v>1</v>
      </c>
      <c r="AW373" t="b">
        <v>1</v>
      </c>
      <c r="AX373" t="b">
        <v>1</v>
      </c>
      <c r="BA373" t="s">
        <v>407</v>
      </c>
    </row>
    <row r="374" spans="1:53" x14ac:dyDescent="0.25">
      <c r="A374" t="s">
        <v>386</v>
      </c>
      <c r="B374">
        <v>1</v>
      </c>
      <c r="C374">
        <v>45</v>
      </c>
      <c r="D374">
        <v>1</v>
      </c>
      <c r="E374">
        <v>58062090</v>
      </c>
      <c r="F374">
        <v>248283</v>
      </c>
      <c r="G374" t="s">
        <v>313</v>
      </c>
      <c r="H374" t="s">
        <v>60</v>
      </c>
      <c r="I374" t="s">
        <v>60</v>
      </c>
      <c r="J374" t="s">
        <v>60</v>
      </c>
      <c r="K374" t="s">
        <v>60</v>
      </c>
      <c r="L374" t="s">
        <v>59</v>
      </c>
      <c r="M374">
        <v>2.5000000000000001E-3</v>
      </c>
      <c r="P374">
        <v>40</v>
      </c>
      <c r="Q374" t="s">
        <v>80</v>
      </c>
      <c r="R374" t="s">
        <v>411</v>
      </c>
      <c r="S374" t="s">
        <v>357</v>
      </c>
      <c r="T374" t="s">
        <v>329</v>
      </c>
      <c r="V374">
        <v>0</v>
      </c>
      <c r="Y374">
        <v>0</v>
      </c>
      <c r="Z374">
        <v>0</v>
      </c>
      <c r="AA374">
        <v>0</v>
      </c>
      <c r="AB374">
        <v>305</v>
      </c>
      <c r="AC374">
        <v>0</v>
      </c>
      <c r="AD374">
        <v>0</v>
      </c>
      <c r="AE374">
        <v>0</v>
      </c>
      <c r="AQ374">
        <v>182375</v>
      </c>
      <c r="AR374" t="b">
        <v>1</v>
      </c>
      <c r="AS374" t="b">
        <v>1</v>
      </c>
      <c r="AT374" t="b">
        <v>1</v>
      </c>
      <c r="AU374" t="b">
        <v>1</v>
      </c>
      <c r="AV374" t="b">
        <v>1</v>
      </c>
      <c r="AW374" t="b">
        <v>1</v>
      </c>
      <c r="AX374" t="b">
        <v>1</v>
      </c>
      <c r="BA374" t="s">
        <v>407</v>
      </c>
    </row>
    <row r="375" spans="1:53" x14ac:dyDescent="0.25">
      <c r="A375" t="s">
        <v>386</v>
      </c>
      <c r="B375">
        <v>1</v>
      </c>
      <c r="C375">
        <v>46</v>
      </c>
      <c r="D375">
        <v>1</v>
      </c>
      <c r="E375">
        <v>58062090</v>
      </c>
      <c r="F375">
        <v>248283</v>
      </c>
      <c r="G375" t="s">
        <v>313</v>
      </c>
      <c r="H375" t="s">
        <v>60</v>
      </c>
      <c r="I375" t="s">
        <v>60</v>
      </c>
      <c r="J375" t="s">
        <v>60</v>
      </c>
      <c r="K375" t="s">
        <v>60</v>
      </c>
      <c r="L375" t="s">
        <v>59</v>
      </c>
      <c r="M375">
        <v>5.0000000000000001E-3</v>
      </c>
      <c r="P375">
        <v>40</v>
      </c>
      <c r="Q375" t="s">
        <v>80</v>
      </c>
      <c r="R375" t="s">
        <v>412</v>
      </c>
      <c r="S375" t="s">
        <v>360</v>
      </c>
      <c r="T375" t="s">
        <v>330</v>
      </c>
      <c r="V375">
        <v>0</v>
      </c>
      <c r="Y375">
        <v>0</v>
      </c>
      <c r="Z375">
        <v>0</v>
      </c>
      <c r="AA375">
        <v>0</v>
      </c>
      <c r="AB375">
        <v>640</v>
      </c>
      <c r="AC375">
        <v>0</v>
      </c>
      <c r="AD375">
        <v>0</v>
      </c>
      <c r="AE375">
        <v>0</v>
      </c>
      <c r="AQ375">
        <v>182375</v>
      </c>
      <c r="AR375" t="b">
        <v>1</v>
      </c>
      <c r="AS375" t="b">
        <v>1</v>
      </c>
      <c r="AT375" t="b">
        <v>1</v>
      </c>
      <c r="AU375" t="b">
        <v>1</v>
      </c>
      <c r="AV375" t="b">
        <v>1</v>
      </c>
      <c r="AW375" t="b">
        <v>1</v>
      </c>
      <c r="AX375" t="b">
        <v>1</v>
      </c>
      <c r="BA375" t="s">
        <v>407</v>
      </c>
    </row>
    <row r="376" spans="1:53" x14ac:dyDescent="0.25">
      <c r="A376" t="s">
        <v>386</v>
      </c>
      <c r="B376">
        <v>1</v>
      </c>
      <c r="C376">
        <v>47</v>
      </c>
      <c r="D376">
        <v>1</v>
      </c>
      <c r="E376">
        <v>58062090</v>
      </c>
      <c r="F376">
        <v>248283</v>
      </c>
      <c r="G376" t="s">
        <v>313</v>
      </c>
      <c r="H376" t="s">
        <v>60</v>
      </c>
      <c r="I376" t="s">
        <v>60</v>
      </c>
      <c r="J376" t="s">
        <v>60</v>
      </c>
      <c r="K376" t="s">
        <v>60</v>
      </c>
      <c r="L376" t="s">
        <v>59</v>
      </c>
      <c r="M376">
        <v>5.0000000000000001E-3</v>
      </c>
      <c r="P376">
        <v>40</v>
      </c>
      <c r="Q376" t="s">
        <v>80</v>
      </c>
      <c r="R376" t="s">
        <v>413</v>
      </c>
      <c r="S376" t="s">
        <v>361</v>
      </c>
      <c r="T376" t="s">
        <v>331</v>
      </c>
      <c r="V376">
        <v>0</v>
      </c>
      <c r="Y376">
        <v>0</v>
      </c>
      <c r="Z376">
        <v>0</v>
      </c>
      <c r="AA376">
        <v>0</v>
      </c>
      <c r="AB376">
        <v>640</v>
      </c>
      <c r="AC376">
        <v>0</v>
      </c>
      <c r="AD376">
        <v>0</v>
      </c>
      <c r="AE376">
        <v>0</v>
      </c>
      <c r="AQ376">
        <v>182375</v>
      </c>
      <c r="AR376" t="b">
        <v>1</v>
      </c>
      <c r="AS376" t="b">
        <v>1</v>
      </c>
      <c r="AT376" t="b">
        <v>1</v>
      </c>
      <c r="AU376" t="b">
        <v>1</v>
      </c>
      <c r="AV376" t="b">
        <v>1</v>
      </c>
      <c r="AW376" t="b">
        <v>1</v>
      </c>
      <c r="AX376" t="b">
        <v>1</v>
      </c>
      <c r="BA376" t="s">
        <v>407</v>
      </c>
    </row>
    <row r="377" spans="1:53" x14ac:dyDescent="0.25">
      <c r="A377" t="s">
        <v>386</v>
      </c>
      <c r="B377">
        <v>1</v>
      </c>
      <c r="C377">
        <v>48</v>
      </c>
      <c r="D377">
        <v>1</v>
      </c>
      <c r="E377">
        <v>58062090</v>
      </c>
      <c r="F377">
        <v>248283</v>
      </c>
      <c r="G377" t="s">
        <v>314</v>
      </c>
      <c r="H377" t="s">
        <v>60</v>
      </c>
      <c r="I377" t="s">
        <v>60</v>
      </c>
      <c r="J377" t="s">
        <v>60</v>
      </c>
      <c r="K377" t="s">
        <v>60</v>
      </c>
      <c r="L377" t="s">
        <v>59</v>
      </c>
      <c r="M377">
        <v>5.0000000000000001E-3</v>
      </c>
      <c r="P377">
        <v>40</v>
      </c>
      <c r="Q377" t="s">
        <v>80</v>
      </c>
      <c r="R377" t="s">
        <v>414</v>
      </c>
      <c r="S377" t="s">
        <v>362</v>
      </c>
      <c r="T377" t="s">
        <v>332</v>
      </c>
      <c r="V377">
        <v>0</v>
      </c>
      <c r="Y377">
        <v>0</v>
      </c>
      <c r="Z377">
        <v>0</v>
      </c>
      <c r="AA377">
        <v>0</v>
      </c>
      <c r="AB377">
        <v>640</v>
      </c>
      <c r="AC377">
        <v>0</v>
      </c>
      <c r="AD377">
        <v>0</v>
      </c>
      <c r="AE377">
        <v>0</v>
      </c>
      <c r="AQ377">
        <v>182375</v>
      </c>
      <c r="AR377" t="b">
        <v>1</v>
      </c>
      <c r="AS377" t="b">
        <v>1</v>
      </c>
      <c r="AT377" t="b">
        <v>1</v>
      </c>
      <c r="AU377" t="b">
        <v>1</v>
      </c>
      <c r="AV377" t="b">
        <v>1</v>
      </c>
      <c r="AW377" t="b">
        <v>1</v>
      </c>
      <c r="AX377" t="b">
        <v>1</v>
      </c>
      <c r="BA377" t="s">
        <v>407</v>
      </c>
    </row>
    <row r="378" spans="1:53" x14ac:dyDescent="0.25">
      <c r="A378" t="s">
        <v>386</v>
      </c>
      <c r="B378">
        <v>1</v>
      </c>
      <c r="C378">
        <v>49</v>
      </c>
      <c r="D378">
        <v>1</v>
      </c>
      <c r="E378">
        <v>48211090</v>
      </c>
      <c r="F378">
        <v>297274</v>
      </c>
      <c r="G378" t="s">
        <v>315</v>
      </c>
      <c r="H378" t="s">
        <v>60</v>
      </c>
      <c r="I378" t="s">
        <v>60</v>
      </c>
      <c r="J378" t="s">
        <v>60</v>
      </c>
      <c r="K378" t="s">
        <v>60</v>
      </c>
      <c r="L378" t="s">
        <v>12</v>
      </c>
      <c r="M378">
        <v>100</v>
      </c>
      <c r="P378">
        <v>40</v>
      </c>
      <c r="Q378" t="s">
        <v>80</v>
      </c>
      <c r="R378" t="s">
        <v>415</v>
      </c>
      <c r="S378" t="s">
        <v>363</v>
      </c>
      <c r="T378" t="s">
        <v>333</v>
      </c>
      <c r="V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Q378">
        <v>182375</v>
      </c>
      <c r="AR378" t="b">
        <v>1</v>
      </c>
      <c r="AS378" t="b">
        <v>1</v>
      </c>
      <c r="AT378" t="b">
        <v>1</v>
      </c>
      <c r="AU378" t="b">
        <v>1</v>
      </c>
      <c r="AV378" t="b">
        <v>1</v>
      </c>
      <c r="AW378" t="b">
        <v>1</v>
      </c>
      <c r="AX378" t="b">
        <v>1</v>
      </c>
      <c r="BA378" t="s">
        <v>407</v>
      </c>
    </row>
    <row r="379" spans="1:53" x14ac:dyDescent="0.25">
      <c r="A379" t="s">
        <v>386</v>
      </c>
      <c r="B379">
        <v>1</v>
      </c>
      <c r="C379">
        <v>50</v>
      </c>
      <c r="D379">
        <v>1</v>
      </c>
      <c r="E379">
        <v>48211090</v>
      </c>
      <c r="F379">
        <v>297275</v>
      </c>
      <c r="G379" t="s">
        <v>316</v>
      </c>
      <c r="H379" t="s">
        <v>60</v>
      </c>
      <c r="I379" t="s">
        <v>60</v>
      </c>
      <c r="J379" t="s">
        <v>60</v>
      </c>
      <c r="K379" t="s">
        <v>60</v>
      </c>
      <c r="L379" t="s">
        <v>12</v>
      </c>
      <c r="M379">
        <v>15</v>
      </c>
      <c r="P379">
        <v>40</v>
      </c>
      <c r="Q379" t="s">
        <v>80</v>
      </c>
      <c r="R379" t="s">
        <v>415</v>
      </c>
      <c r="S379" t="s">
        <v>363</v>
      </c>
      <c r="T379" t="s">
        <v>333</v>
      </c>
      <c r="V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Q379">
        <v>182375</v>
      </c>
      <c r="AR379" t="b">
        <v>1</v>
      </c>
      <c r="AS379" t="b">
        <v>1</v>
      </c>
      <c r="AT379" t="b">
        <v>1</v>
      </c>
      <c r="AU379" t="b">
        <v>1</v>
      </c>
      <c r="AV379" t="b">
        <v>1</v>
      </c>
      <c r="AW379" t="b">
        <v>1</v>
      </c>
      <c r="AX379" t="b">
        <v>1</v>
      </c>
      <c r="BA379" t="s">
        <v>407</v>
      </c>
    </row>
    <row r="380" spans="1:53" x14ac:dyDescent="0.25">
      <c r="A380" t="s">
        <v>386</v>
      </c>
      <c r="B380">
        <v>1</v>
      </c>
      <c r="C380">
        <v>51</v>
      </c>
      <c r="D380">
        <v>1</v>
      </c>
      <c r="E380">
        <v>48211090</v>
      </c>
      <c r="F380">
        <v>297276</v>
      </c>
      <c r="G380" t="s">
        <v>317</v>
      </c>
      <c r="H380" t="s">
        <v>60</v>
      </c>
      <c r="I380" t="s">
        <v>60</v>
      </c>
      <c r="J380" t="s">
        <v>60</v>
      </c>
      <c r="K380" t="s">
        <v>60</v>
      </c>
      <c r="L380" t="s">
        <v>12</v>
      </c>
      <c r="M380">
        <v>35</v>
      </c>
      <c r="P380">
        <v>40</v>
      </c>
      <c r="Q380" t="s">
        <v>80</v>
      </c>
      <c r="R380" t="s">
        <v>415</v>
      </c>
      <c r="S380" t="s">
        <v>363</v>
      </c>
      <c r="T380" t="s">
        <v>333</v>
      </c>
      <c r="V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Q380">
        <v>182375</v>
      </c>
      <c r="AR380" t="b">
        <v>1</v>
      </c>
      <c r="AS380" t="b">
        <v>1</v>
      </c>
      <c r="AT380" t="b">
        <v>1</v>
      </c>
      <c r="AU380" t="b">
        <v>1</v>
      </c>
      <c r="AV380" t="b">
        <v>1</v>
      </c>
      <c r="AW380" t="b">
        <v>1</v>
      </c>
      <c r="AX380" t="b">
        <v>1</v>
      </c>
      <c r="BA380" t="s">
        <v>407</v>
      </c>
    </row>
    <row r="381" spans="1:53" x14ac:dyDescent="0.25">
      <c r="A381" t="s">
        <v>386</v>
      </c>
      <c r="B381">
        <v>1</v>
      </c>
      <c r="C381">
        <v>52</v>
      </c>
      <c r="D381">
        <v>1</v>
      </c>
      <c r="E381">
        <v>48211090</v>
      </c>
      <c r="F381">
        <v>297277</v>
      </c>
      <c r="G381" t="s">
        <v>318</v>
      </c>
      <c r="H381" t="s">
        <v>60</v>
      </c>
      <c r="I381" t="s">
        <v>60</v>
      </c>
      <c r="J381" t="s">
        <v>60</v>
      </c>
      <c r="K381" t="s">
        <v>60</v>
      </c>
      <c r="L381" t="s">
        <v>12</v>
      </c>
      <c r="M381">
        <v>25</v>
      </c>
      <c r="P381">
        <v>40</v>
      </c>
      <c r="Q381" t="s">
        <v>80</v>
      </c>
      <c r="R381" t="s">
        <v>415</v>
      </c>
      <c r="S381" t="s">
        <v>363</v>
      </c>
      <c r="T381" t="s">
        <v>333</v>
      </c>
      <c r="V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Q381">
        <v>182375</v>
      </c>
      <c r="AR381" t="b">
        <v>1</v>
      </c>
      <c r="AS381" t="b">
        <v>1</v>
      </c>
      <c r="AT381" t="b">
        <v>1</v>
      </c>
      <c r="AU381" t="b">
        <v>1</v>
      </c>
      <c r="AV381" t="b">
        <v>1</v>
      </c>
      <c r="AW381" t="b">
        <v>1</v>
      </c>
      <c r="AX381" t="b">
        <v>1</v>
      </c>
      <c r="BA381" t="s">
        <v>407</v>
      </c>
    </row>
    <row r="382" spans="1:53" x14ac:dyDescent="0.25">
      <c r="A382" t="s">
        <v>386</v>
      </c>
      <c r="B382">
        <v>1</v>
      </c>
      <c r="C382">
        <v>53</v>
      </c>
      <c r="D382">
        <v>1</v>
      </c>
      <c r="E382">
        <v>48211090</v>
      </c>
      <c r="F382">
        <v>297278</v>
      </c>
      <c r="G382" t="s">
        <v>319</v>
      </c>
      <c r="H382" t="s">
        <v>60</v>
      </c>
      <c r="I382" t="s">
        <v>60</v>
      </c>
      <c r="J382" t="s">
        <v>60</v>
      </c>
      <c r="K382" t="s">
        <v>60</v>
      </c>
      <c r="L382" t="s">
        <v>12</v>
      </c>
      <c r="M382">
        <v>25</v>
      </c>
      <c r="P382">
        <v>40</v>
      </c>
      <c r="Q382" t="s">
        <v>80</v>
      </c>
      <c r="R382" t="s">
        <v>415</v>
      </c>
      <c r="S382" t="s">
        <v>363</v>
      </c>
      <c r="T382" t="s">
        <v>333</v>
      </c>
      <c r="V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Q382">
        <v>182375</v>
      </c>
      <c r="AR382" t="b">
        <v>1</v>
      </c>
      <c r="AS382" t="b">
        <v>1</v>
      </c>
      <c r="AT382" t="b">
        <v>1</v>
      </c>
      <c r="AU382" t="b">
        <v>1</v>
      </c>
      <c r="AV382" t="b">
        <v>1</v>
      </c>
      <c r="AW382" t="b">
        <v>1</v>
      </c>
      <c r="AX382" t="b">
        <v>1</v>
      </c>
      <c r="BA382" t="s">
        <v>407</v>
      </c>
    </row>
    <row r="383" spans="1:53" x14ac:dyDescent="0.25">
      <c r="A383" t="s">
        <v>386</v>
      </c>
      <c r="B383">
        <v>1</v>
      </c>
      <c r="C383">
        <v>54</v>
      </c>
      <c r="D383">
        <v>1</v>
      </c>
      <c r="E383">
        <v>52081900</v>
      </c>
      <c r="F383">
        <v>275340</v>
      </c>
      <c r="G383" t="s">
        <v>312</v>
      </c>
      <c r="H383" t="s">
        <v>60</v>
      </c>
      <c r="I383" t="s">
        <v>60</v>
      </c>
      <c r="J383" t="s">
        <v>60</v>
      </c>
      <c r="K383" t="s">
        <v>60</v>
      </c>
      <c r="L383" t="s">
        <v>27</v>
      </c>
      <c r="M383">
        <v>2.35</v>
      </c>
      <c r="P383">
        <v>40</v>
      </c>
      <c r="Q383" t="s">
        <v>80</v>
      </c>
      <c r="R383" t="s">
        <v>410</v>
      </c>
      <c r="S383" t="s">
        <v>359</v>
      </c>
      <c r="T383" t="s">
        <v>328</v>
      </c>
      <c r="V383">
        <v>0</v>
      </c>
      <c r="Y383">
        <v>0</v>
      </c>
      <c r="Z383">
        <v>0</v>
      </c>
      <c r="AA383">
        <v>0</v>
      </c>
      <c r="AB383">
        <v>2255257.02</v>
      </c>
      <c r="AC383">
        <v>0</v>
      </c>
      <c r="AD383">
        <v>0</v>
      </c>
      <c r="AE383">
        <v>0</v>
      </c>
      <c r="AQ383">
        <v>182375</v>
      </c>
      <c r="AR383" t="b">
        <v>1</v>
      </c>
      <c r="AS383" t="b">
        <v>1</v>
      </c>
      <c r="AT383" t="b">
        <v>1</v>
      </c>
      <c r="AU383" t="b">
        <v>1</v>
      </c>
      <c r="AV383" t="b">
        <v>1</v>
      </c>
      <c r="AW383" t="b">
        <v>1</v>
      </c>
      <c r="AX383" t="b">
        <v>1</v>
      </c>
      <c r="BA383" t="s">
        <v>407</v>
      </c>
    </row>
    <row r="384" spans="1:53" x14ac:dyDescent="0.25">
      <c r="A384" t="s">
        <v>386</v>
      </c>
      <c r="B384">
        <v>1</v>
      </c>
      <c r="C384">
        <v>55</v>
      </c>
      <c r="D384">
        <v>1</v>
      </c>
      <c r="E384">
        <v>58062090</v>
      </c>
      <c r="F384">
        <v>248283</v>
      </c>
      <c r="G384" t="s">
        <v>313</v>
      </c>
      <c r="H384" t="s">
        <v>60</v>
      </c>
      <c r="I384" t="s">
        <v>60</v>
      </c>
      <c r="J384" t="s">
        <v>60</v>
      </c>
      <c r="K384" t="s">
        <v>60</v>
      </c>
      <c r="L384" t="s">
        <v>59</v>
      </c>
      <c r="M384">
        <v>1.25E-3</v>
      </c>
      <c r="P384">
        <v>40</v>
      </c>
      <c r="Q384" t="s">
        <v>80</v>
      </c>
      <c r="R384" t="s">
        <v>411</v>
      </c>
      <c r="S384" t="s">
        <v>357</v>
      </c>
      <c r="T384" t="s">
        <v>329</v>
      </c>
      <c r="V384">
        <v>0</v>
      </c>
      <c r="Y384">
        <v>0</v>
      </c>
      <c r="Z384">
        <v>0</v>
      </c>
      <c r="AA384">
        <v>0</v>
      </c>
      <c r="AB384">
        <v>305</v>
      </c>
      <c r="AC384">
        <v>0</v>
      </c>
      <c r="AD384">
        <v>0</v>
      </c>
      <c r="AE384">
        <v>0</v>
      </c>
      <c r="AQ384">
        <v>182375</v>
      </c>
      <c r="AR384" t="b">
        <v>1</v>
      </c>
      <c r="AS384" t="b">
        <v>1</v>
      </c>
      <c r="AT384" t="b">
        <v>1</v>
      </c>
      <c r="AU384" t="b">
        <v>1</v>
      </c>
      <c r="AV384" t="b">
        <v>1</v>
      </c>
      <c r="AW384" t="b">
        <v>1</v>
      </c>
      <c r="AX384" t="b">
        <v>1</v>
      </c>
      <c r="BA384" t="s">
        <v>407</v>
      </c>
    </row>
    <row r="385" spans="1:53" x14ac:dyDescent="0.25">
      <c r="A385" t="s">
        <v>386</v>
      </c>
      <c r="B385">
        <v>1</v>
      </c>
      <c r="C385">
        <v>56</v>
      </c>
      <c r="D385">
        <v>1</v>
      </c>
      <c r="E385">
        <v>58062090</v>
      </c>
      <c r="F385">
        <v>248283</v>
      </c>
      <c r="G385" t="s">
        <v>313</v>
      </c>
      <c r="H385" t="s">
        <v>60</v>
      </c>
      <c r="I385" t="s">
        <v>60</v>
      </c>
      <c r="J385" t="s">
        <v>60</v>
      </c>
      <c r="K385" t="s">
        <v>60</v>
      </c>
      <c r="L385" t="s">
        <v>59</v>
      </c>
      <c r="M385">
        <v>2.5000000000000001E-3</v>
      </c>
      <c r="P385">
        <v>40</v>
      </c>
      <c r="Q385" t="s">
        <v>80</v>
      </c>
      <c r="R385" t="s">
        <v>412</v>
      </c>
      <c r="S385" t="s">
        <v>360</v>
      </c>
      <c r="T385" t="s">
        <v>330</v>
      </c>
      <c r="V385">
        <v>0</v>
      </c>
      <c r="Y385">
        <v>0</v>
      </c>
      <c r="Z385">
        <v>0</v>
      </c>
      <c r="AA385">
        <v>0</v>
      </c>
      <c r="AB385">
        <v>640</v>
      </c>
      <c r="AC385">
        <v>0</v>
      </c>
      <c r="AD385">
        <v>0</v>
      </c>
      <c r="AE385">
        <v>0</v>
      </c>
      <c r="AQ385">
        <v>182375</v>
      </c>
      <c r="AR385" t="b">
        <v>1</v>
      </c>
      <c r="AS385" t="b">
        <v>1</v>
      </c>
      <c r="AT385" t="b">
        <v>1</v>
      </c>
      <c r="AU385" t="b">
        <v>1</v>
      </c>
      <c r="AV385" t="b">
        <v>1</v>
      </c>
      <c r="AW385" t="b">
        <v>1</v>
      </c>
      <c r="AX385" t="b">
        <v>1</v>
      </c>
      <c r="BA385" t="s">
        <v>407</v>
      </c>
    </row>
    <row r="386" spans="1:53" x14ac:dyDescent="0.25">
      <c r="A386" t="s">
        <v>386</v>
      </c>
      <c r="B386">
        <v>1</v>
      </c>
      <c r="C386">
        <v>57</v>
      </c>
      <c r="D386">
        <v>1</v>
      </c>
      <c r="E386">
        <v>58062090</v>
      </c>
      <c r="F386">
        <v>248283</v>
      </c>
      <c r="G386" t="s">
        <v>313</v>
      </c>
      <c r="H386" t="s">
        <v>60</v>
      </c>
      <c r="I386" t="s">
        <v>60</v>
      </c>
      <c r="J386" t="s">
        <v>60</v>
      </c>
      <c r="K386" t="s">
        <v>60</v>
      </c>
      <c r="L386" t="s">
        <v>59</v>
      </c>
      <c r="M386">
        <v>2.5000000000000001E-3</v>
      </c>
      <c r="P386">
        <v>40</v>
      </c>
      <c r="Q386" t="s">
        <v>80</v>
      </c>
      <c r="R386" t="s">
        <v>413</v>
      </c>
      <c r="S386" t="s">
        <v>361</v>
      </c>
      <c r="T386" t="s">
        <v>331</v>
      </c>
      <c r="V386">
        <v>0</v>
      </c>
      <c r="Y386">
        <v>0</v>
      </c>
      <c r="Z386">
        <v>0</v>
      </c>
      <c r="AA386">
        <v>0</v>
      </c>
      <c r="AB386">
        <v>640</v>
      </c>
      <c r="AC386">
        <v>0</v>
      </c>
      <c r="AD386">
        <v>0</v>
      </c>
      <c r="AE386">
        <v>0</v>
      </c>
      <c r="AQ386">
        <v>182375</v>
      </c>
      <c r="AR386" t="b">
        <v>1</v>
      </c>
      <c r="AS386" t="b">
        <v>1</v>
      </c>
      <c r="AT386" t="b">
        <v>1</v>
      </c>
      <c r="AU386" t="b">
        <v>1</v>
      </c>
      <c r="AV386" t="b">
        <v>1</v>
      </c>
      <c r="AW386" t="b">
        <v>1</v>
      </c>
      <c r="AX386" t="b">
        <v>1</v>
      </c>
      <c r="BA386" t="s">
        <v>407</v>
      </c>
    </row>
    <row r="387" spans="1:53" x14ac:dyDescent="0.25">
      <c r="A387" t="s">
        <v>386</v>
      </c>
      <c r="B387">
        <v>1</v>
      </c>
      <c r="C387">
        <v>58</v>
      </c>
      <c r="D387">
        <v>1</v>
      </c>
      <c r="E387">
        <v>58062090</v>
      </c>
      <c r="F387">
        <v>248283</v>
      </c>
      <c r="G387" t="s">
        <v>314</v>
      </c>
      <c r="H387" t="s">
        <v>60</v>
      </c>
      <c r="I387" t="s">
        <v>60</v>
      </c>
      <c r="J387" t="s">
        <v>60</v>
      </c>
      <c r="K387" t="s">
        <v>60</v>
      </c>
      <c r="L387" t="s">
        <v>59</v>
      </c>
      <c r="M387">
        <v>2.5000000000000001E-3</v>
      </c>
      <c r="P387">
        <v>40</v>
      </c>
      <c r="Q387" t="s">
        <v>80</v>
      </c>
      <c r="R387" t="s">
        <v>414</v>
      </c>
      <c r="S387" t="s">
        <v>362</v>
      </c>
      <c r="T387" t="s">
        <v>332</v>
      </c>
      <c r="V387">
        <v>0</v>
      </c>
      <c r="Y387">
        <v>0</v>
      </c>
      <c r="Z387">
        <v>0</v>
      </c>
      <c r="AA387">
        <v>0</v>
      </c>
      <c r="AB387">
        <v>640</v>
      </c>
      <c r="AC387">
        <v>0</v>
      </c>
      <c r="AD387">
        <v>0</v>
      </c>
      <c r="AE387">
        <v>0</v>
      </c>
      <c r="AQ387">
        <v>182375</v>
      </c>
      <c r="AR387" t="b">
        <v>1</v>
      </c>
      <c r="AS387" t="b">
        <v>1</v>
      </c>
      <c r="AT387" t="b">
        <v>1</v>
      </c>
      <c r="AU387" t="b">
        <v>1</v>
      </c>
      <c r="AV387" t="b">
        <v>1</v>
      </c>
      <c r="AW387" t="b">
        <v>1</v>
      </c>
      <c r="AX387" t="b">
        <v>1</v>
      </c>
      <c r="BA387" t="s">
        <v>407</v>
      </c>
    </row>
    <row r="388" spans="1:53" x14ac:dyDescent="0.25">
      <c r="A388" t="s">
        <v>386</v>
      </c>
      <c r="B388">
        <v>1</v>
      </c>
      <c r="C388">
        <v>59</v>
      </c>
      <c r="D388">
        <v>1</v>
      </c>
      <c r="E388">
        <v>48211090</v>
      </c>
      <c r="F388">
        <v>297274</v>
      </c>
      <c r="G388" t="s">
        <v>315</v>
      </c>
      <c r="H388" t="s">
        <v>60</v>
      </c>
      <c r="I388" t="s">
        <v>60</v>
      </c>
      <c r="J388" t="s">
        <v>60</v>
      </c>
      <c r="K388" t="s">
        <v>60</v>
      </c>
      <c r="L388" t="s">
        <v>12</v>
      </c>
      <c r="M388">
        <v>50</v>
      </c>
      <c r="P388">
        <v>40</v>
      </c>
      <c r="Q388" t="s">
        <v>80</v>
      </c>
      <c r="R388" t="s">
        <v>415</v>
      </c>
      <c r="S388" t="s">
        <v>363</v>
      </c>
      <c r="T388" t="s">
        <v>333</v>
      </c>
      <c r="V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Q388">
        <v>182375</v>
      </c>
      <c r="AR388" t="b">
        <v>1</v>
      </c>
      <c r="AS388" t="b">
        <v>1</v>
      </c>
      <c r="AT388" t="b">
        <v>1</v>
      </c>
      <c r="AU388" t="b">
        <v>1</v>
      </c>
      <c r="AV388" t="b">
        <v>1</v>
      </c>
      <c r="AW388" t="b">
        <v>1</v>
      </c>
      <c r="AX388" t="b">
        <v>1</v>
      </c>
      <c r="BA388" t="s">
        <v>407</v>
      </c>
    </row>
    <row r="389" spans="1:53" x14ac:dyDescent="0.25">
      <c r="A389" t="s">
        <v>386</v>
      </c>
      <c r="B389">
        <v>1</v>
      </c>
      <c r="C389">
        <v>60</v>
      </c>
      <c r="D389">
        <v>1</v>
      </c>
      <c r="E389">
        <v>48211090</v>
      </c>
      <c r="F389">
        <v>297275</v>
      </c>
      <c r="G389" t="s">
        <v>316</v>
      </c>
      <c r="H389" t="s">
        <v>60</v>
      </c>
      <c r="I389" t="s">
        <v>60</v>
      </c>
      <c r="J389" t="s">
        <v>60</v>
      </c>
      <c r="K389" t="s">
        <v>60</v>
      </c>
      <c r="L389" t="s">
        <v>12</v>
      </c>
      <c r="M389">
        <v>7.5</v>
      </c>
      <c r="P389">
        <v>40</v>
      </c>
      <c r="Q389" t="s">
        <v>80</v>
      </c>
      <c r="R389" t="s">
        <v>415</v>
      </c>
      <c r="S389" t="s">
        <v>363</v>
      </c>
      <c r="T389" t="s">
        <v>333</v>
      </c>
      <c r="V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Q389">
        <v>182375</v>
      </c>
      <c r="AR389" t="b">
        <v>1</v>
      </c>
      <c r="AS389" t="b">
        <v>1</v>
      </c>
      <c r="AT389" t="b">
        <v>1</v>
      </c>
      <c r="AU389" t="b">
        <v>1</v>
      </c>
      <c r="AV389" t="b">
        <v>1</v>
      </c>
      <c r="AW389" t="b">
        <v>1</v>
      </c>
      <c r="AX389" t="b">
        <v>1</v>
      </c>
      <c r="BA389" t="s">
        <v>407</v>
      </c>
    </row>
    <row r="390" spans="1:53" x14ac:dyDescent="0.25">
      <c r="A390" t="s">
        <v>386</v>
      </c>
      <c r="B390">
        <v>1</v>
      </c>
      <c r="C390">
        <v>61</v>
      </c>
      <c r="D390">
        <v>1</v>
      </c>
      <c r="E390">
        <v>48211090</v>
      </c>
      <c r="F390">
        <v>297276</v>
      </c>
      <c r="G390" t="s">
        <v>317</v>
      </c>
      <c r="H390" t="s">
        <v>60</v>
      </c>
      <c r="I390" t="s">
        <v>60</v>
      </c>
      <c r="J390" t="s">
        <v>60</v>
      </c>
      <c r="K390" t="s">
        <v>60</v>
      </c>
      <c r="L390" t="s">
        <v>12</v>
      </c>
      <c r="M390">
        <v>17.5</v>
      </c>
      <c r="P390">
        <v>40</v>
      </c>
      <c r="Q390" t="s">
        <v>80</v>
      </c>
      <c r="R390" t="s">
        <v>415</v>
      </c>
      <c r="S390" t="s">
        <v>363</v>
      </c>
      <c r="T390" t="s">
        <v>333</v>
      </c>
      <c r="V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Q390">
        <v>182375</v>
      </c>
      <c r="AR390" t="b">
        <v>1</v>
      </c>
      <c r="AS390" t="b">
        <v>1</v>
      </c>
      <c r="AT390" t="b">
        <v>1</v>
      </c>
      <c r="AU390" t="b">
        <v>1</v>
      </c>
      <c r="AV390" t="b">
        <v>1</v>
      </c>
      <c r="AW390" t="b">
        <v>1</v>
      </c>
      <c r="AX390" t="b">
        <v>1</v>
      </c>
      <c r="BA390" t="s">
        <v>407</v>
      </c>
    </row>
    <row r="391" spans="1:53" x14ac:dyDescent="0.25">
      <c r="A391" t="s">
        <v>386</v>
      </c>
      <c r="B391">
        <v>1</v>
      </c>
      <c r="C391">
        <v>62</v>
      </c>
      <c r="D391">
        <v>1</v>
      </c>
      <c r="E391">
        <v>48211090</v>
      </c>
      <c r="F391">
        <v>297277</v>
      </c>
      <c r="G391" t="s">
        <v>318</v>
      </c>
      <c r="H391" t="s">
        <v>60</v>
      </c>
      <c r="I391" t="s">
        <v>60</v>
      </c>
      <c r="J391" t="s">
        <v>60</v>
      </c>
      <c r="K391" t="s">
        <v>60</v>
      </c>
      <c r="L391" t="s">
        <v>12</v>
      </c>
      <c r="M391">
        <v>12.5</v>
      </c>
      <c r="P391">
        <v>40</v>
      </c>
      <c r="Q391" t="s">
        <v>80</v>
      </c>
      <c r="R391" t="s">
        <v>415</v>
      </c>
      <c r="S391" t="s">
        <v>363</v>
      </c>
      <c r="T391" t="s">
        <v>333</v>
      </c>
      <c r="V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Q391">
        <v>182375</v>
      </c>
      <c r="AR391" t="b">
        <v>1</v>
      </c>
      <c r="AS391" t="b">
        <v>1</v>
      </c>
      <c r="AT391" t="b">
        <v>1</v>
      </c>
      <c r="AU391" t="b">
        <v>1</v>
      </c>
      <c r="AV391" t="b">
        <v>1</v>
      </c>
      <c r="AW391" t="b">
        <v>1</v>
      </c>
      <c r="AX391" t="b">
        <v>1</v>
      </c>
      <c r="BA391" t="s">
        <v>407</v>
      </c>
    </row>
    <row r="392" spans="1:53" x14ac:dyDescent="0.25">
      <c r="A392" t="s">
        <v>386</v>
      </c>
      <c r="B392">
        <v>1</v>
      </c>
      <c r="C392">
        <v>63</v>
      </c>
      <c r="D392">
        <v>1</v>
      </c>
      <c r="E392">
        <v>48211090</v>
      </c>
      <c r="F392">
        <v>297278</v>
      </c>
      <c r="G392" t="s">
        <v>319</v>
      </c>
      <c r="H392" t="s">
        <v>60</v>
      </c>
      <c r="I392" t="s">
        <v>60</v>
      </c>
      <c r="J392" t="s">
        <v>60</v>
      </c>
      <c r="K392" t="s">
        <v>60</v>
      </c>
      <c r="L392" t="s">
        <v>12</v>
      </c>
      <c r="M392">
        <v>12.5</v>
      </c>
      <c r="P392">
        <v>40</v>
      </c>
      <c r="Q392" t="s">
        <v>80</v>
      </c>
      <c r="R392" t="s">
        <v>415</v>
      </c>
      <c r="S392" t="s">
        <v>363</v>
      </c>
      <c r="T392" t="s">
        <v>333</v>
      </c>
      <c r="V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Q392">
        <v>182375</v>
      </c>
      <c r="AR392" t="b">
        <v>1</v>
      </c>
      <c r="AS392" t="b">
        <v>1</v>
      </c>
      <c r="AT392" t="b">
        <v>1</v>
      </c>
      <c r="AU392" t="b">
        <v>1</v>
      </c>
      <c r="AV392" t="b">
        <v>1</v>
      </c>
      <c r="AW392" t="b">
        <v>1</v>
      </c>
      <c r="AX392" t="b">
        <v>1</v>
      </c>
      <c r="BA392" t="s">
        <v>407</v>
      </c>
    </row>
    <row r="393" spans="1:53" x14ac:dyDescent="0.25">
      <c r="A393" t="s">
        <v>386</v>
      </c>
      <c r="B393">
        <v>1</v>
      </c>
      <c r="C393">
        <v>64</v>
      </c>
      <c r="D393">
        <v>1</v>
      </c>
      <c r="E393">
        <v>52081900</v>
      </c>
      <c r="F393">
        <v>274799</v>
      </c>
      <c r="G393" t="s">
        <v>311</v>
      </c>
      <c r="H393" t="s">
        <v>60</v>
      </c>
      <c r="I393" t="s">
        <v>60</v>
      </c>
      <c r="J393" t="s">
        <v>60</v>
      </c>
      <c r="K393" t="s">
        <v>60</v>
      </c>
      <c r="L393" t="s">
        <v>27</v>
      </c>
      <c r="M393">
        <v>2.35</v>
      </c>
      <c r="P393">
        <v>40</v>
      </c>
      <c r="Q393" t="s">
        <v>80</v>
      </c>
      <c r="R393" t="s">
        <v>409</v>
      </c>
      <c r="S393" t="s">
        <v>358</v>
      </c>
      <c r="T393" t="s">
        <v>327</v>
      </c>
      <c r="V393">
        <v>0</v>
      </c>
      <c r="Y393">
        <v>0</v>
      </c>
      <c r="Z393">
        <v>0</v>
      </c>
      <c r="AA393">
        <v>0</v>
      </c>
      <c r="AB393">
        <v>2255257.02</v>
      </c>
      <c r="AC393">
        <v>0</v>
      </c>
      <c r="AD393">
        <v>0</v>
      </c>
      <c r="AE393">
        <v>0</v>
      </c>
      <c r="AQ393">
        <v>182375</v>
      </c>
      <c r="AR393" t="b">
        <v>1</v>
      </c>
      <c r="AS393" t="b">
        <v>1</v>
      </c>
      <c r="AT393" t="b">
        <v>1</v>
      </c>
      <c r="AU393" t="b">
        <v>1</v>
      </c>
      <c r="AV393" t="b">
        <v>1</v>
      </c>
      <c r="AW393" t="b">
        <v>1</v>
      </c>
      <c r="AX393" t="b">
        <v>1</v>
      </c>
      <c r="BA393" t="s">
        <v>407</v>
      </c>
    </row>
    <row r="394" spans="1:53" x14ac:dyDescent="0.25">
      <c r="A394" t="s">
        <v>386</v>
      </c>
      <c r="B394">
        <v>1</v>
      </c>
      <c r="C394">
        <v>65</v>
      </c>
      <c r="D394">
        <v>1</v>
      </c>
      <c r="E394">
        <v>52081900</v>
      </c>
      <c r="F394">
        <v>275340</v>
      </c>
      <c r="G394" t="s">
        <v>312</v>
      </c>
      <c r="H394" t="s">
        <v>60</v>
      </c>
      <c r="I394" t="s">
        <v>60</v>
      </c>
      <c r="J394" t="s">
        <v>60</v>
      </c>
      <c r="K394" t="s">
        <v>60</v>
      </c>
      <c r="L394" t="s">
        <v>27</v>
      </c>
      <c r="M394">
        <v>2.35</v>
      </c>
      <c r="P394">
        <v>40</v>
      </c>
      <c r="Q394" t="s">
        <v>80</v>
      </c>
      <c r="R394" t="s">
        <v>410</v>
      </c>
      <c r="S394" t="s">
        <v>359</v>
      </c>
      <c r="T394" t="s">
        <v>328</v>
      </c>
      <c r="V394">
        <v>0</v>
      </c>
      <c r="Y394">
        <v>0</v>
      </c>
      <c r="Z394">
        <v>0</v>
      </c>
      <c r="AA394">
        <v>0</v>
      </c>
      <c r="AB394">
        <v>2255257.02</v>
      </c>
      <c r="AC394">
        <v>0</v>
      </c>
      <c r="AD394">
        <v>0</v>
      </c>
      <c r="AE394">
        <v>0</v>
      </c>
      <c r="AQ394">
        <v>182375</v>
      </c>
      <c r="AR394" t="b">
        <v>1</v>
      </c>
      <c r="AS394" t="b">
        <v>1</v>
      </c>
      <c r="AT394" t="b">
        <v>1</v>
      </c>
      <c r="AU394" t="b">
        <v>1</v>
      </c>
      <c r="AV394" t="b">
        <v>1</v>
      </c>
      <c r="AW394" t="b">
        <v>1</v>
      </c>
      <c r="AX394" t="b">
        <v>1</v>
      </c>
      <c r="BA394" t="s">
        <v>407</v>
      </c>
    </row>
    <row r="395" spans="1:53" x14ac:dyDescent="0.25">
      <c r="A395" t="s">
        <v>386</v>
      </c>
      <c r="B395">
        <v>1</v>
      </c>
      <c r="C395">
        <v>66</v>
      </c>
      <c r="D395">
        <v>1</v>
      </c>
      <c r="E395">
        <v>58062090</v>
      </c>
      <c r="F395">
        <v>248283</v>
      </c>
      <c r="G395" t="s">
        <v>313</v>
      </c>
      <c r="H395" t="s">
        <v>60</v>
      </c>
      <c r="I395" t="s">
        <v>60</v>
      </c>
      <c r="J395" t="s">
        <v>60</v>
      </c>
      <c r="K395" t="s">
        <v>60</v>
      </c>
      <c r="L395" t="s">
        <v>59</v>
      </c>
      <c r="M395">
        <v>1.25E-3</v>
      </c>
      <c r="P395">
        <v>40</v>
      </c>
      <c r="Q395" t="s">
        <v>80</v>
      </c>
      <c r="R395" t="s">
        <v>411</v>
      </c>
      <c r="S395" t="s">
        <v>357</v>
      </c>
      <c r="T395" t="s">
        <v>329</v>
      </c>
      <c r="V395">
        <v>0</v>
      </c>
      <c r="Y395">
        <v>0</v>
      </c>
      <c r="Z395">
        <v>0</v>
      </c>
      <c r="AA395">
        <v>0</v>
      </c>
      <c r="AB395">
        <v>305</v>
      </c>
      <c r="AC395">
        <v>0</v>
      </c>
      <c r="AD395">
        <v>0</v>
      </c>
      <c r="AE395">
        <v>0</v>
      </c>
      <c r="AQ395">
        <v>182375</v>
      </c>
      <c r="AR395" t="b">
        <v>1</v>
      </c>
      <c r="AS395" t="b">
        <v>1</v>
      </c>
      <c r="AT395" t="b">
        <v>1</v>
      </c>
      <c r="AU395" t="b">
        <v>1</v>
      </c>
      <c r="AV395" t="b">
        <v>1</v>
      </c>
      <c r="AW395" t="b">
        <v>1</v>
      </c>
      <c r="AX395" t="b">
        <v>1</v>
      </c>
      <c r="BA395" t="s">
        <v>407</v>
      </c>
    </row>
    <row r="396" spans="1:53" x14ac:dyDescent="0.25">
      <c r="A396" t="s">
        <v>386</v>
      </c>
      <c r="B396">
        <v>1</v>
      </c>
      <c r="C396">
        <v>67</v>
      </c>
      <c r="D396">
        <v>1</v>
      </c>
      <c r="E396">
        <v>58062090</v>
      </c>
      <c r="F396">
        <v>248283</v>
      </c>
      <c r="G396" t="s">
        <v>313</v>
      </c>
      <c r="H396" t="s">
        <v>60</v>
      </c>
      <c r="I396" t="s">
        <v>60</v>
      </c>
      <c r="J396" t="s">
        <v>60</v>
      </c>
      <c r="K396" t="s">
        <v>60</v>
      </c>
      <c r="L396" t="s">
        <v>59</v>
      </c>
      <c r="M396">
        <v>2.5000000000000001E-3</v>
      </c>
      <c r="P396">
        <v>40</v>
      </c>
      <c r="Q396" t="s">
        <v>80</v>
      </c>
      <c r="R396" t="s">
        <v>412</v>
      </c>
      <c r="S396" t="s">
        <v>360</v>
      </c>
      <c r="T396" t="s">
        <v>330</v>
      </c>
      <c r="V396">
        <v>0</v>
      </c>
      <c r="Y396">
        <v>0</v>
      </c>
      <c r="Z396">
        <v>0</v>
      </c>
      <c r="AA396">
        <v>0</v>
      </c>
      <c r="AB396">
        <v>640</v>
      </c>
      <c r="AC396">
        <v>0</v>
      </c>
      <c r="AD396">
        <v>0</v>
      </c>
      <c r="AE396">
        <v>0</v>
      </c>
      <c r="AQ396">
        <v>182375</v>
      </c>
      <c r="AR396" t="b">
        <v>1</v>
      </c>
      <c r="AS396" t="b">
        <v>1</v>
      </c>
      <c r="AT396" t="b">
        <v>1</v>
      </c>
      <c r="AU396" t="b">
        <v>1</v>
      </c>
      <c r="AV396" t="b">
        <v>1</v>
      </c>
      <c r="AW396" t="b">
        <v>1</v>
      </c>
      <c r="AX396" t="b">
        <v>1</v>
      </c>
      <c r="BA396" t="s">
        <v>407</v>
      </c>
    </row>
    <row r="397" spans="1:53" x14ac:dyDescent="0.25">
      <c r="A397" t="s">
        <v>386</v>
      </c>
      <c r="B397">
        <v>1</v>
      </c>
      <c r="C397">
        <v>68</v>
      </c>
      <c r="D397">
        <v>1</v>
      </c>
      <c r="E397">
        <v>58062090</v>
      </c>
      <c r="F397">
        <v>248283</v>
      </c>
      <c r="G397" t="s">
        <v>313</v>
      </c>
      <c r="H397" t="s">
        <v>60</v>
      </c>
      <c r="I397" t="s">
        <v>60</v>
      </c>
      <c r="J397" t="s">
        <v>60</v>
      </c>
      <c r="K397" t="s">
        <v>60</v>
      </c>
      <c r="L397" t="s">
        <v>59</v>
      </c>
      <c r="M397">
        <v>2.5000000000000001E-3</v>
      </c>
      <c r="P397">
        <v>40</v>
      </c>
      <c r="Q397" t="s">
        <v>80</v>
      </c>
      <c r="R397" t="s">
        <v>413</v>
      </c>
      <c r="S397" t="s">
        <v>361</v>
      </c>
      <c r="T397" t="s">
        <v>331</v>
      </c>
      <c r="V397">
        <v>0</v>
      </c>
      <c r="Y397">
        <v>0</v>
      </c>
      <c r="Z397">
        <v>0</v>
      </c>
      <c r="AA397">
        <v>0</v>
      </c>
      <c r="AB397">
        <v>640</v>
      </c>
      <c r="AC397">
        <v>0</v>
      </c>
      <c r="AD397">
        <v>0</v>
      </c>
      <c r="AE397">
        <v>0</v>
      </c>
      <c r="AQ397">
        <v>182375</v>
      </c>
      <c r="AR397" t="b">
        <v>1</v>
      </c>
      <c r="AS397" t="b">
        <v>1</v>
      </c>
      <c r="AT397" t="b">
        <v>1</v>
      </c>
      <c r="AU397" t="b">
        <v>1</v>
      </c>
      <c r="AV397" t="b">
        <v>1</v>
      </c>
      <c r="AW397" t="b">
        <v>1</v>
      </c>
      <c r="AX397" t="b">
        <v>1</v>
      </c>
      <c r="BA397" t="s">
        <v>407</v>
      </c>
    </row>
    <row r="398" spans="1:53" x14ac:dyDescent="0.25">
      <c r="A398" t="s">
        <v>386</v>
      </c>
      <c r="B398">
        <v>1</v>
      </c>
      <c r="C398">
        <v>69</v>
      </c>
      <c r="D398">
        <v>1</v>
      </c>
      <c r="E398">
        <v>58062090</v>
      </c>
      <c r="F398">
        <v>248283</v>
      </c>
      <c r="G398" t="s">
        <v>314</v>
      </c>
      <c r="H398" t="s">
        <v>60</v>
      </c>
      <c r="I398" t="s">
        <v>60</v>
      </c>
      <c r="J398" t="s">
        <v>60</v>
      </c>
      <c r="K398" t="s">
        <v>60</v>
      </c>
      <c r="L398" t="s">
        <v>59</v>
      </c>
      <c r="M398">
        <v>2.5000000000000001E-3</v>
      </c>
      <c r="P398">
        <v>40</v>
      </c>
      <c r="Q398" t="s">
        <v>80</v>
      </c>
      <c r="R398" t="s">
        <v>414</v>
      </c>
      <c r="S398" t="s">
        <v>362</v>
      </c>
      <c r="T398" t="s">
        <v>332</v>
      </c>
      <c r="V398">
        <v>0</v>
      </c>
      <c r="Y398">
        <v>0</v>
      </c>
      <c r="Z398">
        <v>0</v>
      </c>
      <c r="AA398">
        <v>0</v>
      </c>
      <c r="AB398">
        <v>640</v>
      </c>
      <c r="AC398">
        <v>0</v>
      </c>
      <c r="AD398">
        <v>0</v>
      </c>
      <c r="AE398">
        <v>0</v>
      </c>
      <c r="AQ398">
        <v>182375</v>
      </c>
      <c r="AR398" t="b">
        <v>1</v>
      </c>
      <c r="AS398" t="b">
        <v>1</v>
      </c>
      <c r="AT398" t="b">
        <v>1</v>
      </c>
      <c r="AU398" t="b">
        <v>1</v>
      </c>
      <c r="AV398" t="b">
        <v>1</v>
      </c>
      <c r="AW398" t="b">
        <v>1</v>
      </c>
      <c r="AX398" t="b">
        <v>1</v>
      </c>
      <c r="BA398" t="s">
        <v>407</v>
      </c>
    </row>
    <row r="399" spans="1:53" x14ac:dyDescent="0.25">
      <c r="A399" t="s">
        <v>386</v>
      </c>
      <c r="B399">
        <v>1</v>
      </c>
      <c r="C399">
        <v>70</v>
      </c>
      <c r="D399">
        <v>1</v>
      </c>
      <c r="E399">
        <v>48211090</v>
      </c>
      <c r="F399">
        <v>297274</v>
      </c>
      <c r="G399" t="s">
        <v>315</v>
      </c>
      <c r="H399" t="s">
        <v>60</v>
      </c>
      <c r="I399" t="s">
        <v>60</v>
      </c>
      <c r="J399" t="s">
        <v>60</v>
      </c>
      <c r="K399" t="s">
        <v>60</v>
      </c>
      <c r="L399" t="s">
        <v>12</v>
      </c>
      <c r="M399">
        <v>50</v>
      </c>
      <c r="P399">
        <v>40</v>
      </c>
      <c r="Q399" t="s">
        <v>80</v>
      </c>
      <c r="R399" t="s">
        <v>415</v>
      </c>
      <c r="S399" t="s">
        <v>363</v>
      </c>
      <c r="T399" t="s">
        <v>333</v>
      </c>
      <c r="V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Q399">
        <v>182375</v>
      </c>
      <c r="AR399" t="b">
        <v>1</v>
      </c>
      <c r="AS399" t="b">
        <v>1</v>
      </c>
      <c r="AT399" t="b">
        <v>1</v>
      </c>
      <c r="AU399" t="b">
        <v>1</v>
      </c>
      <c r="AV399" t="b">
        <v>1</v>
      </c>
      <c r="AW399" t="b">
        <v>1</v>
      </c>
      <c r="AX399" t="b">
        <v>1</v>
      </c>
      <c r="BA399" t="s">
        <v>407</v>
      </c>
    </row>
    <row r="400" spans="1:53" x14ac:dyDescent="0.25">
      <c r="A400" t="s">
        <v>386</v>
      </c>
      <c r="B400">
        <v>1</v>
      </c>
      <c r="C400">
        <v>71</v>
      </c>
      <c r="D400">
        <v>1</v>
      </c>
      <c r="E400">
        <v>48211090</v>
      </c>
      <c r="F400">
        <v>297275</v>
      </c>
      <c r="G400" t="s">
        <v>316</v>
      </c>
      <c r="H400" t="s">
        <v>60</v>
      </c>
      <c r="I400" t="s">
        <v>60</v>
      </c>
      <c r="J400" t="s">
        <v>60</v>
      </c>
      <c r="K400" t="s">
        <v>60</v>
      </c>
      <c r="L400" t="s">
        <v>12</v>
      </c>
      <c r="M400">
        <v>7.5</v>
      </c>
      <c r="P400">
        <v>40</v>
      </c>
      <c r="Q400" t="s">
        <v>80</v>
      </c>
      <c r="R400" t="s">
        <v>415</v>
      </c>
      <c r="S400" t="s">
        <v>363</v>
      </c>
      <c r="T400" t="s">
        <v>333</v>
      </c>
      <c r="V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Q400">
        <v>182375</v>
      </c>
      <c r="AR400" t="b">
        <v>1</v>
      </c>
      <c r="AS400" t="b">
        <v>1</v>
      </c>
      <c r="AT400" t="b">
        <v>1</v>
      </c>
      <c r="AU400" t="b">
        <v>1</v>
      </c>
      <c r="AV400" t="b">
        <v>1</v>
      </c>
      <c r="AW400" t="b">
        <v>1</v>
      </c>
      <c r="AX400" t="b">
        <v>1</v>
      </c>
      <c r="BA400" t="s">
        <v>407</v>
      </c>
    </row>
    <row r="401" spans="1:53" x14ac:dyDescent="0.25">
      <c r="A401" t="s">
        <v>386</v>
      </c>
      <c r="B401">
        <v>1</v>
      </c>
      <c r="C401">
        <v>72</v>
      </c>
      <c r="D401">
        <v>1</v>
      </c>
      <c r="E401">
        <v>48211090</v>
      </c>
      <c r="F401">
        <v>297276</v>
      </c>
      <c r="G401" t="s">
        <v>317</v>
      </c>
      <c r="H401" t="s">
        <v>60</v>
      </c>
      <c r="I401" t="s">
        <v>60</v>
      </c>
      <c r="J401" t="s">
        <v>60</v>
      </c>
      <c r="K401" t="s">
        <v>60</v>
      </c>
      <c r="L401" t="s">
        <v>12</v>
      </c>
      <c r="M401">
        <v>17.5</v>
      </c>
      <c r="P401">
        <v>40</v>
      </c>
      <c r="Q401" t="s">
        <v>80</v>
      </c>
      <c r="R401" t="s">
        <v>415</v>
      </c>
      <c r="S401" t="s">
        <v>363</v>
      </c>
      <c r="T401" t="s">
        <v>333</v>
      </c>
      <c r="V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Q401">
        <v>182375</v>
      </c>
      <c r="AR401" t="b">
        <v>1</v>
      </c>
      <c r="AS401" t="b">
        <v>1</v>
      </c>
      <c r="AT401" t="b">
        <v>1</v>
      </c>
      <c r="AU401" t="b">
        <v>1</v>
      </c>
      <c r="AV401" t="b">
        <v>1</v>
      </c>
      <c r="AW401" t="b">
        <v>1</v>
      </c>
      <c r="AX401" t="b">
        <v>1</v>
      </c>
      <c r="BA401" t="s">
        <v>407</v>
      </c>
    </row>
    <row r="402" spans="1:53" x14ac:dyDescent="0.25">
      <c r="A402" t="s">
        <v>386</v>
      </c>
      <c r="B402">
        <v>1</v>
      </c>
      <c r="C402">
        <v>73</v>
      </c>
      <c r="D402">
        <v>1</v>
      </c>
      <c r="E402">
        <v>48211090</v>
      </c>
      <c r="F402">
        <v>297277</v>
      </c>
      <c r="G402" t="s">
        <v>318</v>
      </c>
      <c r="H402" t="s">
        <v>60</v>
      </c>
      <c r="I402" t="s">
        <v>60</v>
      </c>
      <c r="J402" t="s">
        <v>60</v>
      </c>
      <c r="K402" t="s">
        <v>60</v>
      </c>
      <c r="L402" t="s">
        <v>12</v>
      </c>
      <c r="M402">
        <v>12.5</v>
      </c>
      <c r="P402">
        <v>40</v>
      </c>
      <c r="Q402" t="s">
        <v>80</v>
      </c>
      <c r="R402" t="s">
        <v>415</v>
      </c>
      <c r="S402" t="s">
        <v>363</v>
      </c>
      <c r="T402" t="s">
        <v>333</v>
      </c>
      <c r="V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Q402">
        <v>182375</v>
      </c>
      <c r="AR402" t="b">
        <v>1</v>
      </c>
      <c r="AS402" t="b">
        <v>1</v>
      </c>
      <c r="AT402" t="b">
        <v>1</v>
      </c>
      <c r="AU402" t="b">
        <v>1</v>
      </c>
      <c r="AV402" t="b">
        <v>1</v>
      </c>
      <c r="AW402" t="b">
        <v>1</v>
      </c>
      <c r="AX402" t="b">
        <v>1</v>
      </c>
      <c r="BA402" t="s">
        <v>407</v>
      </c>
    </row>
    <row r="403" spans="1:53" x14ac:dyDescent="0.25">
      <c r="A403" t="s">
        <v>386</v>
      </c>
      <c r="B403">
        <v>1</v>
      </c>
      <c r="C403">
        <v>74</v>
      </c>
      <c r="D403">
        <v>1</v>
      </c>
      <c r="E403">
        <v>48211090</v>
      </c>
      <c r="F403">
        <v>297278</v>
      </c>
      <c r="G403" t="s">
        <v>319</v>
      </c>
      <c r="H403" t="s">
        <v>60</v>
      </c>
      <c r="I403" t="s">
        <v>60</v>
      </c>
      <c r="J403" t="s">
        <v>60</v>
      </c>
      <c r="K403" t="s">
        <v>60</v>
      </c>
      <c r="L403" t="s">
        <v>12</v>
      </c>
      <c r="M403">
        <v>12.5</v>
      </c>
      <c r="P403">
        <v>40</v>
      </c>
      <c r="Q403" t="s">
        <v>80</v>
      </c>
      <c r="R403" t="s">
        <v>415</v>
      </c>
      <c r="S403" t="s">
        <v>363</v>
      </c>
      <c r="T403" t="s">
        <v>333</v>
      </c>
      <c r="V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Q403">
        <v>182375</v>
      </c>
      <c r="AR403" t="b">
        <v>1</v>
      </c>
      <c r="AS403" t="b">
        <v>1</v>
      </c>
      <c r="AT403" t="b">
        <v>1</v>
      </c>
      <c r="AU403" t="b">
        <v>1</v>
      </c>
      <c r="AV403" t="b">
        <v>1</v>
      </c>
      <c r="AW403" t="b">
        <v>1</v>
      </c>
      <c r="AX403" t="b">
        <v>1</v>
      </c>
      <c r="BA403" t="s">
        <v>407</v>
      </c>
    </row>
    <row r="404" spans="1:53" x14ac:dyDescent="0.25">
      <c r="A404" t="s">
        <v>386</v>
      </c>
      <c r="B404">
        <v>1</v>
      </c>
      <c r="C404">
        <v>75</v>
      </c>
      <c r="D404">
        <v>1</v>
      </c>
      <c r="E404">
        <v>52081900</v>
      </c>
      <c r="F404">
        <v>275340</v>
      </c>
      <c r="G404" t="s">
        <v>312</v>
      </c>
      <c r="H404" t="s">
        <v>60</v>
      </c>
      <c r="I404" t="s">
        <v>60</v>
      </c>
      <c r="J404" t="s">
        <v>60</v>
      </c>
      <c r="K404" t="s">
        <v>60</v>
      </c>
      <c r="L404" t="s">
        <v>27</v>
      </c>
      <c r="M404">
        <v>2.35</v>
      </c>
      <c r="P404">
        <v>40</v>
      </c>
      <c r="Q404" t="s">
        <v>80</v>
      </c>
      <c r="R404" t="s">
        <v>410</v>
      </c>
      <c r="S404" t="s">
        <v>359</v>
      </c>
      <c r="T404" t="s">
        <v>328</v>
      </c>
      <c r="V404">
        <v>0</v>
      </c>
      <c r="Y404">
        <v>0</v>
      </c>
      <c r="Z404">
        <v>0</v>
      </c>
      <c r="AA404">
        <v>0</v>
      </c>
      <c r="AB404">
        <v>2255257.02</v>
      </c>
      <c r="AC404">
        <v>0</v>
      </c>
      <c r="AD404">
        <v>0</v>
      </c>
      <c r="AE404">
        <v>0</v>
      </c>
      <c r="AQ404">
        <v>182375</v>
      </c>
      <c r="AR404" t="b">
        <v>1</v>
      </c>
      <c r="AS404" t="b">
        <v>1</v>
      </c>
      <c r="AT404" t="b">
        <v>1</v>
      </c>
      <c r="AU404" t="b">
        <v>1</v>
      </c>
      <c r="AV404" t="b">
        <v>1</v>
      </c>
      <c r="AW404" t="b">
        <v>1</v>
      </c>
      <c r="AX404" t="b">
        <v>1</v>
      </c>
      <c r="BA404" t="s">
        <v>407</v>
      </c>
    </row>
    <row r="405" spans="1:53" x14ac:dyDescent="0.25">
      <c r="A405" t="s">
        <v>386</v>
      </c>
      <c r="B405">
        <v>1</v>
      </c>
      <c r="C405">
        <v>76</v>
      </c>
      <c r="D405">
        <v>1</v>
      </c>
      <c r="E405">
        <v>58062090</v>
      </c>
      <c r="F405">
        <v>248283</v>
      </c>
      <c r="G405" t="s">
        <v>313</v>
      </c>
      <c r="H405" t="s">
        <v>60</v>
      </c>
      <c r="I405" t="s">
        <v>60</v>
      </c>
      <c r="J405" t="s">
        <v>60</v>
      </c>
      <c r="K405" t="s">
        <v>60</v>
      </c>
      <c r="L405" t="s">
        <v>59</v>
      </c>
      <c r="M405">
        <v>1.25E-3</v>
      </c>
      <c r="P405">
        <v>40</v>
      </c>
      <c r="Q405" t="s">
        <v>80</v>
      </c>
      <c r="R405" t="s">
        <v>411</v>
      </c>
      <c r="S405" t="s">
        <v>357</v>
      </c>
      <c r="T405" t="s">
        <v>329</v>
      </c>
      <c r="V405">
        <v>0</v>
      </c>
      <c r="Y405">
        <v>0</v>
      </c>
      <c r="Z405">
        <v>0</v>
      </c>
      <c r="AA405">
        <v>0</v>
      </c>
      <c r="AB405">
        <v>305</v>
      </c>
      <c r="AC405">
        <v>0</v>
      </c>
      <c r="AD405">
        <v>0</v>
      </c>
      <c r="AE405">
        <v>0</v>
      </c>
      <c r="AQ405">
        <v>182375</v>
      </c>
      <c r="AR405" t="b">
        <v>1</v>
      </c>
      <c r="AS405" t="b">
        <v>1</v>
      </c>
      <c r="AT405" t="b">
        <v>1</v>
      </c>
      <c r="AU405" t="b">
        <v>1</v>
      </c>
      <c r="AV405" t="b">
        <v>1</v>
      </c>
      <c r="AW405" t="b">
        <v>1</v>
      </c>
      <c r="AX405" t="b">
        <v>1</v>
      </c>
      <c r="BA405" t="s">
        <v>407</v>
      </c>
    </row>
    <row r="406" spans="1:53" x14ac:dyDescent="0.25">
      <c r="A406" t="s">
        <v>386</v>
      </c>
      <c r="B406">
        <v>1</v>
      </c>
      <c r="C406">
        <v>77</v>
      </c>
      <c r="D406">
        <v>1</v>
      </c>
      <c r="E406">
        <v>58062090</v>
      </c>
      <c r="F406">
        <v>248283</v>
      </c>
      <c r="G406" t="s">
        <v>313</v>
      </c>
      <c r="H406" t="s">
        <v>60</v>
      </c>
      <c r="I406" t="s">
        <v>60</v>
      </c>
      <c r="J406" t="s">
        <v>60</v>
      </c>
      <c r="K406" t="s">
        <v>60</v>
      </c>
      <c r="L406" t="s">
        <v>59</v>
      </c>
      <c r="M406">
        <v>2.5000000000000001E-3</v>
      </c>
      <c r="P406">
        <v>40</v>
      </c>
      <c r="Q406" t="s">
        <v>80</v>
      </c>
      <c r="R406" t="s">
        <v>412</v>
      </c>
      <c r="S406" t="s">
        <v>360</v>
      </c>
      <c r="T406" t="s">
        <v>330</v>
      </c>
      <c r="V406">
        <v>0</v>
      </c>
      <c r="Y406">
        <v>0</v>
      </c>
      <c r="Z406">
        <v>0</v>
      </c>
      <c r="AA406">
        <v>0</v>
      </c>
      <c r="AB406">
        <v>640</v>
      </c>
      <c r="AC406">
        <v>0</v>
      </c>
      <c r="AD406">
        <v>0</v>
      </c>
      <c r="AE406">
        <v>0</v>
      </c>
      <c r="AQ406">
        <v>182375</v>
      </c>
      <c r="AR406" t="b">
        <v>1</v>
      </c>
      <c r="AS406" t="b">
        <v>1</v>
      </c>
      <c r="AT406" t="b">
        <v>1</v>
      </c>
      <c r="AU406" t="b">
        <v>1</v>
      </c>
      <c r="AV406" t="b">
        <v>1</v>
      </c>
      <c r="AW406" t="b">
        <v>1</v>
      </c>
      <c r="AX406" t="b">
        <v>1</v>
      </c>
      <c r="BA406" t="s">
        <v>407</v>
      </c>
    </row>
    <row r="407" spans="1:53" x14ac:dyDescent="0.25">
      <c r="A407" t="s">
        <v>386</v>
      </c>
      <c r="B407">
        <v>1</v>
      </c>
      <c r="C407">
        <v>78</v>
      </c>
      <c r="D407">
        <v>1</v>
      </c>
      <c r="E407">
        <v>58062090</v>
      </c>
      <c r="F407">
        <v>248283</v>
      </c>
      <c r="G407" t="s">
        <v>313</v>
      </c>
      <c r="H407" t="s">
        <v>60</v>
      </c>
      <c r="I407" t="s">
        <v>60</v>
      </c>
      <c r="J407" t="s">
        <v>60</v>
      </c>
      <c r="K407" t="s">
        <v>60</v>
      </c>
      <c r="L407" t="s">
        <v>59</v>
      </c>
      <c r="M407">
        <v>2.5000000000000001E-3</v>
      </c>
      <c r="P407">
        <v>40</v>
      </c>
      <c r="Q407" t="s">
        <v>80</v>
      </c>
      <c r="R407" t="s">
        <v>413</v>
      </c>
      <c r="S407" t="s">
        <v>361</v>
      </c>
      <c r="T407" t="s">
        <v>331</v>
      </c>
      <c r="V407">
        <v>0</v>
      </c>
      <c r="Y407">
        <v>0</v>
      </c>
      <c r="Z407">
        <v>0</v>
      </c>
      <c r="AA407">
        <v>0</v>
      </c>
      <c r="AB407">
        <v>640</v>
      </c>
      <c r="AC407">
        <v>0</v>
      </c>
      <c r="AD407">
        <v>0</v>
      </c>
      <c r="AE407">
        <v>0</v>
      </c>
      <c r="AQ407">
        <v>182375</v>
      </c>
      <c r="AR407" t="b">
        <v>1</v>
      </c>
      <c r="AS407" t="b">
        <v>1</v>
      </c>
      <c r="AT407" t="b">
        <v>1</v>
      </c>
      <c r="AU407" t="b">
        <v>1</v>
      </c>
      <c r="AV407" t="b">
        <v>1</v>
      </c>
      <c r="AW407" t="b">
        <v>1</v>
      </c>
      <c r="AX407" t="b">
        <v>1</v>
      </c>
      <c r="BA407" t="s">
        <v>407</v>
      </c>
    </row>
    <row r="408" spans="1:53" x14ac:dyDescent="0.25">
      <c r="A408" t="s">
        <v>386</v>
      </c>
      <c r="B408">
        <v>1</v>
      </c>
      <c r="C408">
        <v>79</v>
      </c>
      <c r="D408">
        <v>1</v>
      </c>
      <c r="E408">
        <v>58062090</v>
      </c>
      <c r="F408">
        <v>248283</v>
      </c>
      <c r="G408" t="s">
        <v>314</v>
      </c>
      <c r="H408" t="s">
        <v>60</v>
      </c>
      <c r="I408" t="s">
        <v>60</v>
      </c>
      <c r="J408" t="s">
        <v>60</v>
      </c>
      <c r="K408" t="s">
        <v>60</v>
      </c>
      <c r="L408" t="s">
        <v>59</v>
      </c>
      <c r="M408">
        <v>2.5000000000000001E-3</v>
      </c>
      <c r="P408">
        <v>40</v>
      </c>
      <c r="Q408" t="s">
        <v>80</v>
      </c>
      <c r="R408" t="s">
        <v>414</v>
      </c>
      <c r="S408" t="s">
        <v>362</v>
      </c>
      <c r="T408" t="s">
        <v>332</v>
      </c>
      <c r="V408">
        <v>0</v>
      </c>
      <c r="Y408">
        <v>0</v>
      </c>
      <c r="Z408">
        <v>0</v>
      </c>
      <c r="AA408">
        <v>0</v>
      </c>
      <c r="AB408">
        <v>640</v>
      </c>
      <c r="AC408">
        <v>0</v>
      </c>
      <c r="AD408">
        <v>0</v>
      </c>
      <c r="AE408">
        <v>0</v>
      </c>
      <c r="AQ408">
        <v>182375</v>
      </c>
      <c r="AR408" t="b">
        <v>1</v>
      </c>
      <c r="AS408" t="b">
        <v>1</v>
      </c>
      <c r="AT408" t="b">
        <v>1</v>
      </c>
      <c r="AU408" t="b">
        <v>1</v>
      </c>
      <c r="AV408" t="b">
        <v>1</v>
      </c>
      <c r="AW408" t="b">
        <v>1</v>
      </c>
      <c r="AX408" t="b">
        <v>1</v>
      </c>
      <c r="BA408" t="s">
        <v>407</v>
      </c>
    </row>
    <row r="409" spans="1:53" x14ac:dyDescent="0.25">
      <c r="A409" t="s">
        <v>386</v>
      </c>
      <c r="B409">
        <v>1</v>
      </c>
      <c r="C409">
        <v>80</v>
      </c>
      <c r="D409">
        <v>1</v>
      </c>
      <c r="E409">
        <v>48211090</v>
      </c>
      <c r="F409">
        <v>297274</v>
      </c>
      <c r="G409" t="s">
        <v>315</v>
      </c>
      <c r="H409" t="s">
        <v>60</v>
      </c>
      <c r="I409" t="s">
        <v>60</v>
      </c>
      <c r="J409" t="s">
        <v>60</v>
      </c>
      <c r="K409" t="s">
        <v>60</v>
      </c>
      <c r="L409" t="s">
        <v>12</v>
      </c>
      <c r="M409">
        <v>50</v>
      </c>
      <c r="P409">
        <v>40</v>
      </c>
      <c r="Q409" t="s">
        <v>80</v>
      </c>
      <c r="R409" t="s">
        <v>415</v>
      </c>
      <c r="S409" t="s">
        <v>363</v>
      </c>
      <c r="T409" t="s">
        <v>333</v>
      </c>
      <c r="V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Q409">
        <v>182375</v>
      </c>
      <c r="AR409" t="b">
        <v>1</v>
      </c>
      <c r="AS409" t="b">
        <v>1</v>
      </c>
      <c r="AT409" t="b">
        <v>1</v>
      </c>
      <c r="AU409" t="b">
        <v>1</v>
      </c>
      <c r="AV409" t="b">
        <v>1</v>
      </c>
      <c r="AW409" t="b">
        <v>1</v>
      </c>
      <c r="AX409" t="b">
        <v>1</v>
      </c>
      <c r="BA409" t="s">
        <v>407</v>
      </c>
    </row>
    <row r="410" spans="1:53" x14ac:dyDescent="0.25">
      <c r="A410" t="s">
        <v>386</v>
      </c>
      <c r="B410">
        <v>1</v>
      </c>
      <c r="C410">
        <v>81</v>
      </c>
      <c r="D410">
        <v>1</v>
      </c>
      <c r="E410">
        <v>48211090</v>
      </c>
      <c r="F410">
        <v>297275</v>
      </c>
      <c r="G410" t="s">
        <v>316</v>
      </c>
      <c r="H410" t="s">
        <v>60</v>
      </c>
      <c r="I410" t="s">
        <v>60</v>
      </c>
      <c r="J410" t="s">
        <v>60</v>
      </c>
      <c r="K410" t="s">
        <v>60</v>
      </c>
      <c r="L410" t="s">
        <v>12</v>
      </c>
      <c r="M410">
        <v>7.5</v>
      </c>
      <c r="P410">
        <v>40</v>
      </c>
      <c r="Q410" t="s">
        <v>80</v>
      </c>
      <c r="R410" t="s">
        <v>415</v>
      </c>
      <c r="S410" t="s">
        <v>363</v>
      </c>
      <c r="T410" t="s">
        <v>333</v>
      </c>
      <c r="V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Q410">
        <v>182375</v>
      </c>
      <c r="AR410" t="b">
        <v>1</v>
      </c>
      <c r="AS410" t="b">
        <v>1</v>
      </c>
      <c r="AT410" t="b">
        <v>1</v>
      </c>
      <c r="AU410" t="b">
        <v>1</v>
      </c>
      <c r="AV410" t="b">
        <v>1</v>
      </c>
      <c r="AW410" t="b">
        <v>1</v>
      </c>
      <c r="AX410" t="b">
        <v>1</v>
      </c>
      <c r="BA410" t="s">
        <v>407</v>
      </c>
    </row>
    <row r="411" spans="1:53" x14ac:dyDescent="0.25">
      <c r="A411" t="s">
        <v>386</v>
      </c>
      <c r="B411">
        <v>1</v>
      </c>
      <c r="C411">
        <v>82</v>
      </c>
      <c r="D411">
        <v>1</v>
      </c>
      <c r="E411">
        <v>48211090</v>
      </c>
      <c r="F411">
        <v>297276</v>
      </c>
      <c r="G411" t="s">
        <v>317</v>
      </c>
      <c r="H411" t="s">
        <v>60</v>
      </c>
      <c r="I411" t="s">
        <v>60</v>
      </c>
      <c r="J411" t="s">
        <v>60</v>
      </c>
      <c r="K411" t="s">
        <v>60</v>
      </c>
      <c r="L411" t="s">
        <v>12</v>
      </c>
      <c r="M411">
        <v>17.5</v>
      </c>
      <c r="P411">
        <v>40</v>
      </c>
      <c r="Q411" t="s">
        <v>80</v>
      </c>
      <c r="R411" t="s">
        <v>415</v>
      </c>
      <c r="S411" t="s">
        <v>363</v>
      </c>
      <c r="T411" t="s">
        <v>333</v>
      </c>
      <c r="V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Q411">
        <v>182375</v>
      </c>
      <c r="AR411" t="b">
        <v>1</v>
      </c>
      <c r="AS411" t="b">
        <v>1</v>
      </c>
      <c r="AT411" t="b">
        <v>1</v>
      </c>
      <c r="AU411" t="b">
        <v>1</v>
      </c>
      <c r="AV411" t="b">
        <v>1</v>
      </c>
      <c r="AW411" t="b">
        <v>1</v>
      </c>
      <c r="AX411" t="b">
        <v>1</v>
      </c>
      <c r="BA411" t="s">
        <v>407</v>
      </c>
    </row>
    <row r="412" spans="1:53" x14ac:dyDescent="0.25">
      <c r="A412" t="s">
        <v>386</v>
      </c>
      <c r="B412">
        <v>1</v>
      </c>
      <c r="C412">
        <v>83</v>
      </c>
      <c r="D412">
        <v>1</v>
      </c>
      <c r="E412">
        <v>48211090</v>
      </c>
      <c r="F412">
        <v>297277</v>
      </c>
      <c r="G412" t="s">
        <v>318</v>
      </c>
      <c r="H412" t="s">
        <v>60</v>
      </c>
      <c r="I412" t="s">
        <v>60</v>
      </c>
      <c r="J412" t="s">
        <v>60</v>
      </c>
      <c r="K412" t="s">
        <v>60</v>
      </c>
      <c r="L412" t="s">
        <v>12</v>
      </c>
      <c r="M412">
        <v>12.5</v>
      </c>
      <c r="P412">
        <v>40</v>
      </c>
      <c r="Q412" t="s">
        <v>80</v>
      </c>
      <c r="R412" t="s">
        <v>415</v>
      </c>
      <c r="S412" t="s">
        <v>363</v>
      </c>
      <c r="T412" t="s">
        <v>333</v>
      </c>
      <c r="V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Q412">
        <v>182375</v>
      </c>
      <c r="AR412" t="b">
        <v>1</v>
      </c>
      <c r="AS412" t="b">
        <v>1</v>
      </c>
      <c r="AT412" t="b">
        <v>1</v>
      </c>
      <c r="AU412" t="b">
        <v>1</v>
      </c>
      <c r="AV412" t="b">
        <v>1</v>
      </c>
      <c r="AW412" t="b">
        <v>1</v>
      </c>
      <c r="AX412" t="b">
        <v>1</v>
      </c>
      <c r="BA412" t="s">
        <v>407</v>
      </c>
    </row>
    <row r="413" spans="1:53" x14ac:dyDescent="0.25">
      <c r="A413" t="s">
        <v>386</v>
      </c>
      <c r="B413">
        <v>1</v>
      </c>
      <c r="C413">
        <v>84</v>
      </c>
      <c r="D413">
        <v>1</v>
      </c>
      <c r="E413">
        <v>48211090</v>
      </c>
      <c r="F413">
        <v>297278</v>
      </c>
      <c r="G413" t="s">
        <v>319</v>
      </c>
      <c r="H413" t="s">
        <v>60</v>
      </c>
      <c r="I413" t="s">
        <v>60</v>
      </c>
      <c r="J413" t="s">
        <v>60</v>
      </c>
      <c r="K413" t="s">
        <v>60</v>
      </c>
      <c r="L413" t="s">
        <v>12</v>
      </c>
      <c r="M413">
        <v>12.5</v>
      </c>
      <c r="P413">
        <v>40</v>
      </c>
      <c r="Q413" t="s">
        <v>80</v>
      </c>
      <c r="R413" t="s">
        <v>415</v>
      </c>
      <c r="S413" t="s">
        <v>363</v>
      </c>
      <c r="T413" t="s">
        <v>333</v>
      </c>
      <c r="V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Q413">
        <v>182375</v>
      </c>
      <c r="AR413" t="b">
        <v>1</v>
      </c>
      <c r="AS413" t="b">
        <v>1</v>
      </c>
      <c r="AT413" t="b">
        <v>1</v>
      </c>
      <c r="AU413" t="b">
        <v>1</v>
      </c>
      <c r="AV413" t="b">
        <v>1</v>
      </c>
      <c r="AW413" t="b">
        <v>1</v>
      </c>
      <c r="AX413" t="b">
        <v>1</v>
      </c>
      <c r="BA413" t="s">
        <v>407</v>
      </c>
    </row>
    <row r="414" spans="1:53" x14ac:dyDescent="0.25">
      <c r="A414" t="s">
        <v>386</v>
      </c>
      <c r="B414">
        <v>3</v>
      </c>
      <c r="C414">
        <v>1</v>
      </c>
      <c r="D414">
        <v>1</v>
      </c>
      <c r="E414">
        <v>52081900</v>
      </c>
      <c r="F414">
        <v>274799</v>
      </c>
      <c r="G414" t="s">
        <v>311</v>
      </c>
      <c r="H414" t="s">
        <v>60</v>
      </c>
      <c r="I414" t="s">
        <v>60</v>
      </c>
      <c r="J414" t="s">
        <v>60</v>
      </c>
      <c r="K414" t="s">
        <v>60</v>
      </c>
      <c r="L414" t="s">
        <v>27</v>
      </c>
      <c r="M414">
        <v>5.8</v>
      </c>
      <c r="P414">
        <v>40</v>
      </c>
      <c r="Q414" t="s">
        <v>80</v>
      </c>
      <c r="R414" t="s">
        <v>409</v>
      </c>
      <c r="S414" t="s">
        <v>358</v>
      </c>
      <c r="T414" t="s">
        <v>327</v>
      </c>
      <c r="V414">
        <v>0</v>
      </c>
      <c r="Y414">
        <v>0</v>
      </c>
      <c r="Z414">
        <v>0</v>
      </c>
      <c r="AA414">
        <v>0</v>
      </c>
      <c r="AB414">
        <v>1391541.57</v>
      </c>
      <c r="AC414">
        <v>0</v>
      </c>
      <c r="AD414">
        <v>0</v>
      </c>
      <c r="AE414">
        <v>0</v>
      </c>
      <c r="AQ414">
        <v>182376</v>
      </c>
      <c r="AR414" t="b">
        <v>1</v>
      </c>
      <c r="AS414" t="b">
        <v>1</v>
      </c>
      <c r="AT414" t="b">
        <v>1</v>
      </c>
      <c r="AU414" t="b">
        <v>1</v>
      </c>
      <c r="AV414" t="b">
        <v>1</v>
      </c>
      <c r="AW414" t="b">
        <v>1</v>
      </c>
      <c r="AX414" t="b">
        <v>1</v>
      </c>
      <c r="BA414" t="s">
        <v>437</v>
      </c>
    </row>
    <row r="415" spans="1:53" x14ac:dyDescent="0.25">
      <c r="A415" t="s">
        <v>386</v>
      </c>
      <c r="B415">
        <v>3</v>
      </c>
      <c r="C415">
        <v>2</v>
      </c>
      <c r="D415">
        <v>1</v>
      </c>
      <c r="E415">
        <v>52081900</v>
      </c>
      <c r="F415">
        <v>275340</v>
      </c>
      <c r="G415" t="s">
        <v>312</v>
      </c>
      <c r="H415" t="s">
        <v>60</v>
      </c>
      <c r="I415" t="s">
        <v>60</v>
      </c>
      <c r="J415" t="s">
        <v>60</v>
      </c>
      <c r="K415" t="s">
        <v>60</v>
      </c>
      <c r="L415" t="s">
        <v>27</v>
      </c>
      <c r="M415">
        <v>5.8</v>
      </c>
      <c r="P415">
        <v>40</v>
      </c>
      <c r="Q415" t="s">
        <v>80</v>
      </c>
      <c r="R415" t="s">
        <v>410</v>
      </c>
      <c r="S415" t="s">
        <v>359</v>
      </c>
      <c r="T415" t="s">
        <v>328</v>
      </c>
      <c r="V415">
        <v>0</v>
      </c>
      <c r="Y415">
        <v>0</v>
      </c>
      <c r="Z415">
        <v>0</v>
      </c>
      <c r="AA415">
        <v>0</v>
      </c>
      <c r="AB415">
        <v>1391541.57</v>
      </c>
      <c r="AC415">
        <v>0</v>
      </c>
      <c r="AD415">
        <v>0</v>
      </c>
      <c r="AE415">
        <v>0</v>
      </c>
      <c r="AQ415">
        <v>182376</v>
      </c>
      <c r="AR415" t="b">
        <v>1</v>
      </c>
      <c r="AS415" t="b">
        <v>1</v>
      </c>
      <c r="AT415" t="b">
        <v>1</v>
      </c>
      <c r="AU415" t="b">
        <v>1</v>
      </c>
      <c r="AV415" t="b">
        <v>1</v>
      </c>
      <c r="AW415" t="b">
        <v>1</v>
      </c>
      <c r="AX415" t="b">
        <v>1</v>
      </c>
      <c r="BA415" t="s">
        <v>437</v>
      </c>
    </row>
    <row r="416" spans="1:53" x14ac:dyDescent="0.25">
      <c r="A416" t="s">
        <v>386</v>
      </c>
      <c r="B416">
        <v>3</v>
      </c>
      <c r="C416">
        <v>3</v>
      </c>
      <c r="D416">
        <v>1</v>
      </c>
      <c r="E416">
        <v>58062090</v>
      </c>
      <c r="F416">
        <v>262938</v>
      </c>
      <c r="G416" t="s">
        <v>320</v>
      </c>
      <c r="H416" t="s">
        <v>60</v>
      </c>
      <c r="I416" t="s">
        <v>60</v>
      </c>
      <c r="J416" t="s">
        <v>60</v>
      </c>
      <c r="K416" t="s">
        <v>60</v>
      </c>
      <c r="L416" t="s">
        <v>59</v>
      </c>
      <c r="M416">
        <v>0.39500000000000002</v>
      </c>
      <c r="P416">
        <v>40</v>
      </c>
      <c r="Q416" t="s">
        <v>80</v>
      </c>
      <c r="R416" t="s">
        <v>416</v>
      </c>
      <c r="S416" t="s">
        <v>360</v>
      </c>
      <c r="T416" t="s">
        <v>334</v>
      </c>
      <c r="V416">
        <v>0</v>
      </c>
      <c r="Y416">
        <v>0</v>
      </c>
      <c r="Z416">
        <v>0</v>
      </c>
      <c r="AA416">
        <v>0</v>
      </c>
      <c r="AB416">
        <v>32390</v>
      </c>
      <c r="AC416">
        <v>0</v>
      </c>
      <c r="AD416">
        <v>0</v>
      </c>
      <c r="AE416">
        <v>0</v>
      </c>
      <c r="AQ416">
        <v>182376</v>
      </c>
      <c r="AR416" t="b">
        <v>1</v>
      </c>
      <c r="AS416" t="b">
        <v>1</v>
      </c>
      <c r="AT416" t="b">
        <v>1</v>
      </c>
      <c r="AU416" t="b">
        <v>1</v>
      </c>
      <c r="AV416" t="b">
        <v>1</v>
      </c>
      <c r="AW416" t="b">
        <v>1</v>
      </c>
      <c r="AX416" t="b">
        <v>1</v>
      </c>
      <c r="BA416" t="s">
        <v>437</v>
      </c>
    </row>
    <row r="417" spans="1:53" x14ac:dyDescent="0.25">
      <c r="A417" t="s">
        <v>386</v>
      </c>
      <c r="B417">
        <v>3</v>
      </c>
      <c r="C417">
        <v>4</v>
      </c>
      <c r="D417">
        <v>1</v>
      </c>
      <c r="E417">
        <v>58061090</v>
      </c>
      <c r="F417">
        <v>262938</v>
      </c>
      <c r="G417" t="s">
        <v>320</v>
      </c>
      <c r="H417" t="s">
        <v>60</v>
      </c>
      <c r="I417" t="s">
        <v>60</v>
      </c>
      <c r="J417" t="s">
        <v>60</v>
      </c>
      <c r="K417" t="s">
        <v>60</v>
      </c>
      <c r="L417" t="s">
        <v>59</v>
      </c>
      <c r="M417">
        <v>0.2</v>
      </c>
      <c r="P417">
        <v>40</v>
      </c>
      <c r="Q417" t="s">
        <v>80</v>
      </c>
      <c r="R417" t="s">
        <v>417</v>
      </c>
      <c r="S417" t="s">
        <v>364</v>
      </c>
      <c r="T417" t="s">
        <v>335</v>
      </c>
      <c r="V417">
        <v>0</v>
      </c>
      <c r="Y417">
        <v>0</v>
      </c>
      <c r="Z417">
        <v>0</v>
      </c>
      <c r="AA417">
        <v>0</v>
      </c>
      <c r="AB417">
        <v>16400</v>
      </c>
      <c r="AC417">
        <v>0</v>
      </c>
      <c r="AD417">
        <v>0</v>
      </c>
      <c r="AE417">
        <v>0</v>
      </c>
      <c r="AQ417">
        <v>182376</v>
      </c>
      <c r="AR417" t="b">
        <v>1</v>
      </c>
      <c r="AS417" t="b">
        <v>1</v>
      </c>
      <c r="AT417" t="b">
        <v>1</v>
      </c>
      <c r="AU417" t="b">
        <v>1</v>
      </c>
      <c r="AV417" t="b">
        <v>1</v>
      </c>
      <c r="AW417" t="b">
        <v>1</v>
      </c>
      <c r="AX417" t="b">
        <v>1</v>
      </c>
      <c r="BA417" t="s">
        <v>437</v>
      </c>
    </row>
    <row r="418" spans="1:53" x14ac:dyDescent="0.25">
      <c r="A418" t="s">
        <v>386</v>
      </c>
      <c r="B418">
        <v>3</v>
      </c>
      <c r="C418">
        <v>5</v>
      </c>
      <c r="D418">
        <v>1</v>
      </c>
      <c r="E418">
        <v>58062090</v>
      </c>
      <c r="F418">
        <v>262938</v>
      </c>
      <c r="G418" t="s">
        <v>321</v>
      </c>
      <c r="H418" t="s">
        <v>60</v>
      </c>
      <c r="I418" t="s">
        <v>60</v>
      </c>
      <c r="J418" t="s">
        <v>60</v>
      </c>
      <c r="K418" t="s">
        <v>60</v>
      </c>
      <c r="L418" t="s">
        <v>59</v>
      </c>
      <c r="M418">
        <v>0.39</v>
      </c>
      <c r="P418">
        <v>40</v>
      </c>
      <c r="Q418" t="s">
        <v>80</v>
      </c>
      <c r="R418" t="s">
        <v>418</v>
      </c>
      <c r="S418" t="s">
        <v>365</v>
      </c>
      <c r="T418" t="s">
        <v>336</v>
      </c>
      <c r="V418">
        <v>0</v>
      </c>
      <c r="Y418">
        <v>0</v>
      </c>
      <c r="Z418">
        <v>0</v>
      </c>
      <c r="AA418">
        <v>0</v>
      </c>
      <c r="AB418">
        <v>31980</v>
      </c>
      <c r="AC418">
        <v>0</v>
      </c>
      <c r="AD418">
        <v>0</v>
      </c>
      <c r="AE418">
        <v>0</v>
      </c>
      <c r="AQ418">
        <v>182376</v>
      </c>
      <c r="AR418" t="b">
        <v>1</v>
      </c>
      <c r="AS418" t="b">
        <v>1</v>
      </c>
      <c r="AT418" t="b">
        <v>1</v>
      </c>
      <c r="AU418" t="b">
        <v>1</v>
      </c>
      <c r="AV418" t="b">
        <v>1</v>
      </c>
      <c r="AW418" t="b">
        <v>1</v>
      </c>
      <c r="AX418" t="b">
        <v>1</v>
      </c>
      <c r="BA418" t="s">
        <v>437</v>
      </c>
    </row>
    <row r="419" spans="1:53" x14ac:dyDescent="0.25">
      <c r="A419" t="s">
        <v>386</v>
      </c>
      <c r="B419">
        <v>3</v>
      </c>
      <c r="C419">
        <v>6</v>
      </c>
      <c r="D419">
        <v>1</v>
      </c>
      <c r="E419">
        <v>48211090</v>
      </c>
      <c r="F419">
        <v>297274</v>
      </c>
      <c r="G419" t="s">
        <v>315</v>
      </c>
      <c r="H419" t="s">
        <v>60</v>
      </c>
      <c r="I419" t="s">
        <v>60</v>
      </c>
      <c r="J419" t="s">
        <v>60</v>
      </c>
      <c r="K419" t="s">
        <v>60</v>
      </c>
      <c r="L419" t="s">
        <v>12</v>
      </c>
      <c r="M419">
        <v>100</v>
      </c>
      <c r="P419">
        <v>40</v>
      </c>
      <c r="Q419" t="s">
        <v>80</v>
      </c>
      <c r="R419" t="s">
        <v>415</v>
      </c>
      <c r="S419" t="s">
        <v>363</v>
      </c>
      <c r="T419" t="s">
        <v>333</v>
      </c>
      <c r="V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Q419">
        <v>182376</v>
      </c>
      <c r="AR419" t="b">
        <v>1</v>
      </c>
      <c r="AS419" t="b">
        <v>1</v>
      </c>
      <c r="AT419" t="b">
        <v>1</v>
      </c>
      <c r="AU419" t="b">
        <v>1</v>
      </c>
      <c r="AV419" t="b">
        <v>1</v>
      </c>
      <c r="AW419" t="b">
        <v>1</v>
      </c>
      <c r="AX419" t="b">
        <v>1</v>
      </c>
      <c r="BA419" t="s">
        <v>437</v>
      </c>
    </row>
    <row r="420" spans="1:53" x14ac:dyDescent="0.25">
      <c r="A420" t="s">
        <v>386</v>
      </c>
      <c r="B420">
        <v>3</v>
      </c>
      <c r="C420">
        <v>7</v>
      </c>
      <c r="D420">
        <v>1</v>
      </c>
      <c r="E420">
        <v>48211090</v>
      </c>
      <c r="F420">
        <v>297275</v>
      </c>
      <c r="G420" t="s">
        <v>316</v>
      </c>
      <c r="H420" t="s">
        <v>60</v>
      </c>
      <c r="I420" t="s">
        <v>60</v>
      </c>
      <c r="J420" t="s">
        <v>60</v>
      </c>
      <c r="K420" t="s">
        <v>60</v>
      </c>
      <c r="L420" t="s">
        <v>12</v>
      </c>
      <c r="M420">
        <v>15</v>
      </c>
      <c r="P420">
        <v>40</v>
      </c>
      <c r="Q420" t="s">
        <v>80</v>
      </c>
      <c r="R420" t="s">
        <v>415</v>
      </c>
      <c r="S420" t="s">
        <v>363</v>
      </c>
      <c r="T420" t="s">
        <v>333</v>
      </c>
      <c r="V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Q420">
        <v>182376</v>
      </c>
      <c r="AR420" t="b">
        <v>1</v>
      </c>
      <c r="AS420" t="b">
        <v>1</v>
      </c>
      <c r="AT420" t="b">
        <v>1</v>
      </c>
      <c r="AU420" t="b">
        <v>1</v>
      </c>
      <c r="AV420" t="b">
        <v>1</v>
      </c>
      <c r="AW420" t="b">
        <v>1</v>
      </c>
      <c r="AX420" t="b">
        <v>1</v>
      </c>
      <c r="BA420" t="s">
        <v>437</v>
      </c>
    </row>
    <row r="421" spans="1:53" x14ac:dyDescent="0.25">
      <c r="A421" t="s">
        <v>386</v>
      </c>
      <c r="B421">
        <v>3</v>
      </c>
      <c r="C421">
        <v>8</v>
      </c>
      <c r="D421">
        <v>1</v>
      </c>
      <c r="E421">
        <v>48211090</v>
      </c>
      <c r="F421">
        <v>297276</v>
      </c>
      <c r="G421" t="s">
        <v>317</v>
      </c>
      <c r="H421" t="s">
        <v>60</v>
      </c>
      <c r="I421" t="s">
        <v>60</v>
      </c>
      <c r="J421" t="s">
        <v>60</v>
      </c>
      <c r="K421" t="s">
        <v>60</v>
      </c>
      <c r="L421" t="s">
        <v>12</v>
      </c>
      <c r="M421">
        <v>35</v>
      </c>
      <c r="P421">
        <v>40</v>
      </c>
      <c r="Q421" t="s">
        <v>80</v>
      </c>
      <c r="R421" t="s">
        <v>415</v>
      </c>
      <c r="S421" t="s">
        <v>363</v>
      </c>
      <c r="T421" t="s">
        <v>333</v>
      </c>
      <c r="V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Q421">
        <v>182376</v>
      </c>
      <c r="AR421" t="b">
        <v>1</v>
      </c>
      <c r="AS421" t="b">
        <v>1</v>
      </c>
      <c r="AT421" t="b">
        <v>1</v>
      </c>
      <c r="AU421" t="b">
        <v>1</v>
      </c>
      <c r="AV421" t="b">
        <v>1</v>
      </c>
      <c r="AW421" t="b">
        <v>1</v>
      </c>
      <c r="AX421" t="b">
        <v>1</v>
      </c>
      <c r="BA421" t="s">
        <v>437</v>
      </c>
    </row>
    <row r="422" spans="1:53" x14ac:dyDescent="0.25">
      <c r="A422" t="s">
        <v>386</v>
      </c>
      <c r="B422">
        <v>3</v>
      </c>
      <c r="C422">
        <v>9</v>
      </c>
      <c r="D422">
        <v>1</v>
      </c>
      <c r="E422">
        <v>48211090</v>
      </c>
      <c r="F422">
        <v>297277</v>
      </c>
      <c r="G422" t="s">
        <v>318</v>
      </c>
      <c r="H422" t="s">
        <v>60</v>
      </c>
      <c r="I422" t="s">
        <v>60</v>
      </c>
      <c r="J422" t="s">
        <v>60</v>
      </c>
      <c r="K422" t="s">
        <v>60</v>
      </c>
      <c r="L422" t="s">
        <v>12</v>
      </c>
      <c r="M422">
        <v>25</v>
      </c>
      <c r="P422">
        <v>40</v>
      </c>
      <c r="Q422" t="s">
        <v>80</v>
      </c>
      <c r="R422" t="s">
        <v>415</v>
      </c>
      <c r="S422" t="s">
        <v>363</v>
      </c>
      <c r="T422" t="s">
        <v>333</v>
      </c>
      <c r="V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Q422">
        <v>182376</v>
      </c>
      <c r="AR422" t="b">
        <v>1</v>
      </c>
      <c r="AS422" t="b">
        <v>1</v>
      </c>
      <c r="AT422" t="b">
        <v>1</v>
      </c>
      <c r="AU422" t="b">
        <v>1</v>
      </c>
      <c r="AV422" t="b">
        <v>1</v>
      </c>
      <c r="AW422" t="b">
        <v>1</v>
      </c>
      <c r="AX422" t="b">
        <v>1</v>
      </c>
      <c r="BA422" t="s">
        <v>437</v>
      </c>
    </row>
    <row r="423" spans="1:53" x14ac:dyDescent="0.25">
      <c r="A423" t="s">
        <v>386</v>
      </c>
      <c r="B423">
        <v>3</v>
      </c>
      <c r="C423">
        <v>10</v>
      </c>
      <c r="D423">
        <v>1</v>
      </c>
      <c r="E423">
        <v>48211090</v>
      </c>
      <c r="F423">
        <v>297278</v>
      </c>
      <c r="G423" t="s">
        <v>319</v>
      </c>
      <c r="H423" t="s">
        <v>60</v>
      </c>
      <c r="I423" t="s">
        <v>60</v>
      </c>
      <c r="J423" t="s">
        <v>60</v>
      </c>
      <c r="K423" t="s">
        <v>60</v>
      </c>
      <c r="L423" t="s">
        <v>12</v>
      </c>
      <c r="M423">
        <v>25</v>
      </c>
      <c r="P423">
        <v>40</v>
      </c>
      <c r="Q423" t="s">
        <v>80</v>
      </c>
      <c r="R423" t="s">
        <v>415</v>
      </c>
      <c r="S423" t="s">
        <v>363</v>
      </c>
      <c r="T423" t="s">
        <v>333</v>
      </c>
      <c r="V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Q423">
        <v>182376</v>
      </c>
      <c r="AR423" t="b">
        <v>1</v>
      </c>
      <c r="AS423" t="b">
        <v>1</v>
      </c>
      <c r="AT423" t="b">
        <v>1</v>
      </c>
      <c r="AU423" t="b">
        <v>1</v>
      </c>
      <c r="AV423" t="b">
        <v>1</v>
      </c>
      <c r="AW423" t="b">
        <v>1</v>
      </c>
      <c r="AX423" t="b">
        <v>1</v>
      </c>
      <c r="BA423" t="s">
        <v>437</v>
      </c>
    </row>
    <row r="424" spans="1:53" x14ac:dyDescent="0.25">
      <c r="A424" t="s">
        <v>386</v>
      </c>
      <c r="B424">
        <v>3</v>
      </c>
      <c r="C424">
        <v>11</v>
      </c>
      <c r="D424">
        <v>1</v>
      </c>
      <c r="E424">
        <v>52081900</v>
      </c>
      <c r="F424">
        <v>274799</v>
      </c>
      <c r="G424" t="s">
        <v>311</v>
      </c>
      <c r="H424" t="s">
        <v>60</v>
      </c>
      <c r="I424" t="s">
        <v>60</v>
      </c>
      <c r="J424" t="s">
        <v>60</v>
      </c>
      <c r="K424" t="s">
        <v>60</v>
      </c>
      <c r="L424" t="s">
        <v>27</v>
      </c>
      <c r="M424">
        <v>2.9</v>
      </c>
      <c r="P424">
        <v>40</v>
      </c>
      <c r="Q424" t="s">
        <v>80</v>
      </c>
      <c r="R424" t="s">
        <v>409</v>
      </c>
      <c r="S424" t="s">
        <v>358</v>
      </c>
      <c r="T424" t="s">
        <v>327</v>
      </c>
      <c r="V424">
        <v>0</v>
      </c>
      <c r="Y424">
        <v>0</v>
      </c>
      <c r="Z424">
        <v>0</v>
      </c>
      <c r="AA424">
        <v>0</v>
      </c>
      <c r="AB424">
        <v>1391541.57</v>
      </c>
      <c r="AC424">
        <v>0</v>
      </c>
      <c r="AD424">
        <v>0</v>
      </c>
      <c r="AE424">
        <v>0</v>
      </c>
      <c r="AQ424">
        <v>182376</v>
      </c>
      <c r="AR424" t="b">
        <v>1</v>
      </c>
      <c r="AS424" t="b">
        <v>1</v>
      </c>
      <c r="AT424" t="b">
        <v>1</v>
      </c>
      <c r="AU424" t="b">
        <v>1</v>
      </c>
      <c r="AV424" t="b">
        <v>1</v>
      </c>
      <c r="AW424" t="b">
        <v>1</v>
      </c>
      <c r="AX424" t="b">
        <v>1</v>
      </c>
      <c r="BA424" t="s">
        <v>437</v>
      </c>
    </row>
    <row r="425" spans="1:53" x14ac:dyDescent="0.25">
      <c r="A425" t="s">
        <v>386</v>
      </c>
      <c r="B425">
        <v>3</v>
      </c>
      <c r="C425">
        <v>12</v>
      </c>
      <c r="D425">
        <v>1</v>
      </c>
      <c r="E425">
        <v>52081900</v>
      </c>
      <c r="F425">
        <v>275340</v>
      </c>
      <c r="G425" t="s">
        <v>312</v>
      </c>
      <c r="H425" t="s">
        <v>60</v>
      </c>
      <c r="I425" t="s">
        <v>60</v>
      </c>
      <c r="J425" t="s">
        <v>60</v>
      </c>
      <c r="K425" t="s">
        <v>60</v>
      </c>
      <c r="L425" t="s">
        <v>27</v>
      </c>
      <c r="M425">
        <v>2.9</v>
      </c>
      <c r="P425">
        <v>40</v>
      </c>
      <c r="Q425" t="s">
        <v>80</v>
      </c>
      <c r="R425" t="s">
        <v>410</v>
      </c>
      <c r="S425" t="s">
        <v>359</v>
      </c>
      <c r="T425" t="s">
        <v>328</v>
      </c>
      <c r="V425">
        <v>0</v>
      </c>
      <c r="Y425">
        <v>0</v>
      </c>
      <c r="Z425">
        <v>0</v>
      </c>
      <c r="AA425">
        <v>0</v>
      </c>
      <c r="AB425">
        <v>1391541.57</v>
      </c>
      <c r="AC425">
        <v>0</v>
      </c>
      <c r="AD425">
        <v>0</v>
      </c>
      <c r="AE425">
        <v>0</v>
      </c>
      <c r="AQ425">
        <v>182376</v>
      </c>
      <c r="AR425" t="b">
        <v>1</v>
      </c>
      <c r="AS425" t="b">
        <v>1</v>
      </c>
      <c r="AT425" t="b">
        <v>1</v>
      </c>
      <c r="AU425" t="b">
        <v>1</v>
      </c>
      <c r="AV425" t="b">
        <v>1</v>
      </c>
      <c r="AW425" t="b">
        <v>1</v>
      </c>
      <c r="AX425" t="b">
        <v>1</v>
      </c>
      <c r="BA425" t="s">
        <v>437</v>
      </c>
    </row>
    <row r="426" spans="1:53" x14ac:dyDescent="0.25">
      <c r="A426" t="s">
        <v>386</v>
      </c>
      <c r="B426">
        <v>3</v>
      </c>
      <c r="C426">
        <v>13</v>
      </c>
      <c r="D426">
        <v>1</v>
      </c>
      <c r="E426">
        <v>58062090</v>
      </c>
      <c r="F426">
        <v>262938</v>
      </c>
      <c r="G426" t="s">
        <v>320</v>
      </c>
      <c r="H426" t="s">
        <v>60</v>
      </c>
      <c r="I426" t="s">
        <v>60</v>
      </c>
      <c r="J426" t="s">
        <v>60</v>
      </c>
      <c r="K426" t="s">
        <v>60</v>
      </c>
      <c r="L426" t="s">
        <v>59</v>
      </c>
      <c r="M426">
        <v>0.19750000000000001</v>
      </c>
      <c r="P426">
        <v>40</v>
      </c>
      <c r="Q426" t="s">
        <v>80</v>
      </c>
      <c r="R426" t="s">
        <v>416</v>
      </c>
      <c r="S426" t="s">
        <v>360</v>
      </c>
      <c r="T426" t="s">
        <v>334</v>
      </c>
      <c r="V426">
        <v>0</v>
      </c>
      <c r="Y426">
        <v>0</v>
      </c>
      <c r="Z426">
        <v>0</v>
      </c>
      <c r="AA426">
        <v>0</v>
      </c>
      <c r="AB426">
        <v>32390</v>
      </c>
      <c r="AC426">
        <v>0</v>
      </c>
      <c r="AD426">
        <v>0</v>
      </c>
      <c r="AE426">
        <v>0</v>
      </c>
      <c r="AQ426">
        <v>182376</v>
      </c>
      <c r="AR426" t="b">
        <v>1</v>
      </c>
      <c r="AS426" t="b">
        <v>1</v>
      </c>
      <c r="AT426" t="b">
        <v>1</v>
      </c>
      <c r="AU426" t="b">
        <v>1</v>
      </c>
      <c r="AV426" t="b">
        <v>1</v>
      </c>
      <c r="AW426" t="b">
        <v>1</v>
      </c>
      <c r="AX426" t="b">
        <v>1</v>
      </c>
      <c r="BA426" t="s">
        <v>437</v>
      </c>
    </row>
    <row r="427" spans="1:53" x14ac:dyDescent="0.25">
      <c r="A427" t="s">
        <v>386</v>
      </c>
      <c r="B427">
        <v>3</v>
      </c>
      <c r="C427">
        <v>14</v>
      </c>
      <c r="D427">
        <v>1</v>
      </c>
      <c r="E427">
        <v>58061090</v>
      </c>
      <c r="F427">
        <v>262938</v>
      </c>
      <c r="G427" t="s">
        <v>320</v>
      </c>
      <c r="H427" t="s">
        <v>60</v>
      </c>
      <c r="I427" t="s">
        <v>60</v>
      </c>
      <c r="J427" t="s">
        <v>60</v>
      </c>
      <c r="K427" t="s">
        <v>60</v>
      </c>
      <c r="L427" t="s">
        <v>59</v>
      </c>
      <c r="M427">
        <v>0.1</v>
      </c>
      <c r="P427">
        <v>40</v>
      </c>
      <c r="Q427" t="s">
        <v>80</v>
      </c>
      <c r="R427" t="s">
        <v>417</v>
      </c>
      <c r="S427" t="s">
        <v>364</v>
      </c>
      <c r="T427" t="s">
        <v>335</v>
      </c>
      <c r="V427">
        <v>0</v>
      </c>
      <c r="Y427">
        <v>0</v>
      </c>
      <c r="Z427">
        <v>0</v>
      </c>
      <c r="AA427">
        <v>0</v>
      </c>
      <c r="AB427">
        <v>16400</v>
      </c>
      <c r="AC427">
        <v>0</v>
      </c>
      <c r="AD427">
        <v>0</v>
      </c>
      <c r="AE427">
        <v>0</v>
      </c>
      <c r="AQ427">
        <v>182376</v>
      </c>
      <c r="AR427" t="b">
        <v>1</v>
      </c>
      <c r="AS427" t="b">
        <v>1</v>
      </c>
      <c r="AT427" t="b">
        <v>1</v>
      </c>
      <c r="AU427" t="b">
        <v>1</v>
      </c>
      <c r="AV427" t="b">
        <v>1</v>
      </c>
      <c r="AW427" t="b">
        <v>1</v>
      </c>
      <c r="AX427" t="b">
        <v>1</v>
      </c>
      <c r="BA427" t="s">
        <v>437</v>
      </c>
    </row>
    <row r="428" spans="1:53" x14ac:dyDescent="0.25">
      <c r="A428" t="s">
        <v>386</v>
      </c>
      <c r="B428">
        <v>3</v>
      </c>
      <c r="C428">
        <v>15</v>
      </c>
      <c r="D428">
        <v>1</v>
      </c>
      <c r="E428">
        <v>58062090</v>
      </c>
      <c r="F428">
        <v>262938</v>
      </c>
      <c r="G428" t="s">
        <v>321</v>
      </c>
      <c r="H428" t="s">
        <v>60</v>
      </c>
      <c r="I428" t="s">
        <v>60</v>
      </c>
      <c r="J428" t="s">
        <v>60</v>
      </c>
      <c r="K428" t="s">
        <v>60</v>
      </c>
      <c r="L428" t="s">
        <v>59</v>
      </c>
      <c r="M428">
        <v>0.19500000000000001</v>
      </c>
      <c r="P428">
        <v>40</v>
      </c>
      <c r="Q428" t="s">
        <v>80</v>
      </c>
      <c r="R428" t="s">
        <v>418</v>
      </c>
      <c r="S428" t="s">
        <v>365</v>
      </c>
      <c r="T428" t="s">
        <v>336</v>
      </c>
      <c r="V428">
        <v>0</v>
      </c>
      <c r="Y428">
        <v>0</v>
      </c>
      <c r="Z428">
        <v>0</v>
      </c>
      <c r="AA428">
        <v>0</v>
      </c>
      <c r="AB428">
        <v>31980</v>
      </c>
      <c r="AC428">
        <v>0</v>
      </c>
      <c r="AD428">
        <v>0</v>
      </c>
      <c r="AE428">
        <v>0</v>
      </c>
      <c r="AQ428">
        <v>182376</v>
      </c>
      <c r="AR428" t="b">
        <v>1</v>
      </c>
      <c r="AS428" t="b">
        <v>1</v>
      </c>
      <c r="AT428" t="b">
        <v>1</v>
      </c>
      <c r="AU428" t="b">
        <v>1</v>
      </c>
      <c r="AV428" t="b">
        <v>1</v>
      </c>
      <c r="AW428" t="b">
        <v>1</v>
      </c>
      <c r="AX428" t="b">
        <v>1</v>
      </c>
      <c r="BA428" t="s">
        <v>437</v>
      </c>
    </row>
    <row r="429" spans="1:53" x14ac:dyDescent="0.25">
      <c r="A429" t="s">
        <v>386</v>
      </c>
      <c r="B429">
        <v>3</v>
      </c>
      <c r="C429">
        <v>16</v>
      </c>
      <c r="D429">
        <v>1</v>
      </c>
      <c r="E429">
        <v>48211090</v>
      </c>
      <c r="F429">
        <v>297274</v>
      </c>
      <c r="G429" t="s">
        <v>315</v>
      </c>
      <c r="H429" t="s">
        <v>60</v>
      </c>
      <c r="I429" t="s">
        <v>60</v>
      </c>
      <c r="J429" t="s">
        <v>60</v>
      </c>
      <c r="K429" t="s">
        <v>60</v>
      </c>
      <c r="L429" t="s">
        <v>12</v>
      </c>
      <c r="M429">
        <v>50</v>
      </c>
      <c r="P429">
        <v>40</v>
      </c>
      <c r="Q429" t="s">
        <v>80</v>
      </c>
      <c r="R429" t="s">
        <v>415</v>
      </c>
      <c r="S429" t="s">
        <v>363</v>
      </c>
      <c r="T429" t="s">
        <v>333</v>
      </c>
      <c r="V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Q429">
        <v>182376</v>
      </c>
      <c r="AR429" t="b">
        <v>1</v>
      </c>
      <c r="AS429" t="b">
        <v>1</v>
      </c>
      <c r="AT429" t="b">
        <v>1</v>
      </c>
      <c r="AU429" t="b">
        <v>1</v>
      </c>
      <c r="AV429" t="b">
        <v>1</v>
      </c>
      <c r="AW429" t="b">
        <v>1</v>
      </c>
      <c r="AX429" t="b">
        <v>1</v>
      </c>
      <c r="BA429" t="s">
        <v>437</v>
      </c>
    </row>
    <row r="430" spans="1:53" x14ac:dyDescent="0.25">
      <c r="A430" t="s">
        <v>386</v>
      </c>
      <c r="B430">
        <v>3</v>
      </c>
      <c r="C430">
        <v>17</v>
      </c>
      <c r="D430">
        <v>1</v>
      </c>
      <c r="E430">
        <v>48211090</v>
      </c>
      <c r="F430">
        <v>297275</v>
      </c>
      <c r="G430" t="s">
        <v>316</v>
      </c>
      <c r="H430" t="s">
        <v>60</v>
      </c>
      <c r="I430" t="s">
        <v>60</v>
      </c>
      <c r="J430" t="s">
        <v>60</v>
      </c>
      <c r="K430" t="s">
        <v>60</v>
      </c>
      <c r="L430" t="s">
        <v>12</v>
      </c>
      <c r="M430">
        <v>7.5</v>
      </c>
      <c r="P430">
        <v>40</v>
      </c>
      <c r="Q430" t="s">
        <v>80</v>
      </c>
      <c r="R430" t="s">
        <v>415</v>
      </c>
      <c r="S430" t="s">
        <v>363</v>
      </c>
      <c r="T430" t="s">
        <v>333</v>
      </c>
      <c r="V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Q430">
        <v>182376</v>
      </c>
      <c r="AR430" t="b">
        <v>1</v>
      </c>
      <c r="AS430" t="b">
        <v>1</v>
      </c>
      <c r="AT430" t="b">
        <v>1</v>
      </c>
      <c r="AU430" t="b">
        <v>1</v>
      </c>
      <c r="AV430" t="b">
        <v>1</v>
      </c>
      <c r="AW430" t="b">
        <v>1</v>
      </c>
      <c r="AX430" t="b">
        <v>1</v>
      </c>
      <c r="BA430" t="s">
        <v>437</v>
      </c>
    </row>
    <row r="431" spans="1:53" x14ac:dyDescent="0.25">
      <c r="A431" t="s">
        <v>386</v>
      </c>
      <c r="B431">
        <v>3</v>
      </c>
      <c r="C431">
        <v>18</v>
      </c>
      <c r="D431">
        <v>1</v>
      </c>
      <c r="E431">
        <v>48211090</v>
      </c>
      <c r="F431">
        <v>297276</v>
      </c>
      <c r="G431" t="s">
        <v>317</v>
      </c>
      <c r="H431" t="s">
        <v>60</v>
      </c>
      <c r="I431" t="s">
        <v>60</v>
      </c>
      <c r="J431" t="s">
        <v>60</v>
      </c>
      <c r="K431" t="s">
        <v>60</v>
      </c>
      <c r="L431" t="s">
        <v>12</v>
      </c>
      <c r="M431">
        <v>17.5</v>
      </c>
      <c r="P431">
        <v>40</v>
      </c>
      <c r="Q431" t="s">
        <v>80</v>
      </c>
      <c r="R431" t="s">
        <v>415</v>
      </c>
      <c r="S431" t="s">
        <v>363</v>
      </c>
      <c r="T431" t="s">
        <v>333</v>
      </c>
      <c r="V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Q431">
        <v>182376</v>
      </c>
      <c r="AR431" t="b">
        <v>1</v>
      </c>
      <c r="AS431" t="b">
        <v>1</v>
      </c>
      <c r="AT431" t="b">
        <v>1</v>
      </c>
      <c r="AU431" t="b">
        <v>1</v>
      </c>
      <c r="AV431" t="b">
        <v>1</v>
      </c>
      <c r="AW431" t="b">
        <v>1</v>
      </c>
      <c r="AX431" t="b">
        <v>1</v>
      </c>
      <c r="BA431" t="s">
        <v>437</v>
      </c>
    </row>
    <row r="432" spans="1:53" x14ac:dyDescent="0.25">
      <c r="A432" t="s">
        <v>386</v>
      </c>
      <c r="B432">
        <v>3</v>
      </c>
      <c r="C432">
        <v>19</v>
      </c>
      <c r="D432">
        <v>1</v>
      </c>
      <c r="E432">
        <v>48211090</v>
      </c>
      <c r="F432">
        <v>297277</v>
      </c>
      <c r="G432" t="s">
        <v>318</v>
      </c>
      <c r="H432" t="s">
        <v>60</v>
      </c>
      <c r="I432" t="s">
        <v>60</v>
      </c>
      <c r="J432" t="s">
        <v>60</v>
      </c>
      <c r="K432" t="s">
        <v>60</v>
      </c>
      <c r="L432" t="s">
        <v>12</v>
      </c>
      <c r="M432">
        <v>12.5</v>
      </c>
      <c r="P432">
        <v>40</v>
      </c>
      <c r="Q432" t="s">
        <v>80</v>
      </c>
      <c r="R432" t="s">
        <v>415</v>
      </c>
      <c r="S432" t="s">
        <v>363</v>
      </c>
      <c r="T432" t="s">
        <v>333</v>
      </c>
      <c r="V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Q432">
        <v>182376</v>
      </c>
      <c r="AR432" t="b">
        <v>1</v>
      </c>
      <c r="AS432" t="b">
        <v>1</v>
      </c>
      <c r="AT432" t="b">
        <v>1</v>
      </c>
      <c r="AU432" t="b">
        <v>1</v>
      </c>
      <c r="AV432" t="b">
        <v>1</v>
      </c>
      <c r="AW432" t="b">
        <v>1</v>
      </c>
      <c r="AX432" t="b">
        <v>1</v>
      </c>
      <c r="BA432" t="s">
        <v>437</v>
      </c>
    </row>
    <row r="433" spans="1:53" x14ac:dyDescent="0.25">
      <c r="A433" t="s">
        <v>386</v>
      </c>
      <c r="B433">
        <v>3</v>
      </c>
      <c r="C433">
        <v>20</v>
      </c>
      <c r="D433">
        <v>1</v>
      </c>
      <c r="E433">
        <v>48211090</v>
      </c>
      <c r="F433">
        <v>297278</v>
      </c>
      <c r="G433" t="s">
        <v>319</v>
      </c>
      <c r="H433" t="s">
        <v>60</v>
      </c>
      <c r="I433" t="s">
        <v>60</v>
      </c>
      <c r="J433" t="s">
        <v>60</v>
      </c>
      <c r="K433" t="s">
        <v>60</v>
      </c>
      <c r="L433" t="s">
        <v>12</v>
      </c>
      <c r="M433">
        <v>12.5</v>
      </c>
      <c r="P433">
        <v>40</v>
      </c>
      <c r="Q433" t="s">
        <v>80</v>
      </c>
      <c r="R433" t="s">
        <v>415</v>
      </c>
      <c r="S433" t="s">
        <v>363</v>
      </c>
      <c r="T433" t="s">
        <v>333</v>
      </c>
      <c r="V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Q433">
        <v>182376</v>
      </c>
      <c r="AR433" t="b">
        <v>1</v>
      </c>
      <c r="AS433" t="b">
        <v>1</v>
      </c>
      <c r="AT433" t="b">
        <v>1</v>
      </c>
      <c r="AU433" t="b">
        <v>1</v>
      </c>
      <c r="AV433" t="b">
        <v>1</v>
      </c>
      <c r="AW433" t="b">
        <v>1</v>
      </c>
      <c r="AX433" t="b">
        <v>1</v>
      </c>
      <c r="BA433" t="s">
        <v>437</v>
      </c>
    </row>
    <row r="434" spans="1:53" x14ac:dyDescent="0.25">
      <c r="A434" t="s">
        <v>386</v>
      </c>
      <c r="B434">
        <v>3</v>
      </c>
      <c r="C434">
        <v>21</v>
      </c>
      <c r="D434">
        <v>1</v>
      </c>
      <c r="E434">
        <v>52081900</v>
      </c>
      <c r="F434">
        <v>274799</v>
      </c>
      <c r="G434" t="s">
        <v>311</v>
      </c>
      <c r="H434" t="s">
        <v>60</v>
      </c>
      <c r="I434" t="s">
        <v>60</v>
      </c>
      <c r="J434" t="s">
        <v>60</v>
      </c>
      <c r="K434" t="s">
        <v>60</v>
      </c>
      <c r="L434" t="s">
        <v>27</v>
      </c>
      <c r="M434">
        <v>2.9</v>
      </c>
      <c r="P434">
        <v>40</v>
      </c>
      <c r="Q434" t="s">
        <v>80</v>
      </c>
      <c r="R434" t="s">
        <v>409</v>
      </c>
      <c r="S434" t="s">
        <v>358</v>
      </c>
      <c r="T434" t="s">
        <v>327</v>
      </c>
      <c r="V434">
        <v>0</v>
      </c>
      <c r="Y434">
        <v>0</v>
      </c>
      <c r="Z434">
        <v>0</v>
      </c>
      <c r="AA434">
        <v>0</v>
      </c>
      <c r="AB434">
        <v>1391541.57</v>
      </c>
      <c r="AC434">
        <v>0</v>
      </c>
      <c r="AD434">
        <v>0</v>
      </c>
      <c r="AE434">
        <v>0</v>
      </c>
      <c r="AQ434">
        <v>182376</v>
      </c>
      <c r="AR434" t="b">
        <v>1</v>
      </c>
      <c r="AS434" t="b">
        <v>1</v>
      </c>
      <c r="AT434" t="b">
        <v>1</v>
      </c>
      <c r="AU434" t="b">
        <v>1</v>
      </c>
      <c r="AV434" t="b">
        <v>1</v>
      </c>
      <c r="AW434" t="b">
        <v>1</v>
      </c>
      <c r="AX434" t="b">
        <v>1</v>
      </c>
      <c r="BA434" t="s">
        <v>437</v>
      </c>
    </row>
    <row r="435" spans="1:53" x14ac:dyDescent="0.25">
      <c r="A435" t="s">
        <v>386</v>
      </c>
      <c r="B435">
        <v>3</v>
      </c>
      <c r="C435">
        <v>22</v>
      </c>
      <c r="D435">
        <v>1</v>
      </c>
      <c r="E435">
        <v>52081900</v>
      </c>
      <c r="F435">
        <v>275340</v>
      </c>
      <c r="G435" t="s">
        <v>312</v>
      </c>
      <c r="H435" t="s">
        <v>60</v>
      </c>
      <c r="I435" t="s">
        <v>60</v>
      </c>
      <c r="J435" t="s">
        <v>60</v>
      </c>
      <c r="K435" t="s">
        <v>60</v>
      </c>
      <c r="L435" t="s">
        <v>27</v>
      </c>
      <c r="M435">
        <v>2.9</v>
      </c>
      <c r="P435">
        <v>40</v>
      </c>
      <c r="Q435" t="s">
        <v>80</v>
      </c>
      <c r="R435" t="s">
        <v>410</v>
      </c>
      <c r="S435" t="s">
        <v>359</v>
      </c>
      <c r="T435" t="s">
        <v>328</v>
      </c>
      <c r="V435">
        <v>0</v>
      </c>
      <c r="Y435">
        <v>0</v>
      </c>
      <c r="Z435">
        <v>0</v>
      </c>
      <c r="AA435">
        <v>0</v>
      </c>
      <c r="AB435">
        <v>1391541.57</v>
      </c>
      <c r="AC435">
        <v>0</v>
      </c>
      <c r="AD435">
        <v>0</v>
      </c>
      <c r="AE435">
        <v>0</v>
      </c>
      <c r="AQ435">
        <v>182376</v>
      </c>
      <c r="AR435" t="b">
        <v>1</v>
      </c>
      <c r="AS435" t="b">
        <v>1</v>
      </c>
      <c r="AT435" t="b">
        <v>1</v>
      </c>
      <c r="AU435" t="b">
        <v>1</v>
      </c>
      <c r="AV435" t="b">
        <v>1</v>
      </c>
      <c r="AW435" t="b">
        <v>1</v>
      </c>
      <c r="AX435" t="b">
        <v>1</v>
      </c>
      <c r="BA435" t="s">
        <v>437</v>
      </c>
    </row>
    <row r="436" spans="1:53" x14ac:dyDescent="0.25">
      <c r="A436" t="s">
        <v>386</v>
      </c>
      <c r="B436">
        <v>3</v>
      </c>
      <c r="C436">
        <v>23</v>
      </c>
      <c r="D436">
        <v>1</v>
      </c>
      <c r="E436">
        <v>58062090</v>
      </c>
      <c r="F436">
        <v>262938</v>
      </c>
      <c r="G436" t="s">
        <v>320</v>
      </c>
      <c r="H436" t="s">
        <v>60</v>
      </c>
      <c r="I436" t="s">
        <v>60</v>
      </c>
      <c r="J436" t="s">
        <v>60</v>
      </c>
      <c r="K436" t="s">
        <v>60</v>
      </c>
      <c r="L436" t="s">
        <v>59</v>
      </c>
      <c r="M436">
        <v>0.19750000000000001</v>
      </c>
      <c r="P436">
        <v>40</v>
      </c>
      <c r="Q436" t="s">
        <v>80</v>
      </c>
      <c r="R436" t="s">
        <v>416</v>
      </c>
      <c r="S436" t="s">
        <v>360</v>
      </c>
      <c r="T436" t="s">
        <v>334</v>
      </c>
      <c r="V436">
        <v>0</v>
      </c>
      <c r="Y436">
        <v>0</v>
      </c>
      <c r="Z436">
        <v>0</v>
      </c>
      <c r="AA436">
        <v>0</v>
      </c>
      <c r="AB436">
        <v>32390</v>
      </c>
      <c r="AC436">
        <v>0</v>
      </c>
      <c r="AD436">
        <v>0</v>
      </c>
      <c r="AE436">
        <v>0</v>
      </c>
      <c r="AQ436">
        <v>182376</v>
      </c>
      <c r="AR436" t="b">
        <v>1</v>
      </c>
      <c r="AS436" t="b">
        <v>1</v>
      </c>
      <c r="AT436" t="b">
        <v>1</v>
      </c>
      <c r="AU436" t="b">
        <v>1</v>
      </c>
      <c r="AV436" t="b">
        <v>1</v>
      </c>
      <c r="AW436" t="b">
        <v>1</v>
      </c>
      <c r="AX436" t="b">
        <v>1</v>
      </c>
      <c r="BA436" t="s">
        <v>437</v>
      </c>
    </row>
    <row r="437" spans="1:53" x14ac:dyDescent="0.25">
      <c r="A437" t="s">
        <v>386</v>
      </c>
      <c r="B437">
        <v>3</v>
      </c>
      <c r="C437">
        <v>24</v>
      </c>
      <c r="D437">
        <v>1</v>
      </c>
      <c r="E437">
        <v>58061090</v>
      </c>
      <c r="F437">
        <v>262938</v>
      </c>
      <c r="G437" t="s">
        <v>320</v>
      </c>
      <c r="H437" t="s">
        <v>60</v>
      </c>
      <c r="I437" t="s">
        <v>60</v>
      </c>
      <c r="J437" t="s">
        <v>60</v>
      </c>
      <c r="K437" t="s">
        <v>60</v>
      </c>
      <c r="L437" t="s">
        <v>59</v>
      </c>
      <c r="M437">
        <v>0.1</v>
      </c>
      <c r="P437">
        <v>40</v>
      </c>
      <c r="Q437" t="s">
        <v>80</v>
      </c>
      <c r="R437" t="s">
        <v>417</v>
      </c>
      <c r="S437" t="s">
        <v>364</v>
      </c>
      <c r="T437" t="s">
        <v>335</v>
      </c>
      <c r="V437">
        <v>0</v>
      </c>
      <c r="Y437">
        <v>0</v>
      </c>
      <c r="Z437">
        <v>0</v>
      </c>
      <c r="AA437">
        <v>0</v>
      </c>
      <c r="AB437">
        <v>16400</v>
      </c>
      <c r="AC437">
        <v>0</v>
      </c>
      <c r="AD437">
        <v>0</v>
      </c>
      <c r="AE437">
        <v>0</v>
      </c>
      <c r="AQ437">
        <v>182376</v>
      </c>
      <c r="AR437" t="b">
        <v>1</v>
      </c>
      <c r="AS437" t="b">
        <v>1</v>
      </c>
      <c r="AT437" t="b">
        <v>1</v>
      </c>
      <c r="AU437" t="b">
        <v>1</v>
      </c>
      <c r="AV437" t="b">
        <v>1</v>
      </c>
      <c r="AW437" t="b">
        <v>1</v>
      </c>
      <c r="AX437" t="b">
        <v>1</v>
      </c>
      <c r="BA437" t="s">
        <v>437</v>
      </c>
    </row>
    <row r="438" spans="1:53" x14ac:dyDescent="0.25">
      <c r="A438" t="s">
        <v>386</v>
      </c>
      <c r="B438">
        <v>3</v>
      </c>
      <c r="C438">
        <v>25</v>
      </c>
      <c r="D438">
        <v>1</v>
      </c>
      <c r="E438">
        <v>58062090</v>
      </c>
      <c r="F438">
        <v>262938</v>
      </c>
      <c r="G438" t="s">
        <v>321</v>
      </c>
      <c r="H438" t="s">
        <v>60</v>
      </c>
      <c r="I438" t="s">
        <v>60</v>
      </c>
      <c r="J438" t="s">
        <v>60</v>
      </c>
      <c r="K438" t="s">
        <v>60</v>
      </c>
      <c r="L438" t="s">
        <v>59</v>
      </c>
      <c r="M438">
        <v>0.19500000000000001</v>
      </c>
      <c r="P438">
        <v>40</v>
      </c>
      <c r="Q438" t="s">
        <v>80</v>
      </c>
      <c r="R438" t="s">
        <v>418</v>
      </c>
      <c r="S438" t="s">
        <v>365</v>
      </c>
      <c r="T438" t="s">
        <v>336</v>
      </c>
      <c r="V438">
        <v>0</v>
      </c>
      <c r="Y438">
        <v>0</v>
      </c>
      <c r="Z438">
        <v>0</v>
      </c>
      <c r="AA438">
        <v>0</v>
      </c>
      <c r="AB438">
        <v>31980</v>
      </c>
      <c r="AC438">
        <v>0</v>
      </c>
      <c r="AD438">
        <v>0</v>
      </c>
      <c r="AE438">
        <v>0</v>
      </c>
      <c r="AQ438">
        <v>182376</v>
      </c>
      <c r="AR438" t="b">
        <v>1</v>
      </c>
      <c r="AS438" t="b">
        <v>1</v>
      </c>
      <c r="AT438" t="b">
        <v>1</v>
      </c>
      <c r="AU438" t="b">
        <v>1</v>
      </c>
      <c r="AV438" t="b">
        <v>1</v>
      </c>
      <c r="AW438" t="b">
        <v>1</v>
      </c>
      <c r="AX438" t="b">
        <v>1</v>
      </c>
      <c r="BA438" t="s">
        <v>437</v>
      </c>
    </row>
    <row r="439" spans="1:53" x14ac:dyDescent="0.25">
      <c r="A439" t="s">
        <v>386</v>
      </c>
      <c r="B439">
        <v>3</v>
      </c>
      <c r="C439">
        <v>26</v>
      </c>
      <c r="D439">
        <v>1</v>
      </c>
      <c r="E439">
        <v>48211090</v>
      </c>
      <c r="F439">
        <v>297274</v>
      </c>
      <c r="G439" t="s">
        <v>315</v>
      </c>
      <c r="H439" t="s">
        <v>60</v>
      </c>
      <c r="I439" t="s">
        <v>60</v>
      </c>
      <c r="J439" t="s">
        <v>60</v>
      </c>
      <c r="K439" t="s">
        <v>60</v>
      </c>
      <c r="L439" t="s">
        <v>12</v>
      </c>
      <c r="M439">
        <v>50</v>
      </c>
      <c r="P439">
        <v>40</v>
      </c>
      <c r="Q439" t="s">
        <v>80</v>
      </c>
      <c r="R439" t="s">
        <v>415</v>
      </c>
      <c r="S439" t="s">
        <v>363</v>
      </c>
      <c r="T439" t="s">
        <v>333</v>
      </c>
      <c r="V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Q439">
        <v>182376</v>
      </c>
      <c r="AR439" t="b">
        <v>1</v>
      </c>
      <c r="AS439" t="b">
        <v>1</v>
      </c>
      <c r="AT439" t="b">
        <v>1</v>
      </c>
      <c r="AU439" t="b">
        <v>1</v>
      </c>
      <c r="AV439" t="b">
        <v>1</v>
      </c>
      <c r="AW439" t="b">
        <v>1</v>
      </c>
      <c r="AX439" t="b">
        <v>1</v>
      </c>
      <c r="BA439" t="s">
        <v>437</v>
      </c>
    </row>
    <row r="440" spans="1:53" x14ac:dyDescent="0.25">
      <c r="A440" t="s">
        <v>386</v>
      </c>
      <c r="B440">
        <v>3</v>
      </c>
      <c r="C440">
        <v>27</v>
      </c>
      <c r="D440">
        <v>1</v>
      </c>
      <c r="E440">
        <v>48211090</v>
      </c>
      <c r="F440">
        <v>297275</v>
      </c>
      <c r="G440" t="s">
        <v>316</v>
      </c>
      <c r="H440" t="s">
        <v>60</v>
      </c>
      <c r="I440" t="s">
        <v>60</v>
      </c>
      <c r="J440" t="s">
        <v>60</v>
      </c>
      <c r="K440" t="s">
        <v>60</v>
      </c>
      <c r="L440" t="s">
        <v>12</v>
      </c>
      <c r="M440">
        <v>7.5</v>
      </c>
      <c r="P440">
        <v>40</v>
      </c>
      <c r="Q440" t="s">
        <v>80</v>
      </c>
      <c r="R440" t="s">
        <v>415</v>
      </c>
      <c r="S440" t="s">
        <v>363</v>
      </c>
      <c r="T440" t="s">
        <v>333</v>
      </c>
      <c r="V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Q440">
        <v>182376</v>
      </c>
      <c r="AR440" t="b">
        <v>1</v>
      </c>
      <c r="AS440" t="b">
        <v>1</v>
      </c>
      <c r="AT440" t="b">
        <v>1</v>
      </c>
      <c r="AU440" t="b">
        <v>1</v>
      </c>
      <c r="AV440" t="b">
        <v>1</v>
      </c>
      <c r="AW440" t="b">
        <v>1</v>
      </c>
      <c r="AX440" t="b">
        <v>1</v>
      </c>
      <c r="BA440" t="s">
        <v>437</v>
      </c>
    </row>
    <row r="441" spans="1:53" x14ac:dyDescent="0.25">
      <c r="A441" t="s">
        <v>386</v>
      </c>
      <c r="B441">
        <v>3</v>
      </c>
      <c r="C441">
        <v>28</v>
      </c>
      <c r="D441">
        <v>1</v>
      </c>
      <c r="E441">
        <v>48211090</v>
      </c>
      <c r="F441">
        <v>297276</v>
      </c>
      <c r="G441" t="s">
        <v>317</v>
      </c>
      <c r="H441" t="s">
        <v>60</v>
      </c>
      <c r="I441" t="s">
        <v>60</v>
      </c>
      <c r="J441" t="s">
        <v>60</v>
      </c>
      <c r="K441" t="s">
        <v>60</v>
      </c>
      <c r="L441" t="s">
        <v>12</v>
      </c>
      <c r="M441">
        <v>17.5</v>
      </c>
      <c r="P441">
        <v>40</v>
      </c>
      <c r="Q441" t="s">
        <v>80</v>
      </c>
      <c r="R441" t="s">
        <v>415</v>
      </c>
      <c r="S441" t="s">
        <v>363</v>
      </c>
      <c r="T441" t="s">
        <v>333</v>
      </c>
      <c r="V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Q441">
        <v>182376</v>
      </c>
      <c r="AR441" t="b">
        <v>1</v>
      </c>
      <c r="AS441" t="b">
        <v>1</v>
      </c>
      <c r="AT441" t="b">
        <v>1</v>
      </c>
      <c r="AU441" t="b">
        <v>1</v>
      </c>
      <c r="AV441" t="b">
        <v>1</v>
      </c>
      <c r="AW441" t="b">
        <v>1</v>
      </c>
      <c r="AX441" t="b">
        <v>1</v>
      </c>
      <c r="BA441" t="s">
        <v>437</v>
      </c>
    </row>
    <row r="442" spans="1:53" x14ac:dyDescent="0.25">
      <c r="A442" t="s">
        <v>386</v>
      </c>
      <c r="B442">
        <v>3</v>
      </c>
      <c r="C442">
        <v>29</v>
      </c>
      <c r="D442">
        <v>1</v>
      </c>
      <c r="E442">
        <v>48211090</v>
      </c>
      <c r="F442">
        <v>297277</v>
      </c>
      <c r="G442" t="s">
        <v>318</v>
      </c>
      <c r="H442" t="s">
        <v>60</v>
      </c>
      <c r="I442" t="s">
        <v>60</v>
      </c>
      <c r="J442" t="s">
        <v>60</v>
      </c>
      <c r="K442" t="s">
        <v>60</v>
      </c>
      <c r="L442" t="s">
        <v>12</v>
      </c>
      <c r="M442">
        <v>12.5</v>
      </c>
      <c r="P442">
        <v>40</v>
      </c>
      <c r="Q442" t="s">
        <v>80</v>
      </c>
      <c r="R442" t="s">
        <v>415</v>
      </c>
      <c r="S442" t="s">
        <v>363</v>
      </c>
      <c r="T442" t="s">
        <v>333</v>
      </c>
      <c r="V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Q442">
        <v>182376</v>
      </c>
      <c r="AR442" t="b">
        <v>1</v>
      </c>
      <c r="AS442" t="b">
        <v>1</v>
      </c>
      <c r="AT442" t="b">
        <v>1</v>
      </c>
      <c r="AU442" t="b">
        <v>1</v>
      </c>
      <c r="AV442" t="b">
        <v>1</v>
      </c>
      <c r="AW442" t="b">
        <v>1</v>
      </c>
      <c r="AX442" t="b">
        <v>1</v>
      </c>
      <c r="BA442" t="s">
        <v>437</v>
      </c>
    </row>
    <row r="443" spans="1:53" x14ac:dyDescent="0.25">
      <c r="A443" t="s">
        <v>386</v>
      </c>
      <c r="B443">
        <v>3</v>
      </c>
      <c r="C443">
        <v>30</v>
      </c>
      <c r="D443">
        <v>1</v>
      </c>
      <c r="E443">
        <v>48211090</v>
      </c>
      <c r="F443">
        <v>297278</v>
      </c>
      <c r="G443" t="s">
        <v>319</v>
      </c>
      <c r="H443" t="s">
        <v>60</v>
      </c>
      <c r="I443" t="s">
        <v>60</v>
      </c>
      <c r="J443" t="s">
        <v>60</v>
      </c>
      <c r="K443" t="s">
        <v>60</v>
      </c>
      <c r="L443" t="s">
        <v>12</v>
      </c>
      <c r="M443">
        <v>12.5</v>
      </c>
      <c r="P443">
        <v>40</v>
      </c>
      <c r="Q443" t="s">
        <v>80</v>
      </c>
      <c r="R443" t="s">
        <v>415</v>
      </c>
      <c r="S443" t="s">
        <v>363</v>
      </c>
      <c r="T443" t="s">
        <v>333</v>
      </c>
      <c r="V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Q443">
        <v>182376</v>
      </c>
      <c r="AR443" t="b">
        <v>1</v>
      </c>
      <c r="AS443" t="b">
        <v>1</v>
      </c>
      <c r="AT443" t="b">
        <v>1</v>
      </c>
      <c r="AU443" t="b">
        <v>1</v>
      </c>
      <c r="AV443" t="b">
        <v>1</v>
      </c>
      <c r="AW443" t="b">
        <v>1</v>
      </c>
      <c r="AX443" t="b">
        <v>1</v>
      </c>
      <c r="BA443" t="s">
        <v>437</v>
      </c>
    </row>
    <row r="444" spans="1:53" x14ac:dyDescent="0.25">
      <c r="A444" t="s">
        <v>386</v>
      </c>
      <c r="B444">
        <v>3</v>
      </c>
      <c r="C444">
        <v>31</v>
      </c>
      <c r="D444">
        <v>1</v>
      </c>
      <c r="E444">
        <v>52081900</v>
      </c>
      <c r="F444">
        <v>274799</v>
      </c>
      <c r="G444" t="s">
        <v>311</v>
      </c>
      <c r="H444" t="s">
        <v>60</v>
      </c>
      <c r="I444" t="s">
        <v>60</v>
      </c>
      <c r="J444" t="s">
        <v>60</v>
      </c>
      <c r="K444" t="s">
        <v>60</v>
      </c>
      <c r="L444" t="s">
        <v>27</v>
      </c>
      <c r="M444">
        <v>1.45</v>
      </c>
      <c r="P444">
        <v>40</v>
      </c>
      <c r="Q444" t="s">
        <v>80</v>
      </c>
      <c r="R444" t="s">
        <v>409</v>
      </c>
      <c r="S444" t="s">
        <v>358</v>
      </c>
      <c r="T444" t="s">
        <v>327</v>
      </c>
      <c r="V444">
        <v>0</v>
      </c>
      <c r="Y444">
        <v>0</v>
      </c>
      <c r="Z444">
        <v>0</v>
      </c>
      <c r="AA444">
        <v>0</v>
      </c>
      <c r="AB444">
        <v>1391541.57</v>
      </c>
      <c r="AC444">
        <v>0</v>
      </c>
      <c r="AD444">
        <v>0</v>
      </c>
      <c r="AE444">
        <v>0</v>
      </c>
      <c r="AQ444">
        <v>182376</v>
      </c>
      <c r="AR444" t="b">
        <v>1</v>
      </c>
      <c r="AS444" t="b">
        <v>1</v>
      </c>
      <c r="AT444" t="b">
        <v>1</v>
      </c>
      <c r="AU444" t="b">
        <v>1</v>
      </c>
      <c r="AV444" t="b">
        <v>1</v>
      </c>
      <c r="AW444" t="b">
        <v>1</v>
      </c>
      <c r="AX444" t="b">
        <v>1</v>
      </c>
      <c r="BA444" t="s">
        <v>437</v>
      </c>
    </row>
    <row r="445" spans="1:53" x14ac:dyDescent="0.25">
      <c r="A445" t="s">
        <v>386</v>
      </c>
      <c r="B445">
        <v>3</v>
      </c>
      <c r="C445">
        <v>32</v>
      </c>
      <c r="D445">
        <v>1</v>
      </c>
      <c r="E445">
        <v>52081900</v>
      </c>
      <c r="F445">
        <v>275340</v>
      </c>
      <c r="G445" t="s">
        <v>312</v>
      </c>
      <c r="H445" t="s">
        <v>60</v>
      </c>
      <c r="I445" t="s">
        <v>60</v>
      </c>
      <c r="J445" t="s">
        <v>60</v>
      </c>
      <c r="K445" t="s">
        <v>60</v>
      </c>
      <c r="L445" t="s">
        <v>27</v>
      </c>
      <c r="M445">
        <v>1.45</v>
      </c>
      <c r="P445">
        <v>40</v>
      </c>
      <c r="Q445" t="s">
        <v>80</v>
      </c>
      <c r="R445" t="s">
        <v>410</v>
      </c>
      <c r="S445" t="s">
        <v>359</v>
      </c>
      <c r="T445" t="s">
        <v>328</v>
      </c>
      <c r="V445">
        <v>0</v>
      </c>
      <c r="Y445">
        <v>0</v>
      </c>
      <c r="Z445">
        <v>0</v>
      </c>
      <c r="AA445">
        <v>0</v>
      </c>
      <c r="AB445">
        <v>1391541.57</v>
      </c>
      <c r="AC445">
        <v>0</v>
      </c>
      <c r="AD445">
        <v>0</v>
      </c>
      <c r="AE445">
        <v>0</v>
      </c>
      <c r="AQ445">
        <v>182376</v>
      </c>
      <c r="AR445" t="b">
        <v>1</v>
      </c>
      <c r="AS445" t="b">
        <v>1</v>
      </c>
      <c r="AT445" t="b">
        <v>1</v>
      </c>
      <c r="AU445" t="b">
        <v>1</v>
      </c>
      <c r="AV445" t="b">
        <v>1</v>
      </c>
      <c r="AW445" t="b">
        <v>1</v>
      </c>
      <c r="AX445" t="b">
        <v>1</v>
      </c>
      <c r="BA445" t="s">
        <v>437</v>
      </c>
    </row>
    <row r="446" spans="1:53" x14ac:dyDescent="0.25">
      <c r="A446" t="s">
        <v>386</v>
      </c>
      <c r="B446">
        <v>3</v>
      </c>
      <c r="C446">
        <v>33</v>
      </c>
      <c r="D446">
        <v>1</v>
      </c>
      <c r="E446">
        <v>58062090</v>
      </c>
      <c r="F446">
        <v>262938</v>
      </c>
      <c r="G446" t="s">
        <v>320</v>
      </c>
      <c r="H446" t="s">
        <v>60</v>
      </c>
      <c r="I446" t="s">
        <v>60</v>
      </c>
      <c r="J446" t="s">
        <v>60</v>
      </c>
      <c r="K446" t="s">
        <v>60</v>
      </c>
      <c r="L446" t="s">
        <v>59</v>
      </c>
      <c r="M446">
        <v>9.8750000000000004E-2</v>
      </c>
      <c r="P446">
        <v>40</v>
      </c>
      <c r="Q446" t="s">
        <v>80</v>
      </c>
      <c r="R446" t="s">
        <v>416</v>
      </c>
      <c r="S446" t="s">
        <v>360</v>
      </c>
      <c r="T446" t="s">
        <v>334</v>
      </c>
      <c r="V446">
        <v>0</v>
      </c>
      <c r="Y446">
        <v>0</v>
      </c>
      <c r="Z446">
        <v>0</v>
      </c>
      <c r="AA446">
        <v>0</v>
      </c>
      <c r="AB446">
        <v>32390</v>
      </c>
      <c r="AC446">
        <v>0</v>
      </c>
      <c r="AD446">
        <v>0</v>
      </c>
      <c r="AE446">
        <v>0</v>
      </c>
      <c r="AQ446">
        <v>182376</v>
      </c>
      <c r="AR446" t="b">
        <v>1</v>
      </c>
      <c r="AS446" t="b">
        <v>1</v>
      </c>
      <c r="AT446" t="b">
        <v>1</v>
      </c>
      <c r="AU446" t="b">
        <v>1</v>
      </c>
      <c r="AV446" t="b">
        <v>1</v>
      </c>
      <c r="AW446" t="b">
        <v>1</v>
      </c>
      <c r="AX446" t="b">
        <v>1</v>
      </c>
      <c r="BA446" t="s">
        <v>437</v>
      </c>
    </row>
    <row r="447" spans="1:53" x14ac:dyDescent="0.25">
      <c r="A447" t="s">
        <v>386</v>
      </c>
      <c r="B447">
        <v>3</v>
      </c>
      <c r="C447">
        <v>34</v>
      </c>
      <c r="D447">
        <v>1</v>
      </c>
      <c r="E447">
        <v>58061090</v>
      </c>
      <c r="F447">
        <v>262938</v>
      </c>
      <c r="G447" t="s">
        <v>320</v>
      </c>
      <c r="H447" t="s">
        <v>60</v>
      </c>
      <c r="I447" t="s">
        <v>60</v>
      </c>
      <c r="J447" t="s">
        <v>60</v>
      </c>
      <c r="K447" t="s">
        <v>60</v>
      </c>
      <c r="L447" t="s">
        <v>59</v>
      </c>
      <c r="M447">
        <v>0.05</v>
      </c>
      <c r="P447">
        <v>40</v>
      </c>
      <c r="Q447" t="s">
        <v>80</v>
      </c>
      <c r="R447" t="s">
        <v>417</v>
      </c>
      <c r="S447" t="s">
        <v>364</v>
      </c>
      <c r="T447" t="s">
        <v>335</v>
      </c>
      <c r="V447">
        <v>0</v>
      </c>
      <c r="Y447">
        <v>0</v>
      </c>
      <c r="Z447">
        <v>0</v>
      </c>
      <c r="AA447">
        <v>0</v>
      </c>
      <c r="AB447">
        <v>16400</v>
      </c>
      <c r="AC447">
        <v>0</v>
      </c>
      <c r="AD447">
        <v>0</v>
      </c>
      <c r="AE447">
        <v>0</v>
      </c>
      <c r="AQ447">
        <v>182376</v>
      </c>
      <c r="AR447" t="b">
        <v>1</v>
      </c>
      <c r="AS447" t="b">
        <v>1</v>
      </c>
      <c r="AT447" t="b">
        <v>1</v>
      </c>
      <c r="AU447" t="b">
        <v>1</v>
      </c>
      <c r="AV447" t="b">
        <v>1</v>
      </c>
      <c r="AW447" t="b">
        <v>1</v>
      </c>
      <c r="AX447" t="b">
        <v>1</v>
      </c>
      <c r="BA447" t="s">
        <v>437</v>
      </c>
    </row>
    <row r="448" spans="1:53" x14ac:dyDescent="0.25">
      <c r="A448" t="s">
        <v>386</v>
      </c>
      <c r="B448">
        <v>3</v>
      </c>
      <c r="C448">
        <v>35</v>
      </c>
      <c r="D448">
        <v>1</v>
      </c>
      <c r="E448">
        <v>58062090</v>
      </c>
      <c r="F448">
        <v>262938</v>
      </c>
      <c r="G448" t="s">
        <v>321</v>
      </c>
      <c r="H448" t="s">
        <v>60</v>
      </c>
      <c r="I448" t="s">
        <v>60</v>
      </c>
      <c r="J448" t="s">
        <v>60</v>
      </c>
      <c r="K448" t="s">
        <v>60</v>
      </c>
      <c r="L448" t="s">
        <v>59</v>
      </c>
      <c r="M448">
        <v>9.7500000000000003E-2</v>
      </c>
      <c r="P448">
        <v>40</v>
      </c>
      <c r="Q448" t="s">
        <v>80</v>
      </c>
      <c r="R448" t="s">
        <v>418</v>
      </c>
      <c r="S448" t="s">
        <v>365</v>
      </c>
      <c r="T448" t="s">
        <v>336</v>
      </c>
      <c r="V448">
        <v>0</v>
      </c>
      <c r="Y448">
        <v>0</v>
      </c>
      <c r="Z448">
        <v>0</v>
      </c>
      <c r="AA448">
        <v>0</v>
      </c>
      <c r="AB448">
        <v>31980</v>
      </c>
      <c r="AC448">
        <v>0</v>
      </c>
      <c r="AD448">
        <v>0</v>
      </c>
      <c r="AE448">
        <v>0</v>
      </c>
      <c r="AQ448">
        <v>182376</v>
      </c>
      <c r="AR448" t="b">
        <v>1</v>
      </c>
      <c r="AS448" t="b">
        <v>1</v>
      </c>
      <c r="AT448" t="b">
        <v>1</v>
      </c>
      <c r="AU448" t="b">
        <v>1</v>
      </c>
      <c r="AV448" t="b">
        <v>1</v>
      </c>
      <c r="AW448" t="b">
        <v>1</v>
      </c>
      <c r="AX448" t="b">
        <v>1</v>
      </c>
      <c r="BA448" t="s">
        <v>437</v>
      </c>
    </row>
    <row r="449" spans="1:53" x14ac:dyDescent="0.25">
      <c r="A449" t="s">
        <v>386</v>
      </c>
      <c r="B449">
        <v>3</v>
      </c>
      <c r="C449">
        <v>36</v>
      </c>
      <c r="D449">
        <v>1</v>
      </c>
      <c r="E449">
        <v>48211090</v>
      </c>
      <c r="F449">
        <v>297274</v>
      </c>
      <c r="G449" t="s">
        <v>315</v>
      </c>
      <c r="H449" t="s">
        <v>60</v>
      </c>
      <c r="I449" t="s">
        <v>60</v>
      </c>
      <c r="J449" t="s">
        <v>60</v>
      </c>
      <c r="K449" t="s">
        <v>60</v>
      </c>
      <c r="L449" t="s">
        <v>12</v>
      </c>
      <c r="M449">
        <v>25</v>
      </c>
      <c r="P449">
        <v>40</v>
      </c>
      <c r="Q449" t="s">
        <v>80</v>
      </c>
      <c r="R449" t="s">
        <v>415</v>
      </c>
      <c r="S449" t="s">
        <v>363</v>
      </c>
      <c r="T449" t="s">
        <v>333</v>
      </c>
      <c r="V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Q449">
        <v>182376</v>
      </c>
      <c r="AR449" t="b">
        <v>1</v>
      </c>
      <c r="AS449" t="b">
        <v>1</v>
      </c>
      <c r="AT449" t="b">
        <v>1</v>
      </c>
      <c r="AU449" t="b">
        <v>1</v>
      </c>
      <c r="AV449" t="b">
        <v>1</v>
      </c>
      <c r="AW449" t="b">
        <v>1</v>
      </c>
      <c r="AX449" t="b">
        <v>1</v>
      </c>
      <c r="BA449" t="s">
        <v>437</v>
      </c>
    </row>
    <row r="450" spans="1:53" x14ac:dyDescent="0.25">
      <c r="A450" t="s">
        <v>386</v>
      </c>
      <c r="B450">
        <v>3</v>
      </c>
      <c r="C450">
        <v>37</v>
      </c>
      <c r="D450">
        <v>1</v>
      </c>
      <c r="E450">
        <v>48211090</v>
      </c>
      <c r="F450">
        <v>297275</v>
      </c>
      <c r="G450" t="s">
        <v>316</v>
      </c>
      <c r="H450" t="s">
        <v>60</v>
      </c>
      <c r="I450" t="s">
        <v>60</v>
      </c>
      <c r="J450" t="s">
        <v>60</v>
      </c>
      <c r="K450" t="s">
        <v>60</v>
      </c>
      <c r="L450" t="s">
        <v>12</v>
      </c>
      <c r="M450">
        <v>3.75</v>
      </c>
      <c r="P450">
        <v>40</v>
      </c>
      <c r="Q450" t="s">
        <v>80</v>
      </c>
      <c r="R450" t="s">
        <v>415</v>
      </c>
      <c r="S450" t="s">
        <v>363</v>
      </c>
      <c r="T450" t="s">
        <v>333</v>
      </c>
      <c r="V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Q450">
        <v>182376</v>
      </c>
      <c r="AR450" t="b">
        <v>1</v>
      </c>
      <c r="AS450" t="b">
        <v>1</v>
      </c>
      <c r="AT450" t="b">
        <v>1</v>
      </c>
      <c r="AU450" t="b">
        <v>1</v>
      </c>
      <c r="AV450" t="b">
        <v>1</v>
      </c>
      <c r="AW450" t="b">
        <v>1</v>
      </c>
      <c r="AX450" t="b">
        <v>1</v>
      </c>
      <c r="BA450" t="s">
        <v>437</v>
      </c>
    </row>
    <row r="451" spans="1:53" x14ac:dyDescent="0.25">
      <c r="A451" t="s">
        <v>386</v>
      </c>
      <c r="B451">
        <v>3</v>
      </c>
      <c r="C451">
        <v>38</v>
      </c>
      <c r="D451">
        <v>1</v>
      </c>
      <c r="E451">
        <v>48211090</v>
      </c>
      <c r="F451">
        <v>297276</v>
      </c>
      <c r="G451" t="s">
        <v>317</v>
      </c>
      <c r="H451" t="s">
        <v>60</v>
      </c>
      <c r="I451" t="s">
        <v>60</v>
      </c>
      <c r="J451" t="s">
        <v>60</v>
      </c>
      <c r="K451" t="s">
        <v>60</v>
      </c>
      <c r="L451" t="s">
        <v>12</v>
      </c>
      <c r="M451">
        <v>8.75</v>
      </c>
      <c r="P451">
        <v>40</v>
      </c>
      <c r="Q451" t="s">
        <v>80</v>
      </c>
      <c r="R451" t="s">
        <v>415</v>
      </c>
      <c r="S451" t="s">
        <v>363</v>
      </c>
      <c r="T451" t="s">
        <v>333</v>
      </c>
      <c r="V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Q451">
        <v>182376</v>
      </c>
      <c r="AR451" t="b">
        <v>1</v>
      </c>
      <c r="AS451" t="b">
        <v>1</v>
      </c>
      <c r="AT451" t="b">
        <v>1</v>
      </c>
      <c r="AU451" t="b">
        <v>1</v>
      </c>
      <c r="AV451" t="b">
        <v>1</v>
      </c>
      <c r="AW451" t="b">
        <v>1</v>
      </c>
      <c r="AX451" t="b">
        <v>1</v>
      </c>
      <c r="BA451" t="s">
        <v>437</v>
      </c>
    </row>
    <row r="452" spans="1:53" x14ac:dyDescent="0.25">
      <c r="A452" t="s">
        <v>386</v>
      </c>
      <c r="B452">
        <v>3</v>
      </c>
      <c r="C452">
        <v>39</v>
      </c>
      <c r="D452">
        <v>1</v>
      </c>
      <c r="E452">
        <v>48211090</v>
      </c>
      <c r="F452">
        <v>297277</v>
      </c>
      <c r="G452" t="s">
        <v>318</v>
      </c>
      <c r="H452" t="s">
        <v>60</v>
      </c>
      <c r="I452" t="s">
        <v>60</v>
      </c>
      <c r="J452" t="s">
        <v>60</v>
      </c>
      <c r="K452" t="s">
        <v>60</v>
      </c>
      <c r="L452" t="s">
        <v>12</v>
      </c>
      <c r="M452">
        <v>6.25</v>
      </c>
      <c r="P452">
        <v>40</v>
      </c>
      <c r="Q452" t="s">
        <v>80</v>
      </c>
      <c r="R452" t="s">
        <v>415</v>
      </c>
      <c r="S452" t="s">
        <v>363</v>
      </c>
      <c r="T452" t="s">
        <v>333</v>
      </c>
      <c r="V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Q452">
        <v>182376</v>
      </c>
      <c r="AR452" t="b">
        <v>1</v>
      </c>
      <c r="AS452" t="b">
        <v>1</v>
      </c>
      <c r="AT452" t="b">
        <v>1</v>
      </c>
      <c r="AU452" t="b">
        <v>1</v>
      </c>
      <c r="AV452" t="b">
        <v>1</v>
      </c>
      <c r="AW452" t="b">
        <v>1</v>
      </c>
      <c r="AX452" t="b">
        <v>1</v>
      </c>
      <c r="BA452" t="s">
        <v>437</v>
      </c>
    </row>
    <row r="453" spans="1:53" x14ac:dyDescent="0.25">
      <c r="A453" t="s">
        <v>386</v>
      </c>
      <c r="B453">
        <v>3</v>
      </c>
      <c r="C453">
        <v>40</v>
      </c>
      <c r="D453">
        <v>1</v>
      </c>
      <c r="E453">
        <v>48211090</v>
      </c>
      <c r="F453">
        <v>297278</v>
      </c>
      <c r="G453" t="s">
        <v>319</v>
      </c>
      <c r="H453" t="s">
        <v>60</v>
      </c>
      <c r="I453" t="s">
        <v>60</v>
      </c>
      <c r="J453" t="s">
        <v>60</v>
      </c>
      <c r="K453" t="s">
        <v>60</v>
      </c>
      <c r="L453" t="s">
        <v>12</v>
      </c>
      <c r="M453">
        <v>6.25</v>
      </c>
      <c r="P453">
        <v>40</v>
      </c>
      <c r="Q453" t="s">
        <v>80</v>
      </c>
      <c r="R453" t="s">
        <v>415</v>
      </c>
      <c r="S453" t="s">
        <v>363</v>
      </c>
      <c r="T453" t="s">
        <v>333</v>
      </c>
      <c r="V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Q453">
        <v>182376</v>
      </c>
      <c r="AR453" t="b">
        <v>1</v>
      </c>
      <c r="AS453" t="b">
        <v>1</v>
      </c>
      <c r="AT453" t="b">
        <v>1</v>
      </c>
      <c r="AU453" t="b">
        <v>1</v>
      </c>
      <c r="AV453" t="b">
        <v>1</v>
      </c>
      <c r="AW453" t="b">
        <v>1</v>
      </c>
      <c r="AX453" t="b">
        <v>1</v>
      </c>
      <c r="BA453" t="s">
        <v>437</v>
      </c>
    </row>
    <row r="454" spans="1:53" x14ac:dyDescent="0.25">
      <c r="A454" t="s">
        <v>386</v>
      </c>
      <c r="B454">
        <v>5</v>
      </c>
      <c r="C454">
        <v>1</v>
      </c>
      <c r="D454">
        <v>1</v>
      </c>
      <c r="E454">
        <v>52081900</v>
      </c>
      <c r="F454">
        <v>274799</v>
      </c>
      <c r="G454" t="s">
        <v>311</v>
      </c>
      <c r="H454" t="s">
        <v>60</v>
      </c>
      <c r="I454" t="s">
        <v>60</v>
      </c>
      <c r="J454" t="s">
        <v>60</v>
      </c>
      <c r="K454" t="s">
        <v>60</v>
      </c>
      <c r="L454" t="s">
        <v>27</v>
      </c>
      <c r="M454">
        <v>6</v>
      </c>
      <c r="P454">
        <v>40</v>
      </c>
      <c r="Q454" t="s">
        <v>80</v>
      </c>
      <c r="R454" t="s">
        <v>409</v>
      </c>
      <c r="S454" t="s">
        <v>358</v>
      </c>
      <c r="T454" t="s">
        <v>327</v>
      </c>
      <c r="V454">
        <v>0</v>
      </c>
      <c r="Y454">
        <v>0</v>
      </c>
      <c r="Z454">
        <v>0</v>
      </c>
      <c r="AA454">
        <v>0</v>
      </c>
      <c r="AB454">
        <v>1439525.76</v>
      </c>
      <c r="AC454">
        <v>0</v>
      </c>
      <c r="AD454">
        <v>0</v>
      </c>
      <c r="AE454">
        <v>0</v>
      </c>
      <c r="AQ454">
        <v>182377</v>
      </c>
      <c r="AR454" t="b">
        <v>1</v>
      </c>
      <c r="AS454" t="b">
        <v>1</v>
      </c>
      <c r="AT454" t="b">
        <v>1</v>
      </c>
      <c r="AU454" t="b">
        <v>1</v>
      </c>
      <c r="AV454" t="b">
        <v>1</v>
      </c>
      <c r="AW454" t="b">
        <v>1</v>
      </c>
      <c r="AX454" t="b">
        <v>1</v>
      </c>
      <c r="BA454" t="s">
        <v>438</v>
      </c>
    </row>
    <row r="455" spans="1:53" x14ac:dyDescent="0.25">
      <c r="A455" t="s">
        <v>386</v>
      </c>
      <c r="B455">
        <v>5</v>
      </c>
      <c r="C455">
        <v>2</v>
      </c>
      <c r="D455">
        <v>1</v>
      </c>
      <c r="E455">
        <v>52081900</v>
      </c>
      <c r="F455">
        <v>275340</v>
      </c>
      <c r="G455" t="s">
        <v>312</v>
      </c>
      <c r="H455" t="s">
        <v>60</v>
      </c>
      <c r="I455" t="s">
        <v>60</v>
      </c>
      <c r="J455" t="s">
        <v>60</v>
      </c>
      <c r="K455" t="s">
        <v>60</v>
      </c>
      <c r="L455" t="s">
        <v>27</v>
      </c>
      <c r="M455">
        <v>6</v>
      </c>
      <c r="P455">
        <v>40</v>
      </c>
      <c r="Q455" t="s">
        <v>80</v>
      </c>
      <c r="R455" t="s">
        <v>410</v>
      </c>
      <c r="S455" t="s">
        <v>359</v>
      </c>
      <c r="T455" t="s">
        <v>328</v>
      </c>
      <c r="V455">
        <v>0</v>
      </c>
      <c r="Y455">
        <v>0</v>
      </c>
      <c r="Z455">
        <v>0</v>
      </c>
      <c r="AA455">
        <v>0</v>
      </c>
      <c r="AB455">
        <v>1439525.76</v>
      </c>
      <c r="AC455">
        <v>0</v>
      </c>
      <c r="AD455">
        <v>0</v>
      </c>
      <c r="AE455">
        <v>0</v>
      </c>
      <c r="AQ455">
        <v>182377</v>
      </c>
      <c r="AR455" t="b">
        <v>1</v>
      </c>
      <c r="AS455" t="b">
        <v>1</v>
      </c>
      <c r="AT455" t="b">
        <v>1</v>
      </c>
      <c r="AU455" t="b">
        <v>1</v>
      </c>
      <c r="AV455" t="b">
        <v>1</v>
      </c>
      <c r="AW455" t="b">
        <v>1</v>
      </c>
      <c r="AX455" t="b">
        <v>1</v>
      </c>
      <c r="BA455" t="s">
        <v>438</v>
      </c>
    </row>
    <row r="456" spans="1:53" x14ac:dyDescent="0.25">
      <c r="A456" t="s">
        <v>386</v>
      </c>
      <c r="B456">
        <v>5</v>
      </c>
      <c r="C456">
        <v>3</v>
      </c>
      <c r="D456">
        <v>1</v>
      </c>
      <c r="E456">
        <v>58062090</v>
      </c>
      <c r="F456">
        <v>262938</v>
      </c>
      <c r="G456" t="s">
        <v>322</v>
      </c>
      <c r="H456" t="s">
        <v>60</v>
      </c>
      <c r="I456" t="s">
        <v>60</v>
      </c>
      <c r="J456" t="s">
        <v>60</v>
      </c>
      <c r="K456" t="s">
        <v>60</v>
      </c>
      <c r="L456" t="s">
        <v>59</v>
      </c>
      <c r="M456">
        <v>5.0000000000000001E-3</v>
      </c>
      <c r="P456">
        <v>40</v>
      </c>
      <c r="Q456" t="s">
        <v>80</v>
      </c>
      <c r="R456" t="s">
        <v>419</v>
      </c>
      <c r="S456" t="s">
        <v>366</v>
      </c>
      <c r="T456" t="s">
        <v>337</v>
      </c>
      <c r="V456">
        <v>0</v>
      </c>
      <c r="Y456">
        <v>0</v>
      </c>
      <c r="Z456">
        <v>0</v>
      </c>
      <c r="AA456">
        <v>0</v>
      </c>
      <c r="AB456">
        <v>390</v>
      </c>
      <c r="AC456">
        <v>0</v>
      </c>
      <c r="AD456">
        <v>0</v>
      </c>
      <c r="AE456">
        <v>0</v>
      </c>
      <c r="AQ456">
        <v>182377</v>
      </c>
      <c r="AR456" t="b">
        <v>1</v>
      </c>
      <c r="AS456" t="b">
        <v>1</v>
      </c>
      <c r="AT456" t="b">
        <v>1</v>
      </c>
      <c r="AU456" t="b">
        <v>1</v>
      </c>
      <c r="AV456" t="b">
        <v>1</v>
      </c>
      <c r="AW456" t="b">
        <v>1</v>
      </c>
      <c r="AX456" t="b">
        <v>1</v>
      </c>
      <c r="BA456" t="s">
        <v>438</v>
      </c>
    </row>
    <row r="457" spans="1:53" x14ac:dyDescent="0.25">
      <c r="A457" t="s">
        <v>386</v>
      </c>
      <c r="B457">
        <v>5</v>
      </c>
      <c r="C457">
        <v>4</v>
      </c>
      <c r="D457">
        <v>1</v>
      </c>
      <c r="E457">
        <v>58062090</v>
      </c>
      <c r="F457">
        <v>262938</v>
      </c>
      <c r="G457" t="s">
        <v>320</v>
      </c>
      <c r="H457" t="s">
        <v>60</v>
      </c>
      <c r="I457" t="s">
        <v>60</v>
      </c>
      <c r="J457" t="s">
        <v>60</v>
      </c>
      <c r="K457" t="s">
        <v>60</v>
      </c>
      <c r="L457" t="s">
        <v>59</v>
      </c>
      <c r="M457">
        <v>0.02</v>
      </c>
      <c r="P457">
        <v>40</v>
      </c>
      <c r="Q457" t="s">
        <v>80</v>
      </c>
      <c r="R457" t="s">
        <v>420</v>
      </c>
      <c r="S457" t="s">
        <v>367</v>
      </c>
      <c r="T457" t="s">
        <v>338</v>
      </c>
      <c r="V457">
        <v>0</v>
      </c>
      <c r="Y457">
        <v>0</v>
      </c>
      <c r="Z457">
        <v>0</v>
      </c>
      <c r="AA457">
        <v>0</v>
      </c>
      <c r="AB457">
        <v>1640</v>
      </c>
      <c r="AC457">
        <v>0</v>
      </c>
      <c r="AD457">
        <v>0</v>
      </c>
      <c r="AE457">
        <v>0</v>
      </c>
      <c r="AQ457">
        <v>182377</v>
      </c>
      <c r="AR457" t="b">
        <v>1</v>
      </c>
      <c r="AS457" t="b">
        <v>1</v>
      </c>
      <c r="AT457" t="b">
        <v>1</v>
      </c>
      <c r="AU457" t="b">
        <v>1</v>
      </c>
      <c r="AV457" t="b">
        <v>1</v>
      </c>
      <c r="AW457" t="b">
        <v>1</v>
      </c>
      <c r="AX457" t="b">
        <v>1</v>
      </c>
      <c r="BA457" t="s">
        <v>438</v>
      </c>
    </row>
    <row r="458" spans="1:53" x14ac:dyDescent="0.25">
      <c r="A458" t="s">
        <v>386</v>
      </c>
      <c r="B458">
        <v>5</v>
      </c>
      <c r="C458">
        <v>5</v>
      </c>
      <c r="D458">
        <v>1</v>
      </c>
      <c r="E458">
        <v>58062090</v>
      </c>
      <c r="F458">
        <v>262938</v>
      </c>
      <c r="G458" t="s">
        <v>320</v>
      </c>
      <c r="H458" t="s">
        <v>60</v>
      </c>
      <c r="I458" t="s">
        <v>60</v>
      </c>
      <c r="J458" t="s">
        <v>60</v>
      </c>
      <c r="K458" t="s">
        <v>60</v>
      </c>
      <c r="L458" t="s">
        <v>59</v>
      </c>
      <c r="M458">
        <v>1.4999999999999999E-2</v>
      </c>
      <c r="P458">
        <v>40</v>
      </c>
      <c r="Q458" t="s">
        <v>80</v>
      </c>
      <c r="R458" t="s">
        <v>421</v>
      </c>
      <c r="S458" t="s">
        <v>368</v>
      </c>
      <c r="T458" t="s">
        <v>339</v>
      </c>
      <c r="V458">
        <v>0</v>
      </c>
      <c r="Y458">
        <v>0</v>
      </c>
      <c r="Z458">
        <v>0</v>
      </c>
      <c r="AA458">
        <v>0</v>
      </c>
      <c r="AB458">
        <v>1230</v>
      </c>
      <c r="AC458">
        <v>0</v>
      </c>
      <c r="AD458">
        <v>0</v>
      </c>
      <c r="AE458">
        <v>0</v>
      </c>
      <c r="AQ458">
        <v>182377</v>
      </c>
      <c r="AR458" t="b">
        <v>1</v>
      </c>
      <c r="AS458" t="b">
        <v>1</v>
      </c>
      <c r="AT458" t="b">
        <v>1</v>
      </c>
      <c r="AU458" t="b">
        <v>1</v>
      </c>
      <c r="AV458" t="b">
        <v>1</v>
      </c>
      <c r="AW458" t="b">
        <v>1</v>
      </c>
      <c r="AX458" t="b">
        <v>1</v>
      </c>
      <c r="BA458" t="s">
        <v>438</v>
      </c>
    </row>
    <row r="459" spans="1:53" x14ac:dyDescent="0.25">
      <c r="A459" t="s">
        <v>386</v>
      </c>
      <c r="B459">
        <v>5</v>
      </c>
      <c r="C459">
        <v>6</v>
      </c>
      <c r="D459">
        <v>1</v>
      </c>
      <c r="E459">
        <v>58062090</v>
      </c>
      <c r="F459">
        <v>262938</v>
      </c>
      <c r="G459" t="s">
        <v>320</v>
      </c>
      <c r="H459" t="s">
        <v>60</v>
      </c>
      <c r="I459" t="s">
        <v>60</v>
      </c>
      <c r="J459" t="s">
        <v>60</v>
      </c>
      <c r="K459" t="s">
        <v>60</v>
      </c>
      <c r="L459" t="s">
        <v>59</v>
      </c>
      <c r="M459">
        <v>0.01</v>
      </c>
      <c r="P459">
        <v>40</v>
      </c>
      <c r="Q459" t="s">
        <v>80</v>
      </c>
      <c r="R459" t="s">
        <v>416</v>
      </c>
      <c r="S459" t="s">
        <v>360</v>
      </c>
      <c r="T459" t="s">
        <v>334</v>
      </c>
      <c r="V459">
        <v>0</v>
      </c>
      <c r="Y459">
        <v>0</v>
      </c>
      <c r="Z459">
        <v>0</v>
      </c>
      <c r="AA459">
        <v>0</v>
      </c>
      <c r="AB459">
        <v>820</v>
      </c>
      <c r="AC459">
        <v>0</v>
      </c>
      <c r="AD459">
        <v>0</v>
      </c>
      <c r="AE459">
        <v>0</v>
      </c>
      <c r="AQ459">
        <v>182377</v>
      </c>
      <c r="AR459" t="b">
        <v>1</v>
      </c>
      <c r="AS459" t="b">
        <v>1</v>
      </c>
      <c r="AT459" t="b">
        <v>1</v>
      </c>
      <c r="AU459" t="b">
        <v>1</v>
      </c>
      <c r="AV459" t="b">
        <v>1</v>
      </c>
      <c r="AW459" t="b">
        <v>1</v>
      </c>
      <c r="AX459" t="b">
        <v>1</v>
      </c>
      <c r="BA459" t="s">
        <v>438</v>
      </c>
    </row>
    <row r="460" spans="1:53" x14ac:dyDescent="0.25">
      <c r="A460" t="s">
        <v>386</v>
      </c>
      <c r="B460">
        <v>5</v>
      </c>
      <c r="C460">
        <v>7</v>
      </c>
      <c r="D460">
        <v>1</v>
      </c>
      <c r="E460">
        <v>58061090</v>
      </c>
      <c r="F460">
        <v>262938</v>
      </c>
      <c r="G460" t="s">
        <v>320</v>
      </c>
      <c r="H460" t="s">
        <v>60</v>
      </c>
      <c r="I460" t="s">
        <v>60</v>
      </c>
      <c r="J460" t="s">
        <v>60</v>
      </c>
      <c r="K460" t="s">
        <v>60</v>
      </c>
      <c r="L460" t="s">
        <v>59</v>
      </c>
      <c r="M460">
        <v>5.0000000000000001E-3</v>
      </c>
      <c r="P460">
        <v>40</v>
      </c>
      <c r="Q460" t="s">
        <v>80</v>
      </c>
      <c r="R460" t="s">
        <v>417</v>
      </c>
      <c r="S460" t="s">
        <v>364</v>
      </c>
      <c r="T460" t="s">
        <v>335</v>
      </c>
      <c r="V460">
        <v>0</v>
      </c>
      <c r="Y460">
        <v>0</v>
      </c>
      <c r="Z460">
        <v>0</v>
      </c>
      <c r="AA460">
        <v>0</v>
      </c>
      <c r="AB460">
        <v>410</v>
      </c>
      <c r="AC460">
        <v>0</v>
      </c>
      <c r="AD460">
        <v>0</v>
      </c>
      <c r="AE460">
        <v>0</v>
      </c>
      <c r="AQ460">
        <v>182377</v>
      </c>
      <c r="AR460" t="b">
        <v>1</v>
      </c>
      <c r="AS460" t="b">
        <v>1</v>
      </c>
      <c r="AT460" t="b">
        <v>1</v>
      </c>
      <c r="AU460" t="b">
        <v>1</v>
      </c>
      <c r="AV460" t="b">
        <v>1</v>
      </c>
      <c r="AW460" t="b">
        <v>1</v>
      </c>
      <c r="AX460" t="b">
        <v>1</v>
      </c>
      <c r="BA460" t="s">
        <v>438</v>
      </c>
    </row>
    <row r="461" spans="1:53" x14ac:dyDescent="0.25">
      <c r="A461" t="s">
        <v>386</v>
      </c>
      <c r="B461">
        <v>5</v>
      </c>
      <c r="C461">
        <v>8</v>
      </c>
      <c r="D461">
        <v>1</v>
      </c>
      <c r="E461">
        <v>58062090</v>
      </c>
      <c r="F461">
        <v>262938</v>
      </c>
      <c r="G461" t="s">
        <v>320</v>
      </c>
      <c r="H461" t="s">
        <v>60</v>
      </c>
      <c r="I461" t="s">
        <v>60</v>
      </c>
      <c r="J461" t="s">
        <v>60</v>
      </c>
      <c r="K461" t="s">
        <v>60</v>
      </c>
      <c r="L461" t="s">
        <v>59</v>
      </c>
      <c r="M461">
        <v>5.0000000000000001E-3</v>
      </c>
      <c r="P461">
        <v>40</v>
      </c>
      <c r="Q461" t="s">
        <v>80</v>
      </c>
      <c r="R461" t="s">
        <v>422</v>
      </c>
      <c r="S461" t="s">
        <v>369</v>
      </c>
      <c r="T461" t="s">
        <v>340</v>
      </c>
      <c r="V461">
        <v>0</v>
      </c>
      <c r="Y461">
        <v>0</v>
      </c>
      <c r="Z461">
        <v>0</v>
      </c>
      <c r="AA461">
        <v>0</v>
      </c>
      <c r="AB461">
        <v>410</v>
      </c>
      <c r="AC461">
        <v>0</v>
      </c>
      <c r="AD461">
        <v>0</v>
      </c>
      <c r="AE461">
        <v>0</v>
      </c>
      <c r="AQ461">
        <v>182377</v>
      </c>
      <c r="AR461" t="b">
        <v>1</v>
      </c>
      <c r="AS461" t="b">
        <v>1</v>
      </c>
      <c r="AT461" t="b">
        <v>1</v>
      </c>
      <c r="AU461" t="b">
        <v>1</v>
      </c>
      <c r="AV461" t="b">
        <v>1</v>
      </c>
      <c r="AW461" t="b">
        <v>1</v>
      </c>
      <c r="AX461" t="b">
        <v>1</v>
      </c>
      <c r="BA461" t="s">
        <v>438</v>
      </c>
    </row>
    <row r="462" spans="1:53" x14ac:dyDescent="0.25">
      <c r="A462" t="s">
        <v>386</v>
      </c>
      <c r="B462">
        <v>5</v>
      </c>
      <c r="C462">
        <v>9</v>
      </c>
      <c r="D462">
        <v>1</v>
      </c>
      <c r="E462">
        <v>58062090</v>
      </c>
      <c r="F462">
        <v>262938</v>
      </c>
      <c r="G462" t="s">
        <v>320</v>
      </c>
      <c r="H462" t="s">
        <v>60</v>
      </c>
      <c r="I462" t="s">
        <v>60</v>
      </c>
      <c r="J462" t="s">
        <v>60</v>
      </c>
      <c r="K462" t="s">
        <v>60</v>
      </c>
      <c r="L462" t="s">
        <v>59</v>
      </c>
      <c r="M462">
        <v>0.05</v>
      </c>
      <c r="P462">
        <v>40</v>
      </c>
      <c r="Q462" t="s">
        <v>80</v>
      </c>
      <c r="R462" t="s">
        <v>423</v>
      </c>
      <c r="S462" t="s">
        <v>370</v>
      </c>
      <c r="T462" t="s">
        <v>341</v>
      </c>
      <c r="V462">
        <v>0</v>
      </c>
      <c r="Y462">
        <v>0</v>
      </c>
      <c r="Z462">
        <v>0</v>
      </c>
      <c r="AA462">
        <v>0</v>
      </c>
      <c r="AB462">
        <v>4100</v>
      </c>
      <c r="AC462">
        <v>0</v>
      </c>
      <c r="AD462">
        <v>0</v>
      </c>
      <c r="AE462">
        <v>0</v>
      </c>
      <c r="AQ462">
        <v>182377</v>
      </c>
      <c r="AR462" t="b">
        <v>1</v>
      </c>
      <c r="AS462" t="b">
        <v>1</v>
      </c>
      <c r="AT462" t="b">
        <v>1</v>
      </c>
      <c r="AU462" t="b">
        <v>1</v>
      </c>
      <c r="AV462" t="b">
        <v>1</v>
      </c>
      <c r="AW462" t="b">
        <v>1</v>
      </c>
      <c r="AX462" t="b">
        <v>1</v>
      </c>
      <c r="BA462" t="s">
        <v>438</v>
      </c>
    </row>
    <row r="463" spans="1:53" x14ac:dyDescent="0.25">
      <c r="A463" t="s">
        <v>386</v>
      </c>
      <c r="B463">
        <v>5</v>
      </c>
      <c r="C463">
        <v>10</v>
      </c>
      <c r="D463">
        <v>1</v>
      </c>
      <c r="E463">
        <v>58062090</v>
      </c>
      <c r="F463">
        <v>262938</v>
      </c>
      <c r="G463" t="s">
        <v>320</v>
      </c>
      <c r="H463" t="s">
        <v>60</v>
      </c>
      <c r="I463" t="s">
        <v>60</v>
      </c>
      <c r="J463" t="s">
        <v>60</v>
      </c>
      <c r="K463" t="s">
        <v>60</v>
      </c>
      <c r="L463" t="s">
        <v>59</v>
      </c>
      <c r="M463">
        <v>0.05</v>
      </c>
      <c r="P463">
        <v>40</v>
      </c>
      <c r="Q463" t="s">
        <v>80</v>
      </c>
      <c r="R463" t="s">
        <v>424</v>
      </c>
      <c r="S463" t="s">
        <v>371</v>
      </c>
      <c r="T463" t="s">
        <v>342</v>
      </c>
      <c r="V463">
        <v>0</v>
      </c>
      <c r="Y463">
        <v>0</v>
      </c>
      <c r="Z463">
        <v>0</v>
      </c>
      <c r="AA463">
        <v>0</v>
      </c>
      <c r="AB463">
        <v>4100</v>
      </c>
      <c r="AC463">
        <v>0</v>
      </c>
      <c r="AD463">
        <v>0</v>
      </c>
      <c r="AE463">
        <v>0</v>
      </c>
      <c r="AQ463">
        <v>182377</v>
      </c>
      <c r="AR463" t="b">
        <v>1</v>
      </c>
      <c r="AS463" t="b">
        <v>1</v>
      </c>
      <c r="AT463" t="b">
        <v>1</v>
      </c>
      <c r="AU463" t="b">
        <v>1</v>
      </c>
      <c r="AV463" t="b">
        <v>1</v>
      </c>
      <c r="AW463" t="b">
        <v>1</v>
      </c>
      <c r="AX463" t="b">
        <v>1</v>
      </c>
      <c r="BA463" t="s">
        <v>438</v>
      </c>
    </row>
    <row r="464" spans="1:53" x14ac:dyDescent="0.25">
      <c r="A464" t="s">
        <v>386</v>
      </c>
      <c r="B464">
        <v>5</v>
      </c>
      <c r="C464">
        <v>11</v>
      </c>
      <c r="D464">
        <v>1</v>
      </c>
      <c r="E464">
        <v>58062090</v>
      </c>
      <c r="F464">
        <v>262938</v>
      </c>
      <c r="G464" t="s">
        <v>320</v>
      </c>
      <c r="H464" t="s">
        <v>60</v>
      </c>
      <c r="I464" t="s">
        <v>60</v>
      </c>
      <c r="J464" t="s">
        <v>60</v>
      </c>
      <c r="K464" t="s">
        <v>60</v>
      </c>
      <c r="L464" t="s">
        <v>59</v>
      </c>
      <c r="M464">
        <v>0.05</v>
      </c>
      <c r="P464">
        <v>40</v>
      </c>
      <c r="Q464" t="s">
        <v>80</v>
      </c>
      <c r="R464" t="s">
        <v>425</v>
      </c>
      <c r="S464" t="s">
        <v>372</v>
      </c>
      <c r="T464" t="s">
        <v>343</v>
      </c>
      <c r="V464">
        <v>0</v>
      </c>
      <c r="Y464">
        <v>0</v>
      </c>
      <c r="Z464">
        <v>0</v>
      </c>
      <c r="AA464">
        <v>0</v>
      </c>
      <c r="AB464">
        <v>4100</v>
      </c>
      <c r="AC464">
        <v>0</v>
      </c>
      <c r="AD464">
        <v>0</v>
      </c>
      <c r="AE464">
        <v>0</v>
      </c>
      <c r="AQ464">
        <v>182377</v>
      </c>
      <c r="AR464" t="b">
        <v>1</v>
      </c>
      <c r="AS464" t="b">
        <v>1</v>
      </c>
      <c r="AT464" t="b">
        <v>1</v>
      </c>
      <c r="AU464" t="b">
        <v>1</v>
      </c>
      <c r="AV464" t="b">
        <v>1</v>
      </c>
      <c r="AW464" t="b">
        <v>1</v>
      </c>
      <c r="AX464" t="b">
        <v>1</v>
      </c>
      <c r="BA464" t="s">
        <v>438</v>
      </c>
    </row>
    <row r="465" spans="1:53" x14ac:dyDescent="0.25">
      <c r="A465" t="s">
        <v>386</v>
      </c>
      <c r="B465">
        <v>5</v>
      </c>
      <c r="C465">
        <v>12</v>
      </c>
      <c r="D465">
        <v>1</v>
      </c>
      <c r="E465">
        <v>58062090</v>
      </c>
      <c r="F465">
        <v>262938</v>
      </c>
      <c r="G465" t="s">
        <v>321</v>
      </c>
      <c r="H465" t="s">
        <v>60</v>
      </c>
      <c r="I465" t="s">
        <v>60</v>
      </c>
      <c r="J465" t="s">
        <v>60</v>
      </c>
      <c r="K465" t="s">
        <v>60</v>
      </c>
      <c r="L465" t="s">
        <v>59</v>
      </c>
      <c r="M465">
        <v>0.32500000000000001</v>
      </c>
      <c r="P465">
        <v>40</v>
      </c>
      <c r="Q465" t="s">
        <v>80</v>
      </c>
      <c r="R465" t="s">
        <v>426</v>
      </c>
      <c r="S465" t="s">
        <v>373</v>
      </c>
      <c r="T465" t="s">
        <v>344</v>
      </c>
      <c r="V465">
        <v>0</v>
      </c>
      <c r="Y465">
        <v>0</v>
      </c>
      <c r="Z465">
        <v>0</v>
      </c>
      <c r="AA465">
        <v>0</v>
      </c>
      <c r="AB465">
        <v>26650</v>
      </c>
      <c r="AC465">
        <v>0</v>
      </c>
      <c r="AD465">
        <v>0</v>
      </c>
      <c r="AE465">
        <v>0</v>
      </c>
      <c r="AQ465">
        <v>182377</v>
      </c>
      <c r="AR465" t="b">
        <v>1</v>
      </c>
      <c r="AS465" t="b">
        <v>1</v>
      </c>
      <c r="AT465" t="b">
        <v>1</v>
      </c>
      <c r="AU465" t="b">
        <v>1</v>
      </c>
      <c r="AV465" t="b">
        <v>1</v>
      </c>
      <c r="AW465" t="b">
        <v>1</v>
      </c>
      <c r="AX465" t="b">
        <v>1</v>
      </c>
      <c r="BA465" t="s">
        <v>438</v>
      </c>
    </row>
    <row r="466" spans="1:53" x14ac:dyDescent="0.25">
      <c r="A466" t="s">
        <v>386</v>
      </c>
      <c r="B466">
        <v>5</v>
      </c>
      <c r="C466">
        <v>13</v>
      </c>
      <c r="D466">
        <v>1</v>
      </c>
      <c r="E466">
        <v>58062090</v>
      </c>
      <c r="F466">
        <v>262938</v>
      </c>
      <c r="G466" t="s">
        <v>321</v>
      </c>
      <c r="H466" t="s">
        <v>60</v>
      </c>
      <c r="I466" t="s">
        <v>60</v>
      </c>
      <c r="J466" t="s">
        <v>60</v>
      </c>
      <c r="K466" t="s">
        <v>60</v>
      </c>
      <c r="L466" t="s">
        <v>59</v>
      </c>
      <c r="M466">
        <v>0.01</v>
      </c>
      <c r="P466">
        <v>40</v>
      </c>
      <c r="Q466" t="s">
        <v>80</v>
      </c>
      <c r="R466" t="s">
        <v>427</v>
      </c>
      <c r="S466" t="s">
        <v>374</v>
      </c>
      <c r="T466" t="s">
        <v>345</v>
      </c>
      <c r="V466">
        <v>0</v>
      </c>
      <c r="Y466">
        <v>0</v>
      </c>
      <c r="Z466">
        <v>0</v>
      </c>
      <c r="AA466">
        <v>0</v>
      </c>
      <c r="AB466">
        <v>820</v>
      </c>
      <c r="AC466">
        <v>0</v>
      </c>
      <c r="AD466">
        <v>0</v>
      </c>
      <c r="AE466">
        <v>0</v>
      </c>
      <c r="AQ466">
        <v>182377</v>
      </c>
      <c r="AR466" t="b">
        <v>1</v>
      </c>
      <c r="AS466" t="b">
        <v>1</v>
      </c>
      <c r="AT466" t="b">
        <v>1</v>
      </c>
      <c r="AU466" t="b">
        <v>1</v>
      </c>
      <c r="AV466" t="b">
        <v>1</v>
      </c>
      <c r="AW466" t="b">
        <v>1</v>
      </c>
      <c r="AX466" t="b">
        <v>1</v>
      </c>
      <c r="BA466" t="s">
        <v>438</v>
      </c>
    </row>
    <row r="467" spans="1:53" x14ac:dyDescent="0.25">
      <c r="A467" t="s">
        <v>386</v>
      </c>
      <c r="B467">
        <v>5</v>
      </c>
      <c r="C467">
        <v>14</v>
      </c>
      <c r="D467">
        <v>1</v>
      </c>
      <c r="E467">
        <v>58062090</v>
      </c>
      <c r="F467">
        <v>262938</v>
      </c>
      <c r="G467" t="s">
        <v>321</v>
      </c>
      <c r="H467" t="s">
        <v>60</v>
      </c>
      <c r="I467" t="s">
        <v>60</v>
      </c>
      <c r="J467" t="s">
        <v>60</v>
      </c>
      <c r="K467" t="s">
        <v>60</v>
      </c>
      <c r="L467" t="s">
        <v>59</v>
      </c>
      <c r="M467">
        <v>0.22500000000000001</v>
      </c>
      <c r="P467">
        <v>40</v>
      </c>
      <c r="Q467" t="s">
        <v>80</v>
      </c>
      <c r="R467" t="s">
        <v>428</v>
      </c>
      <c r="S467" t="s">
        <v>375</v>
      </c>
      <c r="T467" t="s">
        <v>346</v>
      </c>
      <c r="V467">
        <v>0</v>
      </c>
      <c r="Y467">
        <v>0</v>
      </c>
      <c r="Z467">
        <v>0</v>
      </c>
      <c r="AA467">
        <v>0</v>
      </c>
      <c r="AB467">
        <v>18450</v>
      </c>
      <c r="AC467">
        <v>0</v>
      </c>
      <c r="AD467">
        <v>0</v>
      </c>
      <c r="AE467">
        <v>0</v>
      </c>
      <c r="AQ467">
        <v>182377</v>
      </c>
      <c r="AR467" t="b">
        <v>1</v>
      </c>
      <c r="AS467" t="b">
        <v>1</v>
      </c>
      <c r="AT467" t="b">
        <v>1</v>
      </c>
      <c r="AU467" t="b">
        <v>1</v>
      </c>
      <c r="AV467" t="b">
        <v>1</v>
      </c>
      <c r="AW467" t="b">
        <v>1</v>
      </c>
      <c r="AX467" t="b">
        <v>1</v>
      </c>
      <c r="BA467" t="s">
        <v>438</v>
      </c>
    </row>
    <row r="468" spans="1:53" x14ac:dyDescent="0.25">
      <c r="A468" t="s">
        <v>386</v>
      </c>
      <c r="B468">
        <v>5</v>
      </c>
      <c r="C468">
        <v>15</v>
      </c>
      <c r="D468">
        <v>1</v>
      </c>
      <c r="E468">
        <v>48211090</v>
      </c>
      <c r="F468">
        <v>297274</v>
      </c>
      <c r="G468" t="s">
        <v>315</v>
      </c>
      <c r="H468" t="s">
        <v>60</v>
      </c>
      <c r="I468" t="s">
        <v>60</v>
      </c>
      <c r="J468" t="s">
        <v>60</v>
      </c>
      <c r="K468" t="s">
        <v>60</v>
      </c>
      <c r="L468" t="s">
        <v>12</v>
      </c>
      <c r="M468">
        <v>150</v>
      </c>
      <c r="P468">
        <v>40</v>
      </c>
      <c r="Q468" t="s">
        <v>80</v>
      </c>
      <c r="R468" t="s">
        <v>415</v>
      </c>
      <c r="S468" t="s">
        <v>363</v>
      </c>
      <c r="T468" t="s">
        <v>333</v>
      </c>
      <c r="V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Q468">
        <v>182377</v>
      </c>
      <c r="AR468" t="b">
        <v>1</v>
      </c>
      <c r="AS468" t="b">
        <v>1</v>
      </c>
      <c r="AT468" t="b">
        <v>1</v>
      </c>
      <c r="AU468" t="b">
        <v>1</v>
      </c>
      <c r="AV468" t="b">
        <v>1</v>
      </c>
      <c r="AW468" t="b">
        <v>1</v>
      </c>
      <c r="AX468" t="b">
        <v>1</v>
      </c>
      <c r="BA468" t="s">
        <v>438</v>
      </c>
    </row>
    <row r="469" spans="1:53" x14ac:dyDescent="0.25">
      <c r="A469" t="s">
        <v>386</v>
      </c>
      <c r="B469">
        <v>5</v>
      </c>
      <c r="C469">
        <v>16</v>
      </c>
      <c r="D469">
        <v>1</v>
      </c>
      <c r="E469">
        <v>48211090</v>
      </c>
      <c r="F469">
        <v>297275</v>
      </c>
      <c r="G469" t="s">
        <v>316</v>
      </c>
      <c r="H469" t="s">
        <v>60</v>
      </c>
      <c r="I469" t="s">
        <v>60</v>
      </c>
      <c r="J469" t="s">
        <v>60</v>
      </c>
      <c r="K469" t="s">
        <v>60</v>
      </c>
      <c r="L469" t="s">
        <v>12</v>
      </c>
      <c r="M469">
        <v>23</v>
      </c>
      <c r="P469">
        <v>40</v>
      </c>
      <c r="Q469" t="s">
        <v>80</v>
      </c>
      <c r="R469" t="s">
        <v>415</v>
      </c>
      <c r="S469" t="s">
        <v>363</v>
      </c>
      <c r="T469" t="s">
        <v>333</v>
      </c>
      <c r="V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Q469">
        <v>182377</v>
      </c>
      <c r="AR469" t="b">
        <v>1</v>
      </c>
      <c r="AS469" t="b">
        <v>1</v>
      </c>
      <c r="AT469" t="b">
        <v>1</v>
      </c>
      <c r="AU469" t="b">
        <v>1</v>
      </c>
      <c r="AV469" t="b">
        <v>1</v>
      </c>
      <c r="AW469" t="b">
        <v>1</v>
      </c>
      <c r="AX469" t="b">
        <v>1</v>
      </c>
      <c r="BA469" t="s">
        <v>438</v>
      </c>
    </row>
    <row r="470" spans="1:53" x14ac:dyDescent="0.25">
      <c r="A470" t="s">
        <v>386</v>
      </c>
      <c r="B470">
        <v>5</v>
      </c>
      <c r="C470">
        <v>17</v>
      </c>
      <c r="D470">
        <v>1</v>
      </c>
      <c r="E470">
        <v>48211090</v>
      </c>
      <c r="F470">
        <v>297276</v>
      </c>
      <c r="G470" t="s">
        <v>317</v>
      </c>
      <c r="H470" t="s">
        <v>60</v>
      </c>
      <c r="I470" t="s">
        <v>60</v>
      </c>
      <c r="J470" t="s">
        <v>60</v>
      </c>
      <c r="K470" t="s">
        <v>60</v>
      </c>
      <c r="L470" t="s">
        <v>12</v>
      </c>
      <c r="M470">
        <v>52</v>
      </c>
      <c r="P470">
        <v>40</v>
      </c>
      <c r="Q470" t="s">
        <v>80</v>
      </c>
      <c r="R470" t="s">
        <v>415</v>
      </c>
      <c r="S470" t="s">
        <v>363</v>
      </c>
      <c r="T470" t="s">
        <v>333</v>
      </c>
      <c r="V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Q470">
        <v>182377</v>
      </c>
      <c r="AR470" t="b">
        <v>1</v>
      </c>
      <c r="AS470" t="b">
        <v>1</v>
      </c>
      <c r="AT470" t="b">
        <v>1</v>
      </c>
      <c r="AU470" t="b">
        <v>1</v>
      </c>
      <c r="AV470" t="b">
        <v>1</v>
      </c>
      <c r="AW470" t="b">
        <v>1</v>
      </c>
      <c r="AX470" t="b">
        <v>1</v>
      </c>
      <c r="BA470" t="s">
        <v>438</v>
      </c>
    </row>
    <row r="471" spans="1:53" x14ac:dyDescent="0.25">
      <c r="A471" t="s">
        <v>386</v>
      </c>
      <c r="B471">
        <v>5</v>
      </c>
      <c r="C471">
        <v>18</v>
      </c>
      <c r="D471">
        <v>1</v>
      </c>
      <c r="E471">
        <v>48211090</v>
      </c>
      <c r="F471">
        <v>297277</v>
      </c>
      <c r="G471" t="s">
        <v>318</v>
      </c>
      <c r="H471" t="s">
        <v>60</v>
      </c>
      <c r="I471" t="s">
        <v>60</v>
      </c>
      <c r="J471" t="s">
        <v>60</v>
      </c>
      <c r="K471" t="s">
        <v>60</v>
      </c>
      <c r="L471" t="s">
        <v>12</v>
      </c>
      <c r="M471">
        <v>38</v>
      </c>
      <c r="P471">
        <v>40</v>
      </c>
      <c r="Q471" t="s">
        <v>80</v>
      </c>
      <c r="R471" t="s">
        <v>415</v>
      </c>
      <c r="S471" t="s">
        <v>363</v>
      </c>
      <c r="T471" t="s">
        <v>333</v>
      </c>
      <c r="V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Q471">
        <v>182377</v>
      </c>
      <c r="AR471" t="b">
        <v>1</v>
      </c>
      <c r="AS471" t="b">
        <v>1</v>
      </c>
      <c r="AT471" t="b">
        <v>1</v>
      </c>
      <c r="AU471" t="b">
        <v>1</v>
      </c>
      <c r="AV471" t="b">
        <v>1</v>
      </c>
      <c r="AW471" t="b">
        <v>1</v>
      </c>
      <c r="AX471" t="b">
        <v>1</v>
      </c>
      <c r="BA471" t="s">
        <v>438</v>
      </c>
    </row>
    <row r="472" spans="1:53" x14ac:dyDescent="0.25">
      <c r="A472" t="s">
        <v>386</v>
      </c>
      <c r="B472">
        <v>5</v>
      </c>
      <c r="C472">
        <v>19</v>
      </c>
      <c r="D472">
        <v>1</v>
      </c>
      <c r="E472">
        <v>48211090</v>
      </c>
      <c r="F472">
        <v>297278</v>
      </c>
      <c r="G472" t="s">
        <v>319</v>
      </c>
      <c r="H472" t="s">
        <v>60</v>
      </c>
      <c r="I472" t="s">
        <v>60</v>
      </c>
      <c r="J472" t="s">
        <v>60</v>
      </c>
      <c r="K472" t="s">
        <v>60</v>
      </c>
      <c r="L472" t="s">
        <v>12</v>
      </c>
      <c r="M472">
        <v>37</v>
      </c>
      <c r="P472">
        <v>40</v>
      </c>
      <c r="Q472" t="s">
        <v>80</v>
      </c>
      <c r="R472" t="s">
        <v>415</v>
      </c>
      <c r="S472" t="s">
        <v>363</v>
      </c>
      <c r="T472" t="s">
        <v>333</v>
      </c>
      <c r="V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Q472">
        <v>182377</v>
      </c>
      <c r="AR472" t="b">
        <v>1</v>
      </c>
      <c r="AS472" t="b">
        <v>1</v>
      </c>
      <c r="AT472" t="b">
        <v>1</v>
      </c>
      <c r="AU472" t="b">
        <v>1</v>
      </c>
      <c r="AV472" t="b">
        <v>1</v>
      </c>
      <c r="AW472" t="b">
        <v>1</v>
      </c>
      <c r="AX472" t="b">
        <v>1</v>
      </c>
      <c r="BA472" t="s">
        <v>438</v>
      </c>
    </row>
    <row r="473" spans="1:53" x14ac:dyDescent="0.25">
      <c r="A473" t="s">
        <v>386</v>
      </c>
      <c r="B473">
        <v>5</v>
      </c>
      <c r="C473">
        <v>20</v>
      </c>
      <c r="D473">
        <v>1</v>
      </c>
      <c r="E473">
        <v>52081900</v>
      </c>
      <c r="F473">
        <v>274799</v>
      </c>
      <c r="G473" t="s">
        <v>311</v>
      </c>
      <c r="H473" t="s">
        <v>60</v>
      </c>
      <c r="I473" t="s">
        <v>60</v>
      </c>
      <c r="J473" t="s">
        <v>60</v>
      </c>
      <c r="K473" t="s">
        <v>60</v>
      </c>
      <c r="L473" t="s">
        <v>27</v>
      </c>
      <c r="M473">
        <v>3</v>
      </c>
      <c r="P473">
        <v>40</v>
      </c>
      <c r="Q473" t="s">
        <v>80</v>
      </c>
      <c r="R473" t="s">
        <v>409</v>
      </c>
      <c r="S473" t="s">
        <v>358</v>
      </c>
      <c r="T473" t="s">
        <v>327</v>
      </c>
      <c r="V473">
        <v>0</v>
      </c>
      <c r="Y473">
        <v>0</v>
      </c>
      <c r="Z473">
        <v>0</v>
      </c>
      <c r="AA473">
        <v>0</v>
      </c>
      <c r="AB473">
        <v>1439525.76</v>
      </c>
      <c r="AC473">
        <v>0</v>
      </c>
      <c r="AD473">
        <v>0</v>
      </c>
      <c r="AE473">
        <v>0</v>
      </c>
      <c r="AQ473">
        <v>182377</v>
      </c>
      <c r="AR473" t="b">
        <v>1</v>
      </c>
      <c r="AS473" t="b">
        <v>1</v>
      </c>
      <c r="AT473" t="b">
        <v>1</v>
      </c>
      <c r="AU473" t="b">
        <v>1</v>
      </c>
      <c r="AV473" t="b">
        <v>1</v>
      </c>
      <c r="AW473" t="b">
        <v>1</v>
      </c>
      <c r="AX473" t="b">
        <v>1</v>
      </c>
      <c r="BA473" t="s">
        <v>438</v>
      </c>
    </row>
    <row r="474" spans="1:53" x14ac:dyDescent="0.25">
      <c r="A474" t="s">
        <v>386</v>
      </c>
      <c r="B474">
        <v>5</v>
      </c>
      <c r="C474">
        <v>21</v>
      </c>
      <c r="D474">
        <v>1</v>
      </c>
      <c r="E474">
        <v>52081900</v>
      </c>
      <c r="F474">
        <v>275340</v>
      </c>
      <c r="G474" t="s">
        <v>312</v>
      </c>
      <c r="H474" t="s">
        <v>60</v>
      </c>
      <c r="I474" t="s">
        <v>60</v>
      </c>
      <c r="J474" t="s">
        <v>60</v>
      </c>
      <c r="K474" t="s">
        <v>60</v>
      </c>
      <c r="L474" t="s">
        <v>27</v>
      </c>
      <c r="M474">
        <v>3</v>
      </c>
      <c r="P474">
        <v>40</v>
      </c>
      <c r="Q474" t="s">
        <v>80</v>
      </c>
      <c r="R474" t="s">
        <v>410</v>
      </c>
      <c r="S474" t="s">
        <v>359</v>
      </c>
      <c r="T474" t="s">
        <v>328</v>
      </c>
      <c r="V474">
        <v>0</v>
      </c>
      <c r="Y474">
        <v>0</v>
      </c>
      <c r="Z474">
        <v>0</v>
      </c>
      <c r="AA474">
        <v>0</v>
      </c>
      <c r="AB474">
        <v>1439525.76</v>
      </c>
      <c r="AC474">
        <v>0</v>
      </c>
      <c r="AD474">
        <v>0</v>
      </c>
      <c r="AE474">
        <v>0</v>
      </c>
      <c r="AQ474">
        <v>182377</v>
      </c>
      <c r="AR474" t="b">
        <v>1</v>
      </c>
      <c r="AS474" t="b">
        <v>1</v>
      </c>
      <c r="AT474" t="b">
        <v>1</v>
      </c>
      <c r="AU474" t="b">
        <v>1</v>
      </c>
      <c r="AV474" t="b">
        <v>1</v>
      </c>
      <c r="AW474" t="b">
        <v>1</v>
      </c>
      <c r="AX474" t="b">
        <v>1</v>
      </c>
      <c r="BA474" t="s">
        <v>438</v>
      </c>
    </row>
    <row r="475" spans="1:53" x14ac:dyDescent="0.25">
      <c r="A475" t="s">
        <v>386</v>
      </c>
      <c r="B475">
        <v>5</v>
      </c>
      <c r="C475">
        <v>22</v>
      </c>
      <c r="D475">
        <v>1</v>
      </c>
      <c r="E475">
        <v>58062090</v>
      </c>
      <c r="F475">
        <v>262938</v>
      </c>
      <c r="G475" t="s">
        <v>322</v>
      </c>
      <c r="H475" t="s">
        <v>60</v>
      </c>
      <c r="I475" t="s">
        <v>60</v>
      </c>
      <c r="J475" t="s">
        <v>60</v>
      </c>
      <c r="K475" t="s">
        <v>60</v>
      </c>
      <c r="L475" t="s">
        <v>59</v>
      </c>
      <c r="M475">
        <v>2.5000000000000001E-3</v>
      </c>
      <c r="P475">
        <v>40</v>
      </c>
      <c r="Q475" t="s">
        <v>80</v>
      </c>
      <c r="R475" t="s">
        <v>419</v>
      </c>
      <c r="S475" t="s">
        <v>366</v>
      </c>
      <c r="T475" t="s">
        <v>337</v>
      </c>
      <c r="V475">
        <v>0</v>
      </c>
      <c r="Y475">
        <v>0</v>
      </c>
      <c r="Z475">
        <v>0</v>
      </c>
      <c r="AA475">
        <v>0</v>
      </c>
      <c r="AB475">
        <v>390</v>
      </c>
      <c r="AC475">
        <v>0</v>
      </c>
      <c r="AD475">
        <v>0</v>
      </c>
      <c r="AE475">
        <v>0</v>
      </c>
      <c r="AQ475">
        <v>182377</v>
      </c>
      <c r="AR475" t="b">
        <v>1</v>
      </c>
      <c r="AS475" t="b">
        <v>1</v>
      </c>
      <c r="AT475" t="b">
        <v>1</v>
      </c>
      <c r="AU475" t="b">
        <v>1</v>
      </c>
      <c r="AV475" t="b">
        <v>1</v>
      </c>
      <c r="AW475" t="b">
        <v>1</v>
      </c>
      <c r="AX475" t="b">
        <v>1</v>
      </c>
      <c r="BA475" t="s">
        <v>438</v>
      </c>
    </row>
    <row r="476" spans="1:53" x14ac:dyDescent="0.25">
      <c r="A476" t="s">
        <v>386</v>
      </c>
      <c r="B476">
        <v>5</v>
      </c>
      <c r="C476">
        <v>23</v>
      </c>
      <c r="D476">
        <v>1</v>
      </c>
      <c r="E476">
        <v>58062090</v>
      </c>
      <c r="F476">
        <v>262938</v>
      </c>
      <c r="G476" t="s">
        <v>320</v>
      </c>
      <c r="H476" t="s">
        <v>60</v>
      </c>
      <c r="I476" t="s">
        <v>60</v>
      </c>
      <c r="J476" t="s">
        <v>60</v>
      </c>
      <c r="K476" t="s">
        <v>60</v>
      </c>
      <c r="L476" t="s">
        <v>59</v>
      </c>
      <c r="M476">
        <v>0.01</v>
      </c>
      <c r="P476">
        <v>40</v>
      </c>
      <c r="Q476" t="s">
        <v>80</v>
      </c>
      <c r="R476" t="s">
        <v>420</v>
      </c>
      <c r="S476" t="s">
        <v>367</v>
      </c>
      <c r="T476" t="s">
        <v>338</v>
      </c>
      <c r="V476">
        <v>0</v>
      </c>
      <c r="Y476">
        <v>0</v>
      </c>
      <c r="Z476">
        <v>0</v>
      </c>
      <c r="AA476">
        <v>0</v>
      </c>
      <c r="AB476">
        <v>1640</v>
      </c>
      <c r="AC476">
        <v>0</v>
      </c>
      <c r="AD476">
        <v>0</v>
      </c>
      <c r="AE476">
        <v>0</v>
      </c>
      <c r="AQ476">
        <v>182377</v>
      </c>
      <c r="AR476" t="b">
        <v>1</v>
      </c>
      <c r="AS476" t="b">
        <v>1</v>
      </c>
      <c r="AT476" t="b">
        <v>1</v>
      </c>
      <c r="AU476" t="b">
        <v>1</v>
      </c>
      <c r="AV476" t="b">
        <v>1</v>
      </c>
      <c r="AW476" t="b">
        <v>1</v>
      </c>
      <c r="AX476" t="b">
        <v>1</v>
      </c>
      <c r="BA476" t="s">
        <v>438</v>
      </c>
    </row>
    <row r="477" spans="1:53" x14ac:dyDescent="0.25">
      <c r="A477" t="s">
        <v>386</v>
      </c>
      <c r="B477">
        <v>5</v>
      </c>
      <c r="C477">
        <v>24</v>
      </c>
      <c r="D477">
        <v>1</v>
      </c>
      <c r="E477">
        <v>58062090</v>
      </c>
      <c r="F477">
        <v>262938</v>
      </c>
      <c r="G477" t="s">
        <v>320</v>
      </c>
      <c r="H477" t="s">
        <v>60</v>
      </c>
      <c r="I477" t="s">
        <v>60</v>
      </c>
      <c r="J477" t="s">
        <v>60</v>
      </c>
      <c r="K477" t="s">
        <v>60</v>
      </c>
      <c r="L477" t="s">
        <v>59</v>
      </c>
      <c r="M477">
        <v>7.4999999999999997E-3</v>
      </c>
      <c r="P477">
        <v>40</v>
      </c>
      <c r="Q477" t="s">
        <v>80</v>
      </c>
      <c r="R477" t="s">
        <v>421</v>
      </c>
      <c r="S477" t="s">
        <v>368</v>
      </c>
      <c r="T477" t="s">
        <v>339</v>
      </c>
      <c r="V477">
        <v>0</v>
      </c>
      <c r="Y477">
        <v>0</v>
      </c>
      <c r="Z477">
        <v>0</v>
      </c>
      <c r="AA477">
        <v>0</v>
      </c>
      <c r="AB477">
        <v>1230</v>
      </c>
      <c r="AC477">
        <v>0</v>
      </c>
      <c r="AD477">
        <v>0</v>
      </c>
      <c r="AE477">
        <v>0</v>
      </c>
      <c r="AQ477">
        <v>182377</v>
      </c>
      <c r="AR477" t="b">
        <v>1</v>
      </c>
      <c r="AS477" t="b">
        <v>1</v>
      </c>
      <c r="AT477" t="b">
        <v>1</v>
      </c>
      <c r="AU477" t="b">
        <v>1</v>
      </c>
      <c r="AV477" t="b">
        <v>1</v>
      </c>
      <c r="AW477" t="b">
        <v>1</v>
      </c>
      <c r="AX477" t="b">
        <v>1</v>
      </c>
      <c r="BA477" t="s">
        <v>438</v>
      </c>
    </row>
    <row r="478" spans="1:53" x14ac:dyDescent="0.25">
      <c r="A478" t="s">
        <v>386</v>
      </c>
      <c r="B478">
        <v>5</v>
      </c>
      <c r="C478">
        <v>25</v>
      </c>
      <c r="D478">
        <v>1</v>
      </c>
      <c r="E478">
        <v>58062090</v>
      </c>
      <c r="F478">
        <v>262938</v>
      </c>
      <c r="G478" t="s">
        <v>320</v>
      </c>
      <c r="H478" t="s">
        <v>60</v>
      </c>
      <c r="I478" t="s">
        <v>60</v>
      </c>
      <c r="J478" t="s">
        <v>60</v>
      </c>
      <c r="K478" t="s">
        <v>60</v>
      </c>
      <c r="L478" t="s">
        <v>59</v>
      </c>
      <c r="M478">
        <v>5.0000000000000001E-3</v>
      </c>
      <c r="P478">
        <v>40</v>
      </c>
      <c r="Q478" t="s">
        <v>80</v>
      </c>
      <c r="R478" t="s">
        <v>416</v>
      </c>
      <c r="S478" t="s">
        <v>360</v>
      </c>
      <c r="T478" t="s">
        <v>334</v>
      </c>
      <c r="V478">
        <v>0</v>
      </c>
      <c r="Y478">
        <v>0</v>
      </c>
      <c r="Z478">
        <v>0</v>
      </c>
      <c r="AA478">
        <v>0</v>
      </c>
      <c r="AB478">
        <v>820</v>
      </c>
      <c r="AC478">
        <v>0</v>
      </c>
      <c r="AD478">
        <v>0</v>
      </c>
      <c r="AE478">
        <v>0</v>
      </c>
      <c r="AQ478">
        <v>182377</v>
      </c>
      <c r="AR478" t="b">
        <v>1</v>
      </c>
      <c r="AS478" t="b">
        <v>1</v>
      </c>
      <c r="AT478" t="b">
        <v>1</v>
      </c>
      <c r="AU478" t="b">
        <v>1</v>
      </c>
      <c r="AV478" t="b">
        <v>1</v>
      </c>
      <c r="AW478" t="b">
        <v>1</v>
      </c>
      <c r="AX478" t="b">
        <v>1</v>
      </c>
      <c r="BA478" t="s">
        <v>438</v>
      </c>
    </row>
    <row r="479" spans="1:53" x14ac:dyDescent="0.25">
      <c r="A479" t="s">
        <v>386</v>
      </c>
      <c r="B479">
        <v>5</v>
      </c>
      <c r="C479">
        <v>26</v>
      </c>
      <c r="D479">
        <v>1</v>
      </c>
      <c r="E479">
        <v>58061090</v>
      </c>
      <c r="F479">
        <v>262938</v>
      </c>
      <c r="G479" t="s">
        <v>320</v>
      </c>
      <c r="H479" t="s">
        <v>60</v>
      </c>
      <c r="I479" t="s">
        <v>60</v>
      </c>
      <c r="J479" t="s">
        <v>60</v>
      </c>
      <c r="K479" t="s">
        <v>60</v>
      </c>
      <c r="L479" t="s">
        <v>59</v>
      </c>
      <c r="M479">
        <v>2.5000000000000001E-3</v>
      </c>
      <c r="P479">
        <v>40</v>
      </c>
      <c r="Q479" t="s">
        <v>80</v>
      </c>
      <c r="R479" t="s">
        <v>417</v>
      </c>
      <c r="S479" t="s">
        <v>364</v>
      </c>
      <c r="T479" t="s">
        <v>335</v>
      </c>
      <c r="V479">
        <v>0</v>
      </c>
      <c r="Y479">
        <v>0</v>
      </c>
      <c r="Z479">
        <v>0</v>
      </c>
      <c r="AA479">
        <v>0</v>
      </c>
      <c r="AB479">
        <v>410</v>
      </c>
      <c r="AC479">
        <v>0</v>
      </c>
      <c r="AD479">
        <v>0</v>
      </c>
      <c r="AE479">
        <v>0</v>
      </c>
      <c r="AQ479">
        <v>182377</v>
      </c>
      <c r="AR479" t="b">
        <v>1</v>
      </c>
      <c r="AS479" t="b">
        <v>1</v>
      </c>
      <c r="AT479" t="b">
        <v>1</v>
      </c>
      <c r="AU479" t="b">
        <v>1</v>
      </c>
      <c r="AV479" t="b">
        <v>1</v>
      </c>
      <c r="AW479" t="b">
        <v>1</v>
      </c>
      <c r="AX479" t="b">
        <v>1</v>
      </c>
      <c r="BA479" t="s">
        <v>438</v>
      </c>
    </row>
    <row r="480" spans="1:53" x14ac:dyDescent="0.25">
      <c r="A480" t="s">
        <v>386</v>
      </c>
      <c r="B480">
        <v>5</v>
      </c>
      <c r="C480">
        <v>27</v>
      </c>
      <c r="D480">
        <v>1</v>
      </c>
      <c r="E480">
        <v>58062090</v>
      </c>
      <c r="F480">
        <v>262938</v>
      </c>
      <c r="G480" t="s">
        <v>320</v>
      </c>
      <c r="H480" t="s">
        <v>60</v>
      </c>
      <c r="I480" t="s">
        <v>60</v>
      </c>
      <c r="J480" t="s">
        <v>60</v>
      </c>
      <c r="K480" t="s">
        <v>60</v>
      </c>
      <c r="L480" t="s">
        <v>59</v>
      </c>
      <c r="M480">
        <v>2.5000000000000001E-3</v>
      </c>
      <c r="P480">
        <v>40</v>
      </c>
      <c r="Q480" t="s">
        <v>80</v>
      </c>
      <c r="R480" t="s">
        <v>422</v>
      </c>
      <c r="S480" t="s">
        <v>369</v>
      </c>
      <c r="T480" t="s">
        <v>340</v>
      </c>
      <c r="V480">
        <v>0</v>
      </c>
      <c r="Y480">
        <v>0</v>
      </c>
      <c r="Z480">
        <v>0</v>
      </c>
      <c r="AA480">
        <v>0</v>
      </c>
      <c r="AB480">
        <v>410</v>
      </c>
      <c r="AC480">
        <v>0</v>
      </c>
      <c r="AD480">
        <v>0</v>
      </c>
      <c r="AE480">
        <v>0</v>
      </c>
      <c r="AQ480">
        <v>182377</v>
      </c>
      <c r="AR480" t="b">
        <v>1</v>
      </c>
      <c r="AS480" t="b">
        <v>1</v>
      </c>
      <c r="AT480" t="b">
        <v>1</v>
      </c>
      <c r="AU480" t="b">
        <v>1</v>
      </c>
      <c r="AV480" t="b">
        <v>1</v>
      </c>
      <c r="AW480" t="b">
        <v>1</v>
      </c>
      <c r="AX480" t="b">
        <v>1</v>
      </c>
      <c r="BA480" t="s">
        <v>438</v>
      </c>
    </row>
    <row r="481" spans="1:53" x14ac:dyDescent="0.25">
      <c r="A481" t="s">
        <v>386</v>
      </c>
      <c r="B481">
        <v>5</v>
      </c>
      <c r="C481">
        <v>28</v>
      </c>
      <c r="D481">
        <v>1</v>
      </c>
      <c r="E481">
        <v>58062090</v>
      </c>
      <c r="F481">
        <v>262938</v>
      </c>
      <c r="G481" t="s">
        <v>320</v>
      </c>
      <c r="H481" t="s">
        <v>60</v>
      </c>
      <c r="I481" t="s">
        <v>60</v>
      </c>
      <c r="J481" t="s">
        <v>60</v>
      </c>
      <c r="K481" t="s">
        <v>60</v>
      </c>
      <c r="L481" t="s">
        <v>59</v>
      </c>
      <c r="M481">
        <v>2.5000000000000001E-2</v>
      </c>
      <c r="P481">
        <v>40</v>
      </c>
      <c r="Q481" t="s">
        <v>80</v>
      </c>
      <c r="R481" t="s">
        <v>423</v>
      </c>
      <c r="S481" t="s">
        <v>370</v>
      </c>
      <c r="T481" t="s">
        <v>341</v>
      </c>
      <c r="V481">
        <v>0</v>
      </c>
      <c r="Y481">
        <v>0</v>
      </c>
      <c r="Z481">
        <v>0</v>
      </c>
      <c r="AA481">
        <v>0</v>
      </c>
      <c r="AB481">
        <v>4100</v>
      </c>
      <c r="AC481">
        <v>0</v>
      </c>
      <c r="AD481">
        <v>0</v>
      </c>
      <c r="AE481">
        <v>0</v>
      </c>
      <c r="AQ481">
        <v>182377</v>
      </c>
      <c r="AR481" t="b">
        <v>1</v>
      </c>
      <c r="AS481" t="b">
        <v>1</v>
      </c>
      <c r="AT481" t="b">
        <v>1</v>
      </c>
      <c r="AU481" t="b">
        <v>1</v>
      </c>
      <c r="AV481" t="b">
        <v>1</v>
      </c>
      <c r="AW481" t="b">
        <v>1</v>
      </c>
      <c r="AX481" t="b">
        <v>1</v>
      </c>
      <c r="BA481" t="s">
        <v>438</v>
      </c>
    </row>
    <row r="482" spans="1:53" x14ac:dyDescent="0.25">
      <c r="A482" t="s">
        <v>386</v>
      </c>
      <c r="B482">
        <v>5</v>
      </c>
      <c r="C482">
        <v>29</v>
      </c>
      <c r="D482">
        <v>1</v>
      </c>
      <c r="E482">
        <v>58062090</v>
      </c>
      <c r="F482">
        <v>262938</v>
      </c>
      <c r="G482" t="s">
        <v>320</v>
      </c>
      <c r="H482" t="s">
        <v>60</v>
      </c>
      <c r="I482" t="s">
        <v>60</v>
      </c>
      <c r="J482" t="s">
        <v>60</v>
      </c>
      <c r="K482" t="s">
        <v>60</v>
      </c>
      <c r="L482" t="s">
        <v>59</v>
      </c>
      <c r="M482">
        <v>2.5000000000000001E-2</v>
      </c>
      <c r="P482">
        <v>40</v>
      </c>
      <c r="Q482" t="s">
        <v>80</v>
      </c>
      <c r="R482" t="s">
        <v>424</v>
      </c>
      <c r="S482" t="s">
        <v>371</v>
      </c>
      <c r="T482" t="s">
        <v>342</v>
      </c>
      <c r="V482">
        <v>0</v>
      </c>
      <c r="Y482">
        <v>0</v>
      </c>
      <c r="Z482">
        <v>0</v>
      </c>
      <c r="AA482">
        <v>0</v>
      </c>
      <c r="AB482">
        <v>4100</v>
      </c>
      <c r="AC482">
        <v>0</v>
      </c>
      <c r="AD482">
        <v>0</v>
      </c>
      <c r="AE482">
        <v>0</v>
      </c>
      <c r="AQ482">
        <v>182377</v>
      </c>
      <c r="AR482" t="b">
        <v>1</v>
      </c>
      <c r="AS482" t="b">
        <v>1</v>
      </c>
      <c r="AT482" t="b">
        <v>1</v>
      </c>
      <c r="AU482" t="b">
        <v>1</v>
      </c>
      <c r="AV482" t="b">
        <v>1</v>
      </c>
      <c r="AW482" t="b">
        <v>1</v>
      </c>
      <c r="AX482" t="b">
        <v>1</v>
      </c>
      <c r="BA482" t="s">
        <v>438</v>
      </c>
    </row>
    <row r="483" spans="1:53" x14ac:dyDescent="0.25">
      <c r="A483" t="s">
        <v>386</v>
      </c>
      <c r="B483">
        <v>5</v>
      </c>
      <c r="C483">
        <v>30</v>
      </c>
      <c r="D483">
        <v>1</v>
      </c>
      <c r="E483">
        <v>58062090</v>
      </c>
      <c r="F483">
        <v>262938</v>
      </c>
      <c r="G483" t="s">
        <v>320</v>
      </c>
      <c r="H483" t="s">
        <v>60</v>
      </c>
      <c r="I483" t="s">
        <v>60</v>
      </c>
      <c r="J483" t="s">
        <v>60</v>
      </c>
      <c r="K483" t="s">
        <v>60</v>
      </c>
      <c r="L483" t="s">
        <v>59</v>
      </c>
      <c r="M483">
        <v>2.5000000000000001E-2</v>
      </c>
      <c r="P483">
        <v>40</v>
      </c>
      <c r="Q483" t="s">
        <v>80</v>
      </c>
      <c r="R483" t="s">
        <v>425</v>
      </c>
      <c r="S483" t="s">
        <v>372</v>
      </c>
      <c r="T483" t="s">
        <v>343</v>
      </c>
      <c r="V483">
        <v>0</v>
      </c>
      <c r="Y483">
        <v>0</v>
      </c>
      <c r="Z483">
        <v>0</v>
      </c>
      <c r="AA483">
        <v>0</v>
      </c>
      <c r="AB483">
        <v>4100</v>
      </c>
      <c r="AC483">
        <v>0</v>
      </c>
      <c r="AD483">
        <v>0</v>
      </c>
      <c r="AE483">
        <v>0</v>
      </c>
      <c r="AQ483">
        <v>182377</v>
      </c>
      <c r="AR483" t="b">
        <v>1</v>
      </c>
      <c r="AS483" t="b">
        <v>1</v>
      </c>
      <c r="AT483" t="b">
        <v>1</v>
      </c>
      <c r="AU483" t="b">
        <v>1</v>
      </c>
      <c r="AV483" t="b">
        <v>1</v>
      </c>
      <c r="AW483" t="b">
        <v>1</v>
      </c>
      <c r="AX483" t="b">
        <v>1</v>
      </c>
      <c r="BA483" t="s">
        <v>438</v>
      </c>
    </row>
    <row r="484" spans="1:53" x14ac:dyDescent="0.25">
      <c r="A484" t="s">
        <v>386</v>
      </c>
      <c r="B484">
        <v>5</v>
      </c>
      <c r="C484">
        <v>31</v>
      </c>
      <c r="D484">
        <v>1</v>
      </c>
      <c r="E484">
        <v>58062090</v>
      </c>
      <c r="F484">
        <v>262938</v>
      </c>
      <c r="G484" t="s">
        <v>321</v>
      </c>
      <c r="H484" t="s">
        <v>60</v>
      </c>
      <c r="I484" t="s">
        <v>60</v>
      </c>
      <c r="J484" t="s">
        <v>60</v>
      </c>
      <c r="K484" t="s">
        <v>60</v>
      </c>
      <c r="L484" t="s">
        <v>59</v>
      </c>
      <c r="M484">
        <v>0.16250000000000001</v>
      </c>
      <c r="P484">
        <v>40</v>
      </c>
      <c r="Q484" t="s">
        <v>80</v>
      </c>
      <c r="R484" t="s">
        <v>426</v>
      </c>
      <c r="S484" t="s">
        <v>373</v>
      </c>
      <c r="T484" t="s">
        <v>344</v>
      </c>
      <c r="V484">
        <v>0</v>
      </c>
      <c r="Y484">
        <v>0</v>
      </c>
      <c r="Z484">
        <v>0</v>
      </c>
      <c r="AA484">
        <v>0</v>
      </c>
      <c r="AB484">
        <v>26650</v>
      </c>
      <c r="AC484">
        <v>0</v>
      </c>
      <c r="AD484">
        <v>0</v>
      </c>
      <c r="AE484">
        <v>0</v>
      </c>
      <c r="AQ484">
        <v>182377</v>
      </c>
      <c r="AR484" t="b">
        <v>1</v>
      </c>
      <c r="AS484" t="b">
        <v>1</v>
      </c>
      <c r="AT484" t="b">
        <v>1</v>
      </c>
      <c r="AU484" t="b">
        <v>1</v>
      </c>
      <c r="AV484" t="b">
        <v>1</v>
      </c>
      <c r="AW484" t="b">
        <v>1</v>
      </c>
      <c r="AX484" t="b">
        <v>1</v>
      </c>
      <c r="BA484" t="s">
        <v>438</v>
      </c>
    </row>
    <row r="485" spans="1:53" x14ac:dyDescent="0.25">
      <c r="A485" t="s">
        <v>386</v>
      </c>
      <c r="B485">
        <v>5</v>
      </c>
      <c r="C485">
        <v>32</v>
      </c>
      <c r="D485">
        <v>1</v>
      </c>
      <c r="E485">
        <v>58062090</v>
      </c>
      <c r="F485">
        <v>262938</v>
      </c>
      <c r="G485" t="s">
        <v>321</v>
      </c>
      <c r="H485" t="s">
        <v>60</v>
      </c>
      <c r="I485" t="s">
        <v>60</v>
      </c>
      <c r="J485" t="s">
        <v>60</v>
      </c>
      <c r="K485" t="s">
        <v>60</v>
      </c>
      <c r="L485" t="s">
        <v>59</v>
      </c>
      <c r="M485">
        <v>5.0000000000000001E-3</v>
      </c>
      <c r="P485">
        <v>40</v>
      </c>
      <c r="Q485" t="s">
        <v>80</v>
      </c>
      <c r="R485" t="s">
        <v>427</v>
      </c>
      <c r="S485" t="s">
        <v>374</v>
      </c>
      <c r="T485" t="s">
        <v>345</v>
      </c>
      <c r="V485">
        <v>0</v>
      </c>
      <c r="Y485">
        <v>0</v>
      </c>
      <c r="Z485">
        <v>0</v>
      </c>
      <c r="AA485">
        <v>0</v>
      </c>
      <c r="AB485">
        <v>820</v>
      </c>
      <c r="AC485">
        <v>0</v>
      </c>
      <c r="AD485">
        <v>0</v>
      </c>
      <c r="AE485">
        <v>0</v>
      </c>
      <c r="AQ485">
        <v>182377</v>
      </c>
      <c r="AR485" t="b">
        <v>1</v>
      </c>
      <c r="AS485" t="b">
        <v>1</v>
      </c>
      <c r="AT485" t="b">
        <v>1</v>
      </c>
      <c r="AU485" t="b">
        <v>1</v>
      </c>
      <c r="AV485" t="b">
        <v>1</v>
      </c>
      <c r="AW485" t="b">
        <v>1</v>
      </c>
      <c r="AX485" t="b">
        <v>1</v>
      </c>
      <c r="BA485" t="s">
        <v>438</v>
      </c>
    </row>
    <row r="486" spans="1:53" x14ac:dyDescent="0.25">
      <c r="A486" t="s">
        <v>386</v>
      </c>
      <c r="B486">
        <v>5</v>
      </c>
      <c r="C486">
        <v>33</v>
      </c>
      <c r="D486">
        <v>1</v>
      </c>
      <c r="E486">
        <v>58062090</v>
      </c>
      <c r="F486">
        <v>262938</v>
      </c>
      <c r="G486" t="s">
        <v>321</v>
      </c>
      <c r="H486" t="s">
        <v>60</v>
      </c>
      <c r="I486" t="s">
        <v>60</v>
      </c>
      <c r="J486" t="s">
        <v>60</v>
      </c>
      <c r="K486" t="s">
        <v>60</v>
      </c>
      <c r="L486" t="s">
        <v>59</v>
      </c>
      <c r="M486">
        <v>0.1125</v>
      </c>
      <c r="P486">
        <v>40</v>
      </c>
      <c r="Q486" t="s">
        <v>80</v>
      </c>
      <c r="R486" t="s">
        <v>428</v>
      </c>
      <c r="S486" t="s">
        <v>375</v>
      </c>
      <c r="T486" t="s">
        <v>346</v>
      </c>
      <c r="V486">
        <v>0</v>
      </c>
      <c r="Y486">
        <v>0</v>
      </c>
      <c r="Z486">
        <v>0</v>
      </c>
      <c r="AA486">
        <v>0</v>
      </c>
      <c r="AB486">
        <v>18450</v>
      </c>
      <c r="AC486">
        <v>0</v>
      </c>
      <c r="AD486">
        <v>0</v>
      </c>
      <c r="AE486">
        <v>0</v>
      </c>
      <c r="AQ486">
        <v>182377</v>
      </c>
      <c r="AR486" t="b">
        <v>1</v>
      </c>
      <c r="AS486" t="b">
        <v>1</v>
      </c>
      <c r="AT486" t="b">
        <v>1</v>
      </c>
      <c r="AU486" t="b">
        <v>1</v>
      </c>
      <c r="AV486" t="b">
        <v>1</v>
      </c>
      <c r="AW486" t="b">
        <v>1</v>
      </c>
      <c r="AX486" t="b">
        <v>1</v>
      </c>
      <c r="BA486" t="s">
        <v>438</v>
      </c>
    </row>
    <row r="487" spans="1:53" x14ac:dyDescent="0.25">
      <c r="A487" t="s">
        <v>386</v>
      </c>
      <c r="B487">
        <v>5</v>
      </c>
      <c r="C487">
        <v>34</v>
      </c>
      <c r="D487">
        <v>1</v>
      </c>
      <c r="E487">
        <v>48211090</v>
      </c>
      <c r="F487">
        <v>297274</v>
      </c>
      <c r="G487" t="s">
        <v>315</v>
      </c>
      <c r="H487" t="s">
        <v>60</v>
      </c>
      <c r="I487" t="s">
        <v>60</v>
      </c>
      <c r="J487" t="s">
        <v>60</v>
      </c>
      <c r="K487" t="s">
        <v>60</v>
      </c>
      <c r="L487" t="s">
        <v>12</v>
      </c>
      <c r="M487">
        <v>75</v>
      </c>
      <c r="P487">
        <v>40</v>
      </c>
      <c r="Q487" t="s">
        <v>80</v>
      </c>
      <c r="R487" t="s">
        <v>415</v>
      </c>
      <c r="S487" t="s">
        <v>363</v>
      </c>
      <c r="T487" t="s">
        <v>333</v>
      </c>
      <c r="V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Q487">
        <v>182377</v>
      </c>
      <c r="AR487" t="b">
        <v>1</v>
      </c>
      <c r="AS487" t="b">
        <v>1</v>
      </c>
      <c r="AT487" t="b">
        <v>1</v>
      </c>
      <c r="AU487" t="b">
        <v>1</v>
      </c>
      <c r="AV487" t="b">
        <v>1</v>
      </c>
      <c r="AW487" t="b">
        <v>1</v>
      </c>
      <c r="AX487" t="b">
        <v>1</v>
      </c>
      <c r="BA487" t="s">
        <v>438</v>
      </c>
    </row>
    <row r="488" spans="1:53" x14ac:dyDescent="0.25">
      <c r="A488" t="s">
        <v>386</v>
      </c>
      <c r="B488">
        <v>5</v>
      </c>
      <c r="C488">
        <v>35</v>
      </c>
      <c r="D488">
        <v>1</v>
      </c>
      <c r="E488">
        <v>48211090</v>
      </c>
      <c r="F488">
        <v>297275</v>
      </c>
      <c r="G488" t="s">
        <v>316</v>
      </c>
      <c r="H488" t="s">
        <v>60</v>
      </c>
      <c r="I488" t="s">
        <v>60</v>
      </c>
      <c r="J488" t="s">
        <v>60</v>
      </c>
      <c r="K488" t="s">
        <v>60</v>
      </c>
      <c r="L488" t="s">
        <v>12</v>
      </c>
      <c r="M488">
        <v>11.5</v>
      </c>
      <c r="P488">
        <v>40</v>
      </c>
      <c r="Q488" t="s">
        <v>80</v>
      </c>
      <c r="R488" t="s">
        <v>415</v>
      </c>
      <c r="S488" t="s">
        <v>363</v>
      </c>
      <c r="T488" t="s">
        <v>333</v>
      </c>
      <c r="V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Q488">
        <v>182377</v>
      </c>
      <c r="AR488" t="b">
        <v>1</v>
      </c>
      <c r="AS488" t="b">
        <v>1</v>
      </c>
      <c r="AT488" t="b">
        <v>1</v>
      </c>
      <c r="AU488" t="b">
        <v>1</v>
      </c>
      <c r="AV488" t="b">
        <v>1</v>
      </c>
      <c r="AW488" t="b">
        <v>1</v>
      </c>
      <c r="AX488" t="b">
        <v>1</v>
      </c>
      <c r="BA488" t="s">
        <v>438</v>
      </c>
    </row>
    <row r="489" spans="1:53" x14ac:dyDescent="0.25">
      <c r="A489" t="s">
        <v>386</v>
      </c>
      <c r="B489">
        <v>5</v>
      </c>
      <c r="C489">
        <v>36</v>
      </c>
      <c r="D489">
        <v>1</v>
      </c>
      <c r="E489">
        <v>48211090</v>
      </c>
      <c r="F489">
        <v>297276</v>
      </c>
      <c r="G489" t="s">
        <v>317</v>
      </c>
      <c r="H489" t="s">
        <v>60</v>
      </c>
      <c r="I489" t="s">
        <v>60</v>
      </c>
      <c r="J489" t="s">
        <v>60</v>
      </c>
      <c r="K489" t="s">
        <v>60</v>
      </c>
      <c r="L489" t="s">
        <v>12</v>
      </c>
      <c r="M489">
        <v>26</v>
      </c>
      <c r="P489">
        <v>40</v>
      </c>
      <c r="Q489" t="s">
        <v>80</v>
      </c>
      <c r="R489" t="s">
        <v>415</v>
      </c>
      <c r="S489" t="s">
        <v>363</v>
      </c>
      <c r="T489" t="s">
        <v>333</v>
      </c>
      <c r="V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Q489">
        <v>182377</v>
      </c>
      <c r="AR489" t="b">
        <v>1</v>
      </c>
      <c r="AS489" t="b">
        <v>1</v>
      </c>
      <c r="AT489" t="b">
        <v>1</v>
      </c>
      <c r="AU489" t="b">
        <v>1</v>
      </c>
      <c r="AV489" t="b">
        <v>1</v>
      </c>
      <c r="AW489" t="b">
        <v>1</v>
      </c>
      <c r="AX489" t="b">
        <v>1</v>
      </c>
      <c r="BA489" t="s">
        <v>438</v>
      </c>
    </row>
    <row r="490" spans="1:53" x14ac:dyDescent="0.25">
      <c r="A490" t="s">
        <v>386</v>
      </c>
      <c r="B490">
        <v>5</v>
      </c>
      <c r="C490">
        <v>37</v>
      </c>
      <c r="D490">
        <v>1</v>
      </c>
      <c r="E490">
        <v>48211090</v>
      </c>
      <c r="F490">
        <v>297277</v>
      </c>
      <c r="G490" t="s">
        <v>318</v>
      </c>
      <c r="H490" t="s">
        <v>60</v>
      </c>
      <c r="I490" t="s">
        <v>60</v>
      </c>
      <c r="J490" t="s">
        <v>60</v>
      </c>
      <c r="K490" t="s">
        <v>60</v>
      </c>
      <c r="L490" t="s">
        <v>12</v>
      </c>
      <c r="M490">
        <v>19</v>
      </c>
      <c r="P490">
        <v>40</v>
      </c>
      <c r="Q490" t="s">
        <v>80</v>
      </c>
      <c r="R490" t="s">
        <v>415</v>
      </c>
      <c r="S490" t="s">
        <v>363</v>
      </c>
      <c r="T490" t="s">
        <v>333</v>
      </c>
      <c r="V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Q490">
        <v>182377</v>
      </c>
      <c r="AR490" t="b">
        <v>1</v>
      </c>
      <c r="AS490" t="b">
        <v>1</v>
      </c>
      <c r="AT490" t="b">
        <v>1</v>
      </c>
      <c r="AU490" t="b">
        <v>1</v>
      </c>
      <c r="AV490" t="b">
        <v>1</v>
      </c>
      <c r="AW490" t="b">
        <v>1</v>
      </c>
      <c r="AX490" t="b">
        <v>1</v>
      </c>
      <c r="BA490" t="s">
        <v>438</v>
      </c>
    </row>
    <row r="491" spans="1:53" x14ac:dyDescent="0.25">
      <c r="A491" t="s">
        <v>386</v>
      </c>
      <c r="B491">
        <v>5</v>
      </c>
      <c r="C491">
        <v>38</v>
      </c>
      <c r="D491">
        <v>1</v>
      </c>
      <c r="E491">
        <v>48211090</v>
      </c>
      <c r="F491">
        <v>297278</v>
      </c>
      <c r="G491" t="s">
        <v>319</v>
      </c>
      <c r="H491" t="s">
        <v>60</v>
      </c>
      <c r="I491" t="s">
        <v>60</v>
      </c>
      <c r="J491" t="s">
        <v>60</v>
      </c>
      <c r="K491" t="s">
        <v>60</v>
      </c>
      <c r="L491" t="s">
        <v>12</v>
      </c>
      <c r="M491">
        <v>18.5</v>
      </c>
      <c r="P491">
        <v>40</v>
      </c>
      <c r="Q491" t="s">
        <v>80</v>
      </c>
      <c r="R491" t="s">
        <v>415</v>
      </c>
      <c r="S491" t="s">
        <v>363</v>
      </c>
      <c r="T491" t="s">
        <v>333</v>
      </c>
      <c r="V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Q491">
        <v>182377</v>
      </c>
      <c r="AR491" t="b">
        <v>1</v>
      </c>
      <c r="AS491" t="b">
        <v>1</v>
      </c>
      <c r="AT491" t="b">
        <v>1</v>
      </c>
      <c r="AU491" t="b">
        <v>1</v>
      </c>
      <c r="AV491" t="b">
        <v>1</v>
      </c>
      <c r="AW491" t="b">
        <v>1</v>
      </c>
      <c r="AX491" t="b">
        <v>1</v>
      </c>
      <c r="BA491" t="s">
        <v>438</v>
      </c>
    </row>
    <row r="492" spans="1:53" x14ac:dyDescent="0.25">
      <c r="A492" t="s">
        <v>386</v>
      </c>
      <c r="B492">
        <v>5</v>
      </c>
      <c r="C492">
        <v>39</v>
      </c>
      <c r="D492">
        <v>1</v>
      </c>
      <c r="E492">
        <v>52081900</v>
      </c>
      <c r="F492">
        <v>274799</v>
      </c>
      <c r="G492" t="s">
        <v>311</v>
      </c>
      <c r="H492" t="s">
        <v>60</v>
      </c>
      <c r="I492" t="s">
        <v>60</v>
      </c>
      <c r="J492" t="s">
        <v>60</v>
      </c>
      <c r="K492" t="s">
        <v>60</v>
      </c>
      <c r="L492" t="s">
        <v>27</v>
      </c>
      <c r="M492">
        <v>3</v>
      </c>
      <c r="P492">
        <v>40</v>
      </c>
      <c r="Q492" t="s">
        <v>80</v>
      </c>
      <c r="R492" t="s">
        <v>409</v>
      </c>
      <c r="S492" t="s">
        <v>358</v>
      </c>
      <c r="T492" t="s">
        <v>327</v>
      </c>
      <c r="V492">
        <v>0</v>
      </c>
      <c r="Y492">
        <v>0</v>
      </c>
      <c r="Z492">
        <v>0</v>
      </c>
      <c r="AA492">
        <v>0</v>
      </c>
      <c r="AB492">
        <v>1439525.76</v>
      </c>
      <c r="AC492">
        <v>0</v>
      </c>
      <c r="AD492">
        <v>0</v>
      </c>
      <c r="AE492">
        <v>0</v>
      </c>
      <c r="AQ492">
        <v>182377</v>
      </c>
      <c r="AR492" t="b">
        <v>1</v>
      </c>
      <c r="AS492" t="b">
        <v>1</v>
      </c>
      <c r="AT492" t="b">
        <v>1</v>
      </c>
      <c r="AU492" t="b">
        <v>1</v>
      </c>
      <c r="AV492" t="b">
        <v>1</v>
      </c>
      <c r="AW492" t="b">
        <v>1</v>
      </c>
      <c r="AX492" t="b">
        <v>1</v>
      </c>
      <c r="BA492" t="s">
        <v>438</v>
      </c>
    </row>
    <row r="493" spans="1:53" x14ac:dyDescent="0.25">
      <c r="A493" t="s">
        <v>386</v>
      </c>
      <c r="B493">
        <v>5</v>
      </c>
      <c r="C493">
        <v>40</v>
      </c>
      <c r="D493">
        <v>1</v>
      </c>
      <c r="E493">
        <v>52081900</v>
      </c>
      <c r="F493">
        <v>275340</v>
      </c>
      <c r="G493" t="s">
        <v>312</v>
      </c>
      <c r="H493" t="s">
        <v>60</v>
      </c>
      <c r="I493" t="s">
        <v>60</v>
      </c>
      <c r="J493" t="s">
        <v>60</v>
      </c>
      <c r="K493" t="s">
        <v>60</v>
      </c>
      <c r="L493" t="s">
        <v>27</v>
      </c>
      <c r="M493">
        <v>3</v>
      </c>
      <c r="P493">
        <v>40</v>
      </c>
      <c r="Q493" t="s">
        <v>80</v>
      </c>
      <c r="R493" t="s">
        <v>410</v>
      </c>
      <c r="S493" t="s">
        <v>359</v>
      </c>
      <c r="T493" t="s">
        <v>328</v>
      </c>
      <c r="V493">
        <v>0</v>
      </c>
      <c r="Y493">
        <v>0</v>
      </c>
      <c r="Z493">
        <v>0</v>
      </c>
      <c r="AA493">
        <v>0</v>
      </c>
      <c r="AB493">
        <v>1439525.76</v>
      </c>
      <c r="AC493">
        <v>0</v>
      </c>
      <c r="AD493">
        <v>0</v>
      </c>
      <c r="AE493">
        <v>0</v>
      </c>
      <c r="AQ493">
        <v>182377</v>
      </c>
      <c r="AR493" t="b">
        <v>1</v>
      </c>
      <c r="AS493" t="b">
        <v>1</v>
      </c>
      <c r="AT493" t="b">
        <v>1</v>
      </c>
      <c r="AU493" t="b">
        <v>1</v>
      </c>
      <c r="AV493" t="b">
        <v>1</v>
      </c>
      <c r="AW493" t="b">
        <v>1</v>
      </c>
      <c r="AX493" t="b">
        <v>1</v>
      </c>
      <c r="BA493" t="s">
        <v>438</v>
      </c>
    </row>
    <row r="494" spans="1:53" x14ac:dyDescent="0.25">
      <c r="A494" t="s">
        <v>386</v>
      </c>
      <c r="B494">
        <v>5</v>
      </c>
      <c r="C494">
        <v>41</v>
      </c>
      <c r="D494">
        <v>1</v>
      </c>
      <c r="E494">
        <v>58062090</v>
      </c>
      <c r="F494">
        <v>262938</v>
      </c>
      <c r="G494" t="s">
        <v>322</v>
      </c>
      <c r="H494" t="s">
        <v>60</v>
      </c>
      <c r="I494" t="s">
        <v>60</v>
      </c>
      <c r="J494" t="s">
        <v>60</v>
      </c>
      <c r="K494" t="s">
        <v>60</v>
      </c>
      <c r="L494" t="s">
        <v>59</v>
      </c>
      <c r="M494">
        <v>2.5000000000000001E-3</v>
      </c>
      <c r="P494">
        <v>40</v>
      </c>
      <c r="Q494" t="s">
        <v>80</v>
      </c>
      <c r="R494" t="s">
        <v>419</v>
      </c>
      <c r="S494" t="s">
        <v>366</v>
      </c>
      <c r="T494" t="s">
        <v>337</v>
      </c>
      <c r="V494">
        <v>0</v>
      </c>
      <c r="Y494">
        <v>0</v>
      </c>
      <c r="Z494">
        <v>0</v>
      </c>
      <c r="AA494">
        <v>0</v>
      </c>
      <c r="AB494">
        <v>390</v>
      </c>
      <c r="AC494">
        <v>0</v>
      </c>
      <c r="AD494">
        <v>0</v>
      </c>
      <c r="AE494">
        <v>0</v>
      </c>
      <c r="AQ494">
        <v>182377</v>
      </c>
      <c r="AR494" t="b">
        <v>1</v>
      </c>
      <c r="AS494" t="b">
        <v>1</v>
      </c>
      <c r="AT494" t="b">
        <v>1</v>
      </c>
      <c r="AU494" t="b">
        <v>1</v>
      </c>
      <c r="AV494" t="b">
        <v>1</v>
      </c>
      <c r="AW494" t="b">
        <v>1</v>
      </c>
      <c r="AX494" t="b">
        <v>1</v>
      </c>
      <c r="BA494" t="s">
        <v>438</v>
      </c>
    </row>
    <row r="495" spans="1:53" x14ac:dyDescent="0.25">
      <c r="A495" t="s">
        <v>386</v>
      </c>
      <c r="B495">
        <v>5</v>
      </c>
      <c r="C495">
        <v>42</v>
      </c>
      <c r="D495">
        <v>1</v>
      </c>
      <c r="E495">
        <v>58062090</v>
      </c>
      <c r="F495">
        <v>262938</v>
      </c>
      <c r="G495" t="s">
        <v>320</v>
      </c>
      <c r="H495" t="s">
        <v>60</v>
      </c>
      <c r="I495" t="s">
        <v>60</v>
      </c>
      <c r="J495" t="s">
        <v>60</v>
      </c>
      <c r="K495" t="s">
        <v>60</v>
      </c>
      <c r="L495" t="s">
        <v>59</v>
      </c>
      <c r="M495">
        <v>0.01</v>
      </c>
      <c r="P495">
        <v>40</v>
      </c>
      <c r="Q495" t="s">
        <v>80</v>
      </c>
      <c r="R495" t="s">
        <v>420</v>
      </c>
      <c r="S495" t="s">
        <v>367</v>
      </c>
      <c r="T495" t="s">
        <v>338</v>
      </c>
      <c r="V495">
        <v>0</v>
      </c>
      <c r="Y495">
        <v>0</v>
      </c>
      <c r="Z495">
        <v>0</v>
      </c>
      <c r="AA495">
        <v>0</v>
      </c>
      <c r="AB495">
        <v>1640</v>
      </c>
      <c r="AC495">
        <v>0</v>
      </c>
      <c r="AD495">
        <v>0</v>
      </c>
      <c r="AE495">
        <v>0</v>
      </c>
      <c r="AQ495">
        <v>182377</v>
      </c>
      <c r="AR495" t="b">
        <v>1</v>
      </c>
      <c r="AS495" t="b">
        <v>1</v>
      </c>
      <c r="AT495" t="b">
        <v>1</v>
      </c>
      <c r="AU495" t="b">
        <v>1</v>
      </c>
      <c r="AV495" t="b">
        <v>1</v>
      </c>
      <c r="AW495" t="b">
        <v>1</v>
      </c>
      <c r="AX495" t="b">
        <v>1</v>
      </c>
      <c r="BA495" t="s">
        <v>438</v>
      </c>
    </row>
    <row r="496" spans="1:53" x14ac:dyDescent="0.25">
      <c r="A496" t="s">
        <v>386</v>
      </c>
      <c r="B496">
        <v>5</v>
      </c>
      <c r="C496">
        <v>43</v>
      </c>
      <c r="D496">
        <v>1</v>
      </c>
      <c r="E496">
        <v>58062090</v>
      </c>
      <c r="F496">
        <v>262938</v>
      </c>
      <c r="G496" t="s">
        <v>320</v>
      </c>
      <c r="H496" t="s">
        <v>60</v>
      </c>
      <c r="I496" t="s">
        <v>60</v>
      </c>
      <c r="J496" t="s">
        <v>60</v>
      </c>
      <c r="K496" t="s">
        <v>60</v>
      </c>
      <c r="L496" t="s">
        <v>59</v>
      </c>
      <c r="M496">
        <v>7.4999999999999997E-3</v>
      </c>
      <c r="P496">
        <v>40</v>
      </c>
      <c r="Q496" t="s">
        <v>80</v>
      </c>
      <c r="R496" t="s">
        <v>421</v>
      </c>
      <c r="S496" t="s">
        <v>368</v>
      </c>
      <c r="T496" t="s">
        <v>339</v>
      </c>
      <c r="V496">
        <v>0</v>
      </c>
      <c r="Y496">
        <v>0</v>
      </c>
      <c r="Z496">
        <v>0</v>
      </c>
      <c r="AA496">
        <v>0</v>
      </c>
      <c r="AB496">
        <v>1230</v>
      </c>
      <c r="AC496">
        <v>0</v>
      </c>
      <c r="AD496">
        <v>0</v>
      </c>
      <c r="AE496">
        <v>0</v>
      </c>
      <c r="AQ496">
        <v>182377</v>
      </c>
      <c r="AR496" t="b">
        <v>1</v>
      </c>
      <c r="AS496" t="b">
        <v>1</v>
      </c>
      <c r="AT496" t="b">
        <v>1</v>
      </c>
      <c r="AU496" t="b">
        <v>1</v>
      </c>
      <c r="AV496" t="b">
        <v>1</v>
      </c>
      <c r="AW496" t="b">
        <v>1</v>
      </c>
      <c r="AX496" t="b">
        <v>1</v>
      </c>
      <c r="BA496" t="s">
        <v>438</v>
      </c>
    </row>
    <row r="497" spans="1:53" x14ac:dyDescent="0.25">
      <c r="A497" t="s">
        <v>386</v>
      </c>
      <c r="B497">
        <v>5</v>
      </c>
      <c r="C497">
        <v>44</v>
      </c>
      <c r="D497">
        <v>1</v>
      </c>
      <c r="E497">
        <v>58062090</v>
      </c>
      <c r="F497">
        <v>262938</v>
      </c>
      <c r="G497" t="s">
        <v>320</v>
      </c>
      <c r="H497" t="s">
        <v>60</v>
      </c>
      <c r="I497" t="s">
        <v>60</v>
      </c>
      <c r="J497" t="s">
        <v>60</v>
      </c>
      <c r="K497" t="s">
        <v>60</v>
      </c>
      <c r="L497" t="s">
        <v>59</v>
      </c>
      <c r="M497">
        <v>5.0000000000000001E-3</v>
      </c>
      <c r="P497">
        <v>40</v>
      </c>
      <c r="Q497" t="s">
        <v>80</v>
      </c>
      <c r="R497" t="s">
        <v>416</v>
      </c>
      <c r="S497" t="s">
        <v>360</v>
      </c>
      <c r="T497" t="s">
        <v>334</v>
      </c>
      <c r="V497">
        <v>0</v>
      </c>
      <c r="Y497">
        <v>0</v>
      </c>
      <c r="Z497">
        <v>0</v>
      </c>
      <c r="AA497">
        <v>0</v>
      </c>
      <c r="AB497">
        <v>820</v>
      </c>
      <c r="AC497">
        <v>0</v>
      </c>
      <c r="AD497">
        <v>0</v>
      </c>
      <c r="AE497">
        <v>0</v>
      </c>
      <c r="AQ497">
        <v>182377</v>
      </c>
      <c r="AR497" t="b">
        <v>1</v>
      </c>
      <c r="AS497" t="b">
        <v>1</v>
      </c>
      <c r="AT497" t="b">
        <v>1</v>
      </c>
      <c r="AU497" t="b">
        <v>1</v>
      </c>
      <c r="AV497" t="b">
        <v>1</v>
      </c>
      <c r="AW497" t="b">
        <v>1</v>
      </c>
      <c r="AX497" t="b">
        <v>1</v>
      </c>
      <c r="BA497" t="s">
        <v>438</v>
      </c>
    </row>
    <row r="498" spans="1:53" x14ac:dyDescent="0.25">
      <c r="A498" t="s">
        <v>386</v>
      </c>
      <c r="B498">
        <v>5</v>
      </c>
      <c r="C498">
        <v>45</v>
      </c>
      <c r="D498">
        <v>1</v>
      </c>
      <c r="E498">
        <v>58061090</v>
      </c>
      <c r="F498">
        <v>262938</v>
      </c>
      <c r="G498" t="s">
        <v>320</v>
      </c>
      <c r="H498" t="s">
        <v>60</v>
      </c>
      <c r="I498" t="s">
        <v>60</v>
      </c>
      <c r="J498" t="s">
        <v>60</v>
      </c>
      <c r="K498" t="s">
        <v>60</v>
      </c>
      <c r="L498" t="s">
        <v>59</v>
      </c>
      <c r="M498">
        <v>2.5000000000000001E-3</v>
      </c>
      <c r="P498">
        <v>40</v>
      </c>
      <c r="Q498" t="s">
        <v>80</v>
      </c>
      <c r="R498" t="s">
        <v>417</v>
      </c>
      <c r="S498" t="s">
        <v>364</v>
      </c>
      <c r="T498" t="s">
        <v>335</v>
      </c>
      <c r="V498">
        <v>0</v>
      </c>
      <c r="Y498">
        <v>0</v>
      </c>
      <c r="Z498">
        <v>0</v>
      </c>
      <c r="AA498">
        <v>0</v>
      </c>
      <c r="AB498">
        <v>410</v>
      </c>
      <c r="AC498">
        <v>0</v>
      </c>
      <c r="AD498">
        <v>0</v>
      </c>
      <c r="AE498">
        <v>0</v>
      </c>
      <c r="AQ498">
        <v>182377</v>
      </c>
      <c r="AR498" t="b">
        <v>1</v>
      </c>
      <c r="AS498" t="b">
        <v>1</v>
      </c>
      <c r="AT498" t="b">
        <v>1</v>
      </c>
      <c r="AU498" t="b">
        <v>1</v>
      </c>
      <c r="AV498" t="b">
        <v>1</v>
      </c>
      <c r="AW498" t="b">
        <v>1</v>
      </c>
      <c r="AX498" t="b">
        <v>1</v>
      </c>
      <c r="BA498" t="s">
        <v>438</v>
      </c>
    </row>
    <row r="499" spans="1:53" x14ac:dyDescent="0.25">
      <c r="A499" t="s">
        <v>386</v>
      </c>
      <c r="B499">
        <v>5</v>
      </c>
      <c r="C499">
        <v>46</v>
      </c>
      <c r="D499">
        <v>1</v>
      </c>
      <c r="E499">
        <v>58062090</v>
      </c>
      <c r="F499">
        <v>262938</v>
      </c>
      <c r="G499" t="s">
        <v>320</v>
      </c>
      <c r="H499" t="s">
        <v>60</v>
      </c>
      <c r="I499" t="s">
        <v>60</v>
      </c>
      <c r="J499" t="s">
        <v>60</v>
      </c>
      <c r="K499" t="s">
        <v>60</v>
      </c>
      <c r="L499" t="s">
        <v>59</v>
      </c>
      <c r="M499">
        <v>2.5000000000000001E-3</v>
      </c>
      <c r="P499">
        <v>40</v>
      </c>
      <c r="Q499" t="s">
        <v>80</v>
      </c>
      <c r="R499" t="s">
        <v>422</v>
      </c>
      <c r="S499" t="s">
        <v>369</v>
      </c>
      <c r="T499" t="s">
        <v>340</v>
      </c>
      <c r="V499">
        <v>0</v>
      </c>
      <c r="Y499">
        <v>0</v>
      </c>
      <c r="Z499">
        <v>0</v>
      </c>
      <c r="AA499">
        <v>0</v>
      </c>
      <c r="AB499">
        <v>410</v>
      </c>
      <c r="AC499">
        <v>0</v>
      </c>
      <c r="AD499">
        <v>0</v>
      </c>
      <c r="AE499">
        <v>0</v>
      </c>
      <c r="AQ499">
        <v>182377</v>
      </c>
      <c r="AR499" t="b">
        <v>1</v>
      </c>
      <c r="AS499" t="b">
        <v>1</v>
      </c>
      <c r="AT499" t="b">
        <v>1</v>
      </c>
      <c r="AU499" t="b">
        <v>1</v>
      </c>
      <c r="AV499" t="b">
        <v>1</v>
      </c>
      <c r="AW499" t="b">
        <v>1</v>
      </c>
      <c r="AX499" t="b">
        <v>1</v>
      </c>
      <c r="BA499" t="s">
        <v>438</v>
      </c>
    </row>
    <row r="500" spans="1:53" x14ac:dyDescent="0.25">
      <c r="A500" t="s">
        <v>386</v>
      </c>
      <c r="B500">
        <v>5</v>
      </c>
      <c r="C500">
        <v>47</v>
      </c>
      <c r="D500">
        <v>1</v>
      </c>
      <c r="E500">
        <v>58062090</v>
      </c>
      <c r="F500">
        <v>262938</v>
      </c>
      <c r="G500" t="s">
        <v>320</v>
      </c>
      <c r="H500" t="s">
        <v>60</v>
      </c>
      <c r="I500" t="s">
        <v>60</v>
      </c>
      <c r="J500" t="s">
        <v>60</v>
      </c>
      <c r="K500" t="s">
        <v>60</v>
      </c>
      <c r="L500" t="s">
        <v>59</v>
      </c>
      <c r="M500">
        <v>2.5000000000000001E-2</v>
      </c>
      <c r="P500">
        <v>40</v>
      </c>
      <c r="Q500" t="s">
        <v>80</v>
      </c>
      <c r="R500" t="s">
        <v>423</v>
      </c>
      <c r="S500" t="s">
        <v>370</v>
      </c>
      <c r="T500" t="s">
        <v>341</v>
      </c>
      <c r="V500">
        <v>0</v>
      </c>
      <c r="Y500">
        <v>0</v>
      </c>
      <c r="Z500">
        <v>0</v>
      </c>
      <c r="AA500">
        <v>0</v>
      </c>
      <c r="AB500">
        <v>4100</v>
      </c>
      <c r="AC500">
        <v>0</v>
      </c>
      <c r="AD500">
        <v>0</v>
      </c>
      <c r="AE500">
        <v>0</v>
      </c>
      <c r="AQ500">
        <v>182377</v>
      </c>
      <c r="AR500" t="b">
        <v>1</v>
      </c>
      <c r="AS500" t="b">
        <v>1</v>
      </c>
      <c r="AT500" t="b">
        <v>1</v>
      </c>
      <c r="AU500" t="b">
        <v>1</v>
      </c>
      <c r="AV500" t="b">
        <v>1</v>
      </c>
      <c r="AW500" t="b">
        <v>1</v>
      </c>
      <c r="AX500" t="b">
        <v>1</v>
      </c>
      <c r="BA500" t="s">
        <v>438</v>
      </c>
    </row>
    <row r="501" spans="1:53" x14ac:dyDescent="0.25">
      <c r="A501" t="s">
        <v>386</v>
      </c>
      <c r="B501">
        <v>5</v>
      </c>
      <c r="C501">
        <v>48</v>
      </c>
      <c r="D501">
        <v>1</v>
      </c>
      <c r="E501">
        <v>58062090</v>
      </c>
      <c r="F501">
        <v>262938</v>
      </c>
      <c r="G501" t="s">
        <v>320</v>
      </c>
      <c r="H501" t="s">
        <v>60</v>
      </c>
      <c r="I501" t="s">
        <v>60</v>
      </c>
      <c r="J501" t="s">
        <v>60</v>
      </c>
      <c r="K501" t="s">
        <v>60</v>
      </c>
      <c r="L501" t="s">
        <v>59</v>
      </c>
      <c r="M501">
        <v>2.5000000000000001E-2</v>
      </c>
      <c r="P501">
        <v>40</v>
      </c>
      <c r="Q501" t="s">
        <v>80</v>
      </c>
      <c r="R501" t="s">
        <v>424</v>
      </c>
      <c r="S501" t="s">
        <v>371</v>
      </c>
      <c r="T501" t="s">
        <v>342</v>
      </c>
      <c r="V501">
        <v>0</v>
      </c>
      <c r="Y501">
        <v>0</v>
      </c>
      <c r="Z501">
        <v>0</v>
      </c>
      <c r="AA501">
        <v>0</v>
      </c>
      <c r="AB501">
        <v>4100</v>
      </c>
      <c r="AC501">
        <v>0</v>
      </c>
      <c r="AD501">
        <v>0</v>
      </c>
      <c r="AE501">
        <v>0</v>
      </c>
      <c r="AQ501">
        <v>182377</v>
      </c>
      <c r="AR501" t="b">
        <v>1</v>
      </c>
      <c r="AS501" t="b">
        <v>1</v>
      </c>
      <c r="AT501" t="b">
        <v>1</v>
      </c>
      <c r="AU501" t="b">
        <v>1</v>
      </c>
      <c r="AV501" t="b">
        <v>1</v>
      </c>
      <c r="AW501" t="b">
        <v>1</v>
      </c>
      <c r="AX501" t="b">
        <v>1</v>
      </c>
      <c r="BA501" t="s">
        <v>438</v>
      </c>
    </row>
    <row r="502" spans="1:53" x14ac:dyDescent="0.25">
      <c r="A502" t="s">
        <v>386</v>
      </c>
      <c r="B502">
        <v>5</v>
      </c>
      <c r="C502">
        <v>49</v>
      </c>
      <c r="D502">
        <v>1</v>
      </c>
      <c r="E502">
        <v>58062090</v>
      </c>
      <c r="F502">
        <v>262938</v>
      </c>
      <c r="G502" t="s">
        <v>320</v>
      </c>
      <c r="H502" t="s">
        <v>60</v>
      </c>
      <c r="I502" t="s">
        <v>60</v>
      </c>
      <c r="J502" t="s">
        <v>60</v>
      </c>
      <c r="K502" t="s">
        <v>60</v>
      </c>
      <c r="L502" t="s">
        <v>59</v>
      </c>
      <c r="M502">
        <v>2.5000000000000001E-2</v>
      </c>
      <c r="P502">
        <v>40</v>
      </c>
      <c r="Q502" t="s">
        <v>80</v>
      </c>
      <c r="R502" t="s">
        <v>425</v>
      </c>
      <c r="S502" t="s">
        <v>372</v>
      </c>
      <c r="T502" t="s">
        <v>343</v>
      </c>
      <c r="V502">
        <v>0</v>
      </c>
      <c r="Y502">
        <v>0</v>
      </c>
      <c r="Z502">
        <v>0</v>
      </c>
      <c r="AA502">
        <v>0</v>
      </c>
      <c r="AB502">
        <v>4100</v>
      </c>
      <c r="AC502">
        <v>0</v>
      </c>
      <c r="AD502">
        <v>0</v>
      </c>
      <c r="AE502">
        <v>0</v>
      </c>
      <c r="AQ502">
        <v>182377</v>
      </c>
      <c r="AR502" t="b">
        <v>1</v>
      </c>
      <c r="AS502" t="b">
        <v>1</v>
      </c>
      <c r="AT502" t="b">
        <v>1</v>
      </c>
      <c r="AU502" t="b">
        <v>1</v>
      </c>
      <c r="AV502" t="b">
        <v>1</v>
      </c>
      <c r="AW502" t="b">
        <v>1</v>
      </c>
      <c r="AX502" t="b">
        <v>1</v>
      </c>
      <c r="BA502" t="s">
        <v>438</v>
      </c>
    </row>
    <row r="503" spans="1:53" x14ac:dyDescent="0.25">
      <c r="A503" t="s">
        <v>386</v>
      </c>
      <c r="B503">
        <v>5</v>
      </c>
      <c r="C503">
        <v>50</v>
      </c>
      <c r="D503">
        <v>1</v>
      </c>
      <c r="E503">
        <v>58062090</v>
      </c>
      <c r="F503">
        <v>262938</v>
      </c>
      <c r="G503" t="s">
        <v>321</v>
      </c>
      <c r="H503" t="s">
        <v>60</v>
      </c>
      <c r="I503" t="s">
        <v>60</v>
      </c>
      <c r="J503" t="s">
        <v>60</v>
      </c>
      <c r="K503" t="s">
        <v>60</v>
      </c>
      <c r="L503" t="s">
        <v>59</v>
      </c>
      <c r="M503">
        <v>0.16250000000000001</v>
      </c>
      <c r="P503">
        <v>40</v>
      </c>
      <c r="Q503" t="s">
        <v>80</v>
      </c>
      <c r="R503" t="s">
        <v>426</v>
      </c>
      <c r="S503" t="s">
        <v>373</v>
      </c>
      <c r="T503" t="s">
        <v>344</v>
      </c>
      <c r="V503">
        <v>0</v>
      </c>
      <c r="Y503">
        <v>0</v>
      </c>
      <c r="Z503">
        <v>0</v>
      </c>
      <c r="AA503">
        <v>0</v>
      </c>
      <c r="AB503">
        <v>26650</v>
      </c>
      <c r="AC503">
        <v>0</v>
      </c>
      <c r="AD503">
        <v>0</v>
      </c>
      <c r="AE503">
        <v>0</v>
      </c>
      <c r="AQ503">
        <v>182377</v>
      </c>
      <c r="AR503" t="b">
        <v>1</v>
      </c>
      <c r="AS503" t="b">
        <v>1</v>
      </c>
      <c r="AT503" t="b">
        <v>1</v>
      </c>
      <c r="AU503" t="b">
        <v>1</v>
      </c>
      <c r="AV503" t="b">
        <v>1</v>
      </c>
      <c r="AW503" t="b">
        <v>1</v>
      </c>
      <c r="AX503" t="b">
        <v>1</v>
      </c>
      <c r="BA503" t="s">
        <v>438</v>
      </c>
    </row>
    <row r="504" spans="1:53" x14ac:dyDescent="0.25">
      <c r="A504" t="s">
        <v>386</v>
      </c>
      <c r="B504">
        <v>5</v>
      </c>
      <c r="C504">
        <v>51</v>
      </c>
      <c r="D504">
        <v>1</v>
      </c>
      <c r="E504">
        <v>58062090</v>
      </c>
      <c r="F504">
        <v>262938</v>
      </c>
      <c r="G504" t="s">
        <v>321</v>
      </c>
      <c r="H504" t="s">
        <v>60</v>
      </c>
      <c r="I504" t="s">
        <v>60</v>
      </c>
      <c r="J504" t="s">
        <v>60</v>
      </c>
      <c r="K504" t="s">
        <v>60</v>
      </c>
      <c r="L504" t="s">
        <v>59</v>
      </c>
      <c r="M504">
        <v>5.0000000000000001E-3</v>
      </c>
      <c r="P504">
        <v>40</v>
      </c>
      <c r="Q504" t="s">
        <v>80</v>
      </c>
      <c r="R504" t="s">
        <v>427</v>
      </c>
      <c r="S504" t="s">
        <v>374</v>
      </c>
      <c r="T504" t="s">
        <v>345</v>
      </c>
      <c r="V504">
        <v>0</v>
      </c>
      <c r="Y504">
        <v>0</v>
      </c>
      <c r="Z504">
        <v>0</v>
      </c>
      <c r="AA504">
        <v>0</v>
      </c>
      <c r="AB504">
        <v>820</v>
      </c>
      <c r="AC504">
        <v>0</v>
      </c>
      <c r="AD504">
        <v>0</v>
      </c>
      <c r="AE504">
        <v>0</v>
      </c>
      <c r="AQ504">
        <v>182377</v>
      </c>
      <c r="AR504" t="b">
        <v>1</v>
      </c>
      <c r="AS504" t="b">
        <v>1</v>
      </c>
      <c r="AT504" t="b">
        <v>1</v>
      </c>
      <c r="AU504" t="b">
        <v>1</v>
      </c>
      <c r="AV504" t="b">
        <v>1</v>
      </c>
      <c r="AW504" t="b">
        <v>1</v>
      </c>
      <c r="AX504" t="b">
        <v>1</v>
      </c>
      <c r="BA504" t="s">
        <v>438</v>
      </c>
    </row>
    <row r="505" spans="1:53" x14ac:dyDescent="0.25">
      <c r="A505" t="s">
        <v>386</v>
      </c>
      <c r="B505">
        <v>5</v>
      </c>
      <c r="C505">
        <v>52</v>
      </c>
      <c r="D505">
        <v>1</v>
      </c>
      <c r="E505">
        <v>58062090</v>
      </c>
      <c r="F505">
        <v>262938</v>
      </c>
      <c r="G505" t="s">
        <v>321</v>
      </c>
      <c r="H505" t="s">
        <v>60</v>
      </c>
      <c r="I505" t="s">
        <v>60</v>
      </c>
      <c r="J505" t="s">
        <v>60</v>
      </c>
      <c r="K505" t="s">
        <v>60</v>
      </c>
      <c r="L505" t="s">
        <v>59</v>
      </c>
      <c r="M505">
        <v>0.1125</v>
      </c>
      <c r="P505">
        <v>40</v>
      </c>
      <c r="Q505" t="s">
        <v>80</v>
      </c>
      <c r="R505" t="s">
        <v>428</v>
      </c>
      <c r="S505" t="s">
        <v>375</v>
      </c>
      <c r="T505" t="s">
        <v>346</v>
      </c>
      <c r="V505">
        <v>0</v>
      </c>
      <c r="Y505">
        <v>0</v>
      </c>
      <c r="Z505">
        <v>0</v>
      </c>
      <c r="AA505">
        <v>0</v>
      </c>
      <c r="AB505">
        <v>18450</v>
      </c>
      <c r="AC505">
        <v>0</v>
      </c>
      <c r="AD505">
        <v>0</v>
      </c>
      <c r="AE505">
        <v>0</v>
      </c>
      <c r="AQ505">
        <v>182377</v>
      </c>
      <c r="AR505" t="b">
        <v>1</v>
      </c>
      <c r="AS505" t="b">
        <v>1</v>
      </c>
      <c r="AT505" t="b">
        <v>1</v>
      </c>
      <c r="AU505" t="b">
        <v>1</v>
      </c>
      <c r="AV505" t="b">
        <v>1</v>
      </c>
      <c r="AW505" t="b">
        <v>1</v>
      </c>
      <c r="AX505" t="b">
        <v>1</v>
      </c>
      <c r="BA505" t="s">
        <v>438</v>
      </c>
    </row>
    <row r="506" spans="1:53" x14ac:dyDescent="0.25">
      <c r="A506" t="s">
        <v>386</v>
      </c>
      <c r="B506">
        <v>5</v>
      </c>
      <c r="C506">
        <v>53</v>
      </c>
      <c r="D506">
        <v>1</v>
      </c>
      <c r="E506">
        <v>48211090</v>
      </c>
      <c r="F506">
        <v>297274</v>
      </c>
      <c r="G506" t="s">
        <v>315</v>
      </c>
      <c r="H506" t="s">
        <v>60</v>
      </c>
      <c r="I506" t="s">
        <v>60</v>
      </c>
      <c r="J506" t="s">
        <v>60</v>
      </c>
      <c r="K506" t="s">
        <v>60</v>
      </c>
      <c r="L506" t="s">
        <v>12</v>
      </c>
      <c r="M506">
        <v>75</v>
      </c>
      <c r="P506">
        <v>40</v>
      </c>
      <c r="Q506" t="s">
        <v>80</v>
      </c>
      <c r="R506" t="s">
        <v>415</v>
      </c>
      <c r="S506" t="s">
        <v>363</v>
      </c>
      <c r="T506" t="s">
        <v>333</v>
      </c>
      <c r="V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Q506">
        <v>182377</v>
      </c>
      <c r="AR506" t="b">
        <v>1</v>
      </c>
      <c r="AS506" t="b">
        <v>1</v>
      </c>
      <c r="AT506" t="b">
        <v>1</v>
      </c>
      <c r="AU506" t="b">
        <v>1</v>
      </c>
      <c r="AV506" t="b">
        <v>1</v>
      </c>
      <c r="AW506" t="b">
        <v>1</v>
      </c>
      <c r="AX506" t="b">
        <v>1</v>
      </c>
      <c r="BA506" t="s">
        <v>438</v>
      </c>
    </row>
    <row r="507" spans="1:53" x14ac:dyDescent="0.25">
      <c r="A507" t="s">
        <v>386</v>
      </c>
      <c r="B507">
        <v>5</v>
      </c>
      <c r="C507">
        <v>54</v>
      </c>
      <c r="D507">
        <v>1</v>
      </c>
      <c r="E507">
        <v>48211090</v>
      </c>
      <c r="F507">
        <v>297275</v>
      </c>
      <c r="G507" t="s">
        <v>316</v>
      </c>
      <c r="H507" t="s">
        <v>60</v>
      </c>
      <c r="I507" t="s">
        <v>60</v>
      </c>
      <c r="J507" t="s">
        <v>60</v>
      </c>
      <c r="K507" t="s">
        <v>60</v>
      </c>
      <c r="L507" t="s">
        <v>12</v>
      </c>
      <c r="M507">
        <v>11.5</v>
      </c>
      <c r="P507">
        <v>40</v>
      </c>
      <c r="Q507" t="s">
        <v>80</v>
      </c>
      <c r="R507" t="s">
        <v>415</v>
      </c>
      <c r="S507" t="s">
        <v>363</v>
      </c>
      <c r="T507" t="s">
        <v>333</v>
      </c>
      <c r="V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Q507">
        <v>182377</v>
      </c>
      <c r="AR507" t="b">
        <v>1</v>
      </c>
      <c r="AS507" t="b">
        <v>1</v>
      </c>
      <c r="AT507" t="b">
        <v>1</v>
      </c>
      <c r="AU507" t="b">
        <v>1</v>
      </c>
      <c r="AV507" t="b">
        <v>1</v>
      </c>
      <c r="AW507" t="b">
        <v>1</v>
      </c>
      <c r="AX507" t="b">
        <v>1</v>
      </c>
      <c r="BA507" t="s">
        <v>438</v>
      </c>
    </row>
    <row r="508" spans="1:53" x14ac:dyDescent="0.25">
      <c r="A508" t="s">
        <v>386</v>
      </c>
      <c r="B508">
        <v>5</v>
      </c>
      <c r="C508">
        <v>55</v>
      </c>
      <c r="D508">
        <v>1</v>
      </c>
      <c r="E508">
        <v>48211090</v>
      </c>
      <c r="F508">
        <v>297276</v>
      </c>
      <c r="G508" t="s">
        <v>317</v>
      </c>
      <c r="H508" t="s">
        <v>60</v>
      </c>
      <c r="I508" t="s">
        <v>60</v>
      </c>
      <c r="J508" t="s">
        <v>60</v>
      </c>
      <c r="K508" t="s">
        <v>60</v>
      </c>
      <c r="L508" t="s">
        <v>12</v>
      </c>
      <c r="M508">
        <v>26</v>
      </c>
      <c r="P508">
        <v>40</v>
      </c>
      <c r="Q508" t="s">
        <v>80</v>
      </c>
      <c r="R508" t="s">
        <v>415</v>
      </c>
      <c r="S508" t="s">
        <v>363</v>
      </c>
      <c r="T508" t="s">
        <v>333</v>
      </c>
      <c r="V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Q508">
        <v>182377</v>
      </c>
      <c r="AR508" t="b">
        <v>1</v>
      </c>
      <c r="AS508" t="b">
        <v>1</v>
      </c>
      <c r="AT508" t="b">
        <v>1</v>
      </c>
      <c r="AU508" t="b">
        <v>1</v>
      </c>
      <c r="AV508" t="b">
        <v>1</v>
      </c>
      <c r="AW508" t="b">
        <v>1</v>
      </c>
      <c r="AX508" t="b">
        <v>1</v>
      </c>
      <c r="BA508" t="s">
        <v>438</v>
      </c>
    </row>
    <row r="509" spans="1:53" x14ac:dyDescent="0.25">
      <c r="A509" t="s">
        <v>386</v>
      </c>
      <c r="B509">
        <v>5</v>
      </c>
      <c r="C509">
        <v>56</v>
      </c>
      <c r="D509">
        <v>1</v>
      </c>
      <c r="E509">
        <v>48211090</v>
      </c>
      <c r="F509">
        <v>297277</v>
      </c>
      <c r="G509" t="s">
        <v>318</v>
      </c>
      <c r="H509" t="s">
        <v>60</v>
      </c>
      <c r="I509" t="s">
        <v>60</v>
      </c>
      <c r="J509" t="s">
        <v>60</v>
      </c>
      <c r="K509" t="s">
        <v>60</v>
      </c>
      <c r="L509" t="s">
        <v>12</v>
      </c>
      <c r="M509">
        <v>19</v>
      </c>
      <c r="P509">
        <v>40</v>
      </c>
      <c r="Q509" t="s">
        <v>80</v>
      </c>
      <c r="R509" t="s">
        <v>415</v>
      </c>
      <c r="S509" t="s">
        <v>363</v>
      </c>
      <c r="T509" t="s">
        <v>333</v>
      </c>
      <c r="V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Q509">
        <v>182377</v>
      </c>
      <c r="AR509" t="b">
        <v>1</v>
      </c>
      <c r="AS509" t="b">
        <v>1</v>
      </c>
      <c r="AT509" t="b">
        <v>1</v>
      </c>
      <c r="AU509" t="b">
        <v>1</v>
      </c>
      <c r="AV509" t="b">
        <v>1</v>
      </c>
      <c r="AW509" t="b">
        <v>1</v>
      </c>
      <c r="AX509" t="b">
        <v>1</v>
      </c>
      <c r="BA509" t="s">
        <v>438</v>
      </c>
    </row>
    <row r="510" spans="1:53" x14ac:dyDescent="0.25">
      <c r="A510" t="s">
        <v>386</v>
      </c>
      <c r="B510">
        <v>5</v>
      </c>
      <c r="C510">
        <v>57</v>
      </c>
      <c r="D510">
        <v>1</v>
      </c>
      <c r="E510">
        <v>48211090</v>
      </c>
      <c r="F510">
        <v>297278</v>
      </c>
      <c r="G510" t="s">
        <v>319</v>
      </c>
      <c r="H510" t="s">
        <v>60</v>
      </c>
      <c r="I510" t="s">
        <v>60</v>
      </c>
      <c r="J510" t="s">
        <v>60</v>
      </c>
      <c r="K510" t="s">
        <v>60</v>
      </c>
      <c r="L510" t="s">
        <v>12</v>
      </c>
      <c r="M510">
        <v>18.5</v>
      </c>
      <c r="P510">
        <v>40</v>
      </c>
      <c r="Q510" t="s">
        <v>80</v>
      </c>
      <c r="R510" t="s">
        <v>415</v>
      </c>
      <c r="S510" t="s">
        <v>363</v>
      </c>
      <c r="T510" t="s">
        <v>333</v>
      </c>
      <c r="V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Q510">
        <v>182377</v>
      </c>
      <c r="AR510" t="b">
        <v>1</v>
      </c>
      <c r="AS510" t="b">
        <v>1</v>
      </c>
      <c r="AT510" t="b">
        <v>1</v>
      </c>
      <c r="AU510" t="b">
        <v>1</v>
      </c>
      <c r="AV510" t="b">
        <v>1</v>
      </c>
      <c r="AW510" t="b">
        <v>1</v>
      </c>
      <c r="AX510" t="b">
        <v>1</v>
      </c>
      <c r="BA510" t="s">
        <v>438</v>
      </c>
    </row>
    <row r="511" spans="1:53" x14ac:dyDescent="0.25">
      <c r="A511" t="s">
        <v>386</v>
      </c>
      <c r="B511">
        <v>5</v>
      </c>
      <c r="C511">
        <v>58</v>
      </c>
      <c r="D511">
        <v>1</v>
      </c>
      <c r="E511">
        <v>52081900</v>
      </c>
      <c r="F511">
        <v>274799</v>
      </c>
      <c r="G511" t="s">
        <v>311</v>
      </c>
      <c r="H511" t="s">
        <v>60</v>
      </c>
      <c r="I511" t="s">
        <v>60</v>
      </c>
      <c r="J511" t="s">
        <v>60</v>
      </c>
      <c r="K511" t="s">
        <v>60</v>
      </c>
      <c r="L511" t="s">
        <v>27</v>
      </c>
      <c r="M511">
        <v>1.5</v>
      </c>
      <c r="P511">
        <v>40</v>
      </c>
      <c r="Q511" t="s">
        <v>80</v>
      </c>
      <c r="R511" t="s">
        <v>409</v>
      </c>
      <c r="S511" t="s">
        <v>358</v>
      </c>
      <c r="T511" t="s">
        <v>327</v>
      </c>
      <c r="V511">
        <v>0</v>
      </c>
      <c r="Y511">
        <v>0</v>
      </c>
      <c r="Z511">
        <v>0</v>
      </c>
      <c r="AA511">
        <v>0</v>
      </c>
      <c r="AB511">
        <v>1439525.76</v>
      </c>
      <c r="AC511">
        <v>0</v>
      </c>
      <c r="AD511">
        <v>0</v>
      </c>
      <c r="AE511">
        <v>0</v>
      </c>
      <c r="AQ511">
        <v>182377</v>
      </c>
      <c r="AR511" t="b">
        <v>1</v>
      </c>
      <c r="AS511" t="b">
        <v>1</v>
      </c>
      <c r="AT511" t="b">
        <v>1</v>
      </c>
      <c r="AU511" t="b">
        <v>1</v>
      </c>
      <c r="AV511" t="b">
        <v>1</v>
      </c>
      <c r="AW511" t="b">
        <v>1</v>
      </c>
      <c r="AX511" t="b">
        <v>1</v>
      </c>
      <c r="BA511" t="s">
        <v>438</v>
      </c>
    </row>
    <row r="512" spans="1:53" x14ac:dyDescent="0.25">
      <c r="A512" t="s">
        <v>386</v>
      </c>
      <c r="B512">
        <v>5</v>
      </c>
      <c r="C512">
        <v>59</v>
      </c>
      <c r="D512">
        <v>1</v>
      </c>
      <c r="E512">
        <v>52081900</v>
      </c>
      <c r="F512">
        <v>275340</v>
      </c>
      <c r="G512" t="s">
        <v>312</v>
      </c>
      <c r="H512" t="s">
        <v>60</v>
      </c>
      <c r="I512" t="s">
        <v>60</v>
      </c>
      <c r="J512" t="s">
        <v>60</v>
      </c>
      <c r="K512" t="s">
        <v>60</v>
      </c>
      <c r="L512" t="s">
        <v>27</v>
      </c>
      <c r="M512">
        <v>1.5</v>
      </c>
      <c r="P512">
        <v>40</v>
      </c>
      <c r="Q512" t="s">
        <v>80</v>
      </c>
      <c r="R512" t="s">
        <v>410</v>
      </c>
      <c r="S512" t="s">
        <v>359</v>
      </c>
      <c r="T512" t="s">
        <v>328</v>
      </c>
      <c r="V512">
        <v>0</v>
      </c>
      <c r="Y512">
        <v>0</v>
      </c>
      <c r="Z512">
        <v>0</v>
      </c>
      <c r="AA512">
        <v>0</v>
      </c>
      <c r="AB512">
        <v>1439525.76</v>
      </c>
      <c r="AC512">
        <v>0</v>
      </c>
      <c r="AD512">
        <v>0</v>
      </c>
      <c r="AE512">
        <v>0</v>
      </c>
      <c r="AQ512">
        <v>182377</v>
      </c>
      <c r="AR512" t="b">
        <v>1</v>
      </c>
      <c r="AS512" t="b">
        <v>1</v>
      </c>
      <c r="AT512" t="b">
        <v>1</v>
      </c>
      <c r="AU512" t="b">
        <v>1</v>
      </c>
      <c r="AV512" t="b">
        <v>1</v>
      </c>
      <c r="AW512" t="b">
        <v>1</v>
      </c>
      <c r="AX512" t="b">
        <v>1</v>
      </c>
      <c r="BA512" t="s">
        <v>438</v>
      </c>
    </row>
    <row r="513" spans="1:53" x14ac:dyDescent="0.25">
      <c r="A513" t="s">
        <v>386</v>
      </c>
      <c r="B513">
        <v>5</v>
      </c>
      <c r="C513">
        <v>60</v>
      </c>
      <c r="D513">
        <v>1</v>
      </c>
      <c r="E513">
        <v>58062090</v>
      </c>
      <c r="F513">
        <v>262938</v>
      </c>
      <c r="G513" t="s">
        <v>322</v>
      </c>
      <c r="H513" t="s">
        <v>60</v>
      </c>
      <c r="I513" t="s">
        <v>60</v>
      </c>
      <c r="J513" t="s">
        <v>60</v>
      </c>
      <c r="K513" t="s">
        <v>60</v>
      </c>
      <c r="L513" t="s">
        <v>59</v>
      </c>
      <c r="M513">
        <v>1.25E-3</v>
      </c>
      <c r="P513">
        <v>40</v>
      </c>
      <c r="Q513" t="s">
        <v>80</v>
      </c>
      <c r="R513" t="s">
        <v>419</v>
      </c>
      <c r="S513" t="s">
        <v>366</v>
      </c>
      <c r="T513" t="s">
        <v>337</v>
      </c>
      <c r="V513">
        <v>0</v>
      </c>
      <c r="Y513">
        <v>0</v>
      </c>
      <c r="Z513">
        <v>0</v>
      </c>
      <c r="AA513">
        <v>0</v>
      </c>
      <c r="AB513">
        <v>390</v>
      </c>
      <c r="AC513">
        <v>0</v>
      </c>
      <c r="AD513">
        <v>0</v>
      </c>
      <c r="AE513">
        <v>0</v>
      </c>
      <c r="AQ513">
        <v>182377</v>
      </c>
      <c r="AR513" t="b">
        <v>1</v>
      </c>
      <c r="AS513" t="b">
        <v>1</v>
      </c>
      <c r="AT513" t="b">
        <v>1</v>
      </c>
      <c r="AU513" t="b">
        <v>1</v>
      </c>
      <c r="AV513" t="b">
        <v>1</v>
      </c>
      <c r="AW513" t="b">
        <v>1</v>
      </c>
      <c r="AX513" t="b">
        <v>1</v>
      </c>
      <c r="BA513" t="s">
        <v>438</v>
      </c>
    </row>
    <row r="514" spans="1:53" x14ac:dyDescent="0.25">
      <c r="A514" t="s">
        <v>386</v>
      </c>
      <c r="B514">
        <v>5</v>
      </c>
      <c r="C514">
        <v>61</v>
      </c>
      <c r="D514">
        <v>1</v>
      </c>
      <c r="E514">
        <v>58062090</v>
      </c>
      <c r="F514">
        <v>262938</v>
      </c>
      <c r="G514" t="s">
        <v>320</v>
      </c>
      <c r="H514" t="s">
        <v>60</v>
      </c>
      <c r="I514" t="s">
        <v>60</v>
      </c>
      <c r="J514" t="s">
        <v>60</v>
      </c>
      <c r="K514" t="s">
        <v>60</v>
      </c>
      <c r="L514" t="s">
        <v>59</v>
      </c>
      <c r="M514">
        <v>5.0000000000000001E-3</v>
      </c>
      <c r="P514">
        <v>40</v>
      </c>
      <c r="Q514" t="s">
        <v>80</v>
      </c>
      <c r="R514" t="s">
        <v>420</v>
      </c>
      <c r="S514" t="s">
        <v>367</v>
      </c>
      <c r="T514" t="s">
        <v>338</v>
      </c>
      <c r="V514">
        <v>0</v>
      </c>
      <c r="Y514">
        <v>0</v>
      </c>
      <c r="Z514">
        <v>0</v>
      </c>
      <c r="AA514">
        <v>0</v>
      </c>
      <c r="AB514">
        <v>1640</v>
      </c>
      <c r="AC514">
        <v>0</v>
      </c>
      <c r="AD514">
        <v>0</v>
      </c>
      <c r="AE514">
        <v>0</v>
      </c>
      <c r="AQ514">
        <v>182377</v>
      </c>
      <c r="AR514" t="b">
        <v>1</v>
      </c>
      <c r="AS514" t="b">
        <v>1</v>
      </c>
      <c r="AT514" t="b">
        <v>1</v>
      </c>
      <c r="AU514" t="b">
        <v>1</v>
      </c>
      <c r="AV514" t="b">
        <v>1</v>
      </c>
      <c r="AW514" t="b">
        <v>1</v>
      </c>
      <c r="AX514" t="b">
        <v>1</v>
      </c>
      <c r="BA514" t="s">
        <v>438</v>
      </c>
    </row>
    <row r="515" spans="1:53" x14ac:dyDescent="0.25">
      <c r="A515" t="s">
        <v>386</v>
      </c>
      <c r="B515">
        <v>5</v>
      </c>
      <c r="C515">
        <v>62</v>
      </c>
      <c r="D515">
        <v>1</v>
      </c>
      <c r="E515">
        <v>58062090</v>
      </c>
      <c r="F515">
        <v>262938</v>
      </c>
      <c r="G515" t="s">
        <v>320</v>
      </c>
      <c r="H515" t="s">
        <v>60</v>
      </c>
      <c r="I515" t="s">
        <v>60</v>
      </c>
      <c r="J515" t="s">
        <v>60</v>
      </c>
      <c r="K515" t="s">
        <v>60</v>
      </c>
      <c r="L515" t="s">
        <v>59</v>
      </c>
      <c r="M515">
        <v>3.7499999999999999E-3</v>
      </c>
      <c r="P515">
        <v>40</v>
      </c>
      <c r="Q515" t="s">
        <v>80</v>
      </c>
      <c r="R515" t="s">
        <v>421</v>
      </c>
      <c r="S515" t="s">
        <v>368</v>
      </c>
      <c r="T515" t="s">
        <v>339</v>
      </c>
      <c r="V515">
        <v>0</v>
      </c>
      <c r="Y515">
        <v>0</v>
      </c>
      <c r="Z515">
        <v>0</v>
      </c>
      <c r="AA515">
        <v>0</v>
      </c>
      <c r="AB515">
        <v>1230</v>
      </c>
      <c r="AC515">
        <v>0</v>
      </c>
      <c r="AD515">
        <v>0</v>
      </c>
      <c r="AE515">
        <v>0</v>
      </c>
      <c r="AQ515">
        <v>182377</v>
      </c>
      <c r="AR515" t="b">
        <v>1</v>
      </c>
      <c r="AS515" t="b">
        <v>1</v>
      </c>
      <c r="AT515" t="b">
        <v>1</v>
      </c>
      <c r="AU515" t="b">
        <v>1</v>
      </c>
      <c r="AV515" t="b">
        <v>1</v>
      </c>
      <c r="AW515" t="b">
        <v>1</v>
      </c>
      <c r="AX515" t="b">
        <v>1</v>
      </c>
      <c r="BA515" t="s">
        <v>438</v>
      </c>
    </row>
    <row r="516" spans="1:53" x14ac:dyDescent="0.25">
      <c r="A516" t="s">
        <v>386</v>
      </c>
      <c r="B516">
        <v>5</v>
      </c>
      <c r="C516">
        <v>63</v>
      </c>
      <c r="D516">
        <v>1</v>
      </c>
      <c r="E516">
        <v>58062090</v>
      </c>
      <c r="F516">
        <v>262938</v>
      </c>
      <c r="G516" t="s">
        <v>320</v>
      </c>
      <c r="H516" t="s">
        <v>60</v>
      </c>
      <c r="I516" t="s">
        <v>60</v>
      </c>
      <c r="J516" t="s">
        <v>60</v>
      </c>
      <c r="K516" t="s">
        <v>60</v>
      </c>
      <c r="L516" t="s">
        <v>59</v>
      </c>
      <c r="M516">
        <v>2.5000000000000001E-3</v>
      </c>
      <c r="P516">
        <v>40</v>
      </c>
      <c r="Q516" t="s">
        <v>80</v>
      </c>
      <c r="R516" t="s">
        <v>416</v>
      </c>
      <c r="S516" t="s">
        <v>360</v>
      </c>
      <c r="T516" t="s">
        <v>334</v>
      </c>
      <c r="V516">
        <v>0</v>
      </c>
      <c r="Y516">
        <v>0</v>
      </c>
      <c r="Z516">
        <v>0</v>
      </c>
      <c r="AA516">
        <v>0</v>
      </c>
      <c r="AB516">
        <v>820</v>
      </c>
      <c r="AC516">
        <v>0</v>
      </c>
      <c r="AD516">
        <v>0</v>
      </c>
      <c r="AE516">
        <v>0</v>
      </c>
      <c r="AQ516">
        <v>182377</v>
      </c>
      <c r="AR516" t="b">
        <v>1</v>
      </c>
      <c r="AS516" t="b">
        <v>1</v>
      </c>
      <c r="AT516" t="b">
        <v>1</v>
      </c>
      <c r="AU516" t="b">
        <v>1</v>
      </c>
      <c r="AV516" t="b">
        <v>1</v>
      </c>
      <c r="AW516" t="b">
        <v>1</v>
      </c>
      <c r="AX516" t="b">
        <v>1</v>
      </c>
      <c r="BA516" t="s">
        <v>438</v>
      </c>
    </row>
    <row r="517" spans="1:53" x14ac:dyDescent="0.25">
      <c r="A517" t="s">
        <v>386</v>
      </c>
      <c r="B517">
        <v>5</v>
      </c>
      <c r="C517">
        <v>64</v>
      </c>
      <c r="D517">
        <v>1</v>
      </c>
      <c r="E517">
        <v>58061090</v>
      </c>
      <c r="F517">
        <v>262938</v>
      </c>
      <c r="G517" t="s">
        <v>320</v>
      </c>
      <c r="H517" t="s">
        <v>60</v>
      </c>
      <c r="I517" t="s">
        <v>60</v>
      </c>
      <c r="J517" t="s">
        <v>60</v>
      </c>
      <c r="K517" t="s">
        <v>60</v>
      </c>
      <c r="L517" t="s">
        <v>59</v>
      </c>
      <c r="M517">
        <v>1.25E-3</v>
      </c>
      <c r="P517">
        <v>40</v>
      </c>
      <c r="Q517" t="s">
        <v>80</v>
      </c>
      <c r="R517" t="s">
        <v>417</v>
      </c>
      <c r="S517" t="s">
        <v>364</v>
      </c>
      <c r="T517" t="s">
        <v>335</v>
      </c>
      <c r="V517">
        <v>0</v>
      </c>
      <c r="Y517">
        <v>0</v>
      </c>
      <c r="Z517">
        <v>0</v>
      </c>
      <c r="AA517">
        <v>0</v>
      </c>
      <c r="AB517">
        <v>410</v>
      </c>
      <c r="AC517">
        <v>0</v>
      </c>
      <c r="AD517">
        <v>0</v>
      </c>
      <c r="AE517">
        <v>0</v>
      </c>
      <c r="AQ517">
        <v>182377</v>
      </c>
      <c r="AR517" t="b">
        <v>1</v>
      </c>
      <c r="AS517" t="b">
        <v>1</v>
      </c>
      <c r="AT517" t="b">
        <v>1</v>
      </c>
      <c r="AU517" t="b">
        <v>1</v>
      </c>
      <c r="AV517" t="b">
        <v>1</v>
      </c>
      <c r="AW517" t="b">
        <v>1</v>
      </c>
      <c r="AX517" t="b">
        <v>1</v>
      </c>
      <c r="BA517" t="s">
        <v>438</v>
      </c>
    </row>
    <row r="518" spans="1:53" x14ac:dyDescent="0.25">
      <c r="A518" t="s">
        <v>386</v>
      </c>
      <c r="B518">
        <v>5</v>
      </c>
      <c r="C518">
        <v>65</v>
      </c>
      <c r="D518">
        <v>1</v>
      </c>
      <c r="E518">
        <v>58062090</v>
      </c>
      <c r="F518">
        <v>262938</v>
      </c>
      <c r="G518" t="s">
        <v>320</v>
      </c>
      <c r="H518" t="s">
        <v>60</v>
      </c>
      <c r="I518" t="s">
        <v>60</v>
      </c>
      <c r="J518" t="s">
        <v>60</v>
      </c>
      <c r="K518" t="s">
        <v>60</v>
      </c>
      <c r="L518" t="s">
        <v>59</v>
      </c>
      <c r="M518">
        <v>1.25E-3</v>
      </c>
      <c r="P518">
        <v>40</v>
      </c>
      <c r="Q518" t="s">
        <v>80</v>
      </c>
      <c r="R518" t="s">
        <v>422</v>
      </c>
      <c r="S518" t="s">
        <v>369</v>
      </c>
      <c r="T518" t="s">
        <v>340</v>
      </c>
      <c r="V518">
        <v>0</v>
      </c>
      <c r="Y518">
        <v>0</v>
      </c>
      <c r="Z518">
        <v>0</v>
      </c>
      <c r="AA518">
        <v>0</v>
      </c>
      <c r="AB518">
        <v>410</v>
      </c>
      <c r="AC518">
        <v>0</v>
      </c>
      <c r="AD518">
        <v>0</v>
      </c>
      <c r="AE518">
        <v>0</v>
      </c>
      <c r="AQ518">
        <v>182377</v>
      </c>
      <c r="AR518" t="b">
        <v>1</v>
      </c>
      <c r="AS518" t="b">
        <v>1</v>
      </c>
      <c r="AT518" t="b">
        <v>1</v>
      </c>
      <c r="AU518" t="b">
        <v>1</v>
      </c>
      <c r="AV518" t="b">
        <v>1</v>
      </c>
      <c r="AW518" t="b">
        <v>1</v>
      </c>
      <c r="AX518" t="b">
        <v>1</v>
      </c>
      <c r="BA518" t="s">
        <v>438</v>
      </c>
    </row>
    <row r="519" spans="1:53" x14ac:dyDescent="0.25">
      <c r="A519" t="s">
        <v>386</v>
      </c>
      <c r="B519">
        <v>5</v>
      </c>
      <c r="C519">
        <v>66</v>
      </c>
      <c r="D519">
        <v>1</v>
      </c>
      <c r="E519">
        <v>58062090</v>
      </c>
      <c r="F519">
        <v>262938</v>
      </c>
      <c r="G519" t="s">
        <v>320</v>
      </c>
      <c r="H519" t="s">
        <v>60</v>
      </c>
      <c r="I519" t="s">
        <v>60</v>
      </c>
      <c r="J519" t="s">
        <v>60</v>
      </c>
      <c r="K519" t="s">
        <v>60</v>
      </c>
      <c r="L519" t="s">
        <v>59</v>
      </c>
      <c r="M519">
        <v>1.2500000000000001E-2</v>
      </c>
      <c r="P519">
        <v>40</v>
      </c>
      <c r="Q519" t="s">
        <v>80</v>
      </c>
      <c r="R519" t="s">
        <v>423</v>
      </c>
      <c r="S519" t="s">
        <v>370</v>
      </c>
      <c r="T519" t="s">
        <v>341</v>
      </c>
      <c r="V519">
        <v>0</v>
      </c>
      <c r="Y519">
        <v>0</v>
      </c>
      <c r="Z519">
        <v>0</v>
      </c>
      <c r="AA519">
        <v>0</v>
      </c>
      <c r="AB519">
        <v>4100</v>
      </c>
      <c r="AC519">
        <v>0</v>
      </c>
      <c r="AD519">
        <v>0</v>
      </c>
      <c r="AE519">
        <v>0</v>
      </c>
      <c r="AQ519">
        <v>182377</v>
      </c>
      <c r="AR519" t="b">
        <v>1</v>
      </c>
      <c r="AS519" t="b">
        <v>1</v>
      </c>
      <c r="AT519" t="b">
        <v>1</v>
      </c>
      <c r="AU519" t="b">
        <v>1</v>
      </c>
      <c r="AV519" t="b">
        <v>1</v>
      </c>
      <c r="AW519" t="b">
        <v>1</v>
      </c>
      <c r="AX519" t="b">
        <v>1</v>
      </c>
      <c r="BA519" t="s">
        <v>438</v>
      </c>
    </row>
    <row r="520" spans="1:53" x14ac:dyDescent="0.25">
      <c r="A520" t="s">
        <v>386</v>
      </c>
      <c r="B520">
        <v>5</v>
      </c>
      <c r="C520">
        <v>67</v>
      </c>
      <c r="D520">
        <v>1</v>
      </c>
      <c r="E520">
        <v>58062090</v>
      </c>
      <c r="F520">
        <v>262938</v>
      </c>
      <c r="G520" t="s">
        <v>320</v>
      </c>
      <c r="H520" t="s">
        <v>60</v>
      </c>
      <c r="I520" t="s">
        <v>60</v>
      </c>
      <c r="J520" t="s">
        <v>60</v>
      </c>
      <c r="K520" t="s">
        <v>60</v>
      </c>
      <c r="L520" t="s">
        <v>59</v>
      </c>
      <c r="M520">
        <v>1.2500000000000001E-2</v>
      </c>
      <c r="P520">
        <v>40</v>
      </c>
      <c r="Q520" t="s">
        <v>80</v>
      </c>
      <c r="R520" t="s">
        <v>424</v>
      </c>
      <c r="S520" t="s">
        <v>371</v>
      </c>
      <c r="T520" t="s">
        <v>342</v>
      </c>
      <c r="V520">
        <v>0</v>
      </c>
      <c r="Y520">
        <v>0</v>
      </c>
      <c r="Z520">
        <v>0</v>
      </c>
      <c r="AA520">
        <v>0</v>
      </c>
      <c r="AB520">
        <v>4100</v>
      </c>
      <c r="AC520">
        <v>0</v>
      </c>
      <c r="AD520">
        <v>0</v>
      </c>
      <c r="AE520">
        <v>0</v>
      </c>
      <c r="AQ520">
        <v>182377</v>
      </c>
      <c r="AR520" t="b">
        <v>1</v>
      </c>
      <c r="AS520" t="b">
        <v>1</v>
      </c>
      <c r="AT520" t="b">
        <v>1</v>
      </c>
      <c r="AU520" t="b">
        <v>1</v>
      </c>
      <c r="AV520" t="b">
        <v>1</v>
      </c>
      <c r="AW520" t="b">
        <v>1</v>
      </c>
      <c r="AX520" t="b">
        <v>1</v>
      </c>
      <c r="BA520" t="s">
        <v>438</v>
      </c>
    </row>
    <row r="521" spans="1:53" x14ac:dyDescent="0.25">
      <c r="A521" t="s">
        <v>386</v>
      </c>
      <c r="B521">
        <v>5</v>
      </c>
      <c r="C521">
        <v>68</v>
      </c>
      <c r="D521">
        <v>1</v>
      </c>
      <c r="E521">
        <v>58062090</v>
      </c>
      <c r="F521">
        <v>262938</v>
      </c>
      <c r="G521" t="s">
        <v>320</v>
      </c>
      <c r="H521" t="s">
        <v>60</v>
      </c>
      <c r="I521" t="s">
        <v>60</v>
      </c>
      <c r="J521" t="s">
        <v>60</v>
      </c>
      <c r="K521" t="s">
        <v>60</v>
      </c>
      <c r="L521" t="s">
        <v>59</v>
      </c>
      <c r="M521">
        <v>1.2500000000000001E-2</v>
      </c>
      <c r="P521">
        <v>40</v>
      </c>
      <c r="Q521" t="s">
        <v>80</v>
      </c>
      <c r="R521" t="s">
        <v>425</v>
      </c>
      <c r="S521" t="s">
        <v>372</v>
      </c>
      <c r="T521" t="s">
        <v>343</v>
      </c>
      <c r="V521">
        <v>0</v>
      </c>
      <c r="Y521">
        <v>0</v>
      </c>
      <c r="Z521">
        <v>0</v>
      </c>
      <c r="AA521">
        <v>0</v>
      </c>
      <c r="AB521">
        <v>4100</v>
      </c>
      <c r="AC521">
        <v>0</v>
      </c>
      <c r="AD521">
        <v>0</v>
      </c>
      <c r="AE521">
        <v>0</v>
      </c>
      <c r="AQ521">
        <v>182377</v>
      </c>
      <c r="AR521" t="b">
        <v>1</v>
      </c>
      <c r="AS521" t="b">
        <v>1</v>
      </c>
      <c r="AT521" t="b">
        <v>1</v>
      </c>
      <c r="AU521" t="b">
        <v>1</v>
      </c>
      <c r="AV521" t="b">
        <v>1</v>
      </c>
      <c r="AW521" t="b">
        <v>1</v>
      </c>
      <c r="AX521" t="b">
        <v>1</v>
      </c>
      <c r="BA521" t="s">
        <v>438</v>
      </c>
    </row>
    <row r="522" spans="1:53" x14ac:dyDescent="0.25">
      <c r="A522" t="s">
        <v>386</v>
      </c>
      <c r="B522">
        <v>5</v>
      </c>
      <c r="C522">
        <v>69</v>
      </c>
      <c r="D522">
        <v>1</v>
      </c>
      <c r="E522">
        <v>58062090</v>
      </c>
      <c r="F522">
        <v>262938</v>
      </c>
      <c r="G522" t="s">
        <v>321</v>
      </c>
      <c r="H522" t="s">
        <v>60</v>
      </c>
      <c r="I522" t="s">
        <v>60</v>
      </c>
      <c r="J522" t="s">
        <v>60</v>
      </c>
      <c r="K522" t="s">
        <v>60</v>
      </c>
      <c r="L522" t="s">
        <v>59</v>
      </c>
      <c r="M522">
        <v>8.1250000000000003E-2</v>
      </c>
      <c r="P522">
        <v>40</v>
      </c>
      <c r="Q522" t="s">
        <v>80</v>
      </c>
      <c r="R522" t="s">
        <v>426</v>
      </c>
      <c r="S522" t="s">
        <v>373</v>
      </c>
      <c r="T522" t="s">
        <v>344</v>
      </c>
      <c r="V522">
        <v>0</v>
      </c>
      <c r="Y522">
        <v>0</v>
      </c>
      <c r="Z522">
        <v>0</v>
      </c>
      <c r="AA522">
        <v>0</v>
      </c>
      <c r="AB522">
        <v>26650</v>
      </c>
      <c r="AC522">
        <v>0</v>
      </c>
      <c r="AD522">
        <v>0</v>
      </c>
      <c r="AE522">
        <v>0</v>
      </c>
      <c r="AQ522">
        <v>182377</v>
      </c>
      <c r="AR522" t="b">
        <v>1</v>
      </c>
      <c r="AS522" t="b">
        <v>1</v>
      </c>
      <c r="AT522" t="b">
        <v>1</v>
      </c>
      <c r="AU522" t="b">
        <v>1</v>
      </c>
      <c r="AV522" t="b">
        <v>1</v>
      </c>
      <c r="AW522" t="b">
        <v>1</v>
      </c>
      <c r="AX522" t="b">
        <v>1</v>
      </c>
      <c r="BA522" t="s">
        <v>438</v>
      </c>
    </row>
    <row r="523" spans="1:53" x14ac:dyDescent="0.25">
      <c r="A523" t="s">
        <v>386</v>
      </c>
      <c r="B523">
        <v>5</v>
      </c>
      <c r="C523">
        <v>70</v>
      </c>
      <c r="D523">
        <v>1</v>
      </c>
      <c r="E523">
        <v>58062090</v>
      </c>
      <c r="F523">
        <v>262938</v>
      </c>
      <c r="G523" t="s">
        <v>321</v>
      </c>
      <c r="H523" t="s">
        <v>60</v>
      </c>
      <c r="I523" t="s">
        <v>60</v>
      </c>
      <c r="J523" t="s">
        <v>60</v>
      </c>
      <c r="K523" t="s">
        <v>60</v>
      </c>
      <c r="L523" t="s">
        <v>59</v>
      </c>
      <c r="M523">
        <v>2.5000000000000001E-3</v>
      </c>
      <c r="P523">
        <v>40</v>
      </c>
      <c r="Q523" t="s">
        <v>80</v>
      </c>
      <c r="R523" t="s">
        <v>427</v>
      </c>
      <c r="S523" t="s">
        <v>374</v>
      </c>
      <c r="T523" t="s">
        <v>345</v>
      </c>
      <c r="V523">
        <v>0</v>
      </c>
      <c r="Y523">
        <v>0</v>
      </c>
      <c r="Z523">
        <v>0</v>
      </c>
      <c r="AA523">
        <v>0</v>
      </c>
      <c r="AB523">
        <v>820</v>
      </c>
      <c r="AC523">
        <v>0</v>
      </c>
      <c r="AD523">
        <v>0</v>
      </c>
      <c r="AE523">
        <v>0</v>
      </c>
      <c r="AQ523">
        <v>182377</v>
      </c>
      <c r="AR523" t="b">
        <v>1</v>
      </c>
      <c r="AS523" t="b">
        <v>1</v>
      </c>
      <c r="AT523" t="b">
        <v>1</v>
      </c>
      <c r="AU523" t="b">
        <v>1</v>
      </c>
      <c r="AV523" t="b">
        <v>1</v>
      </c>
      <c r="AW523" t="b">
        <v>1</v>
      </c>
      <c r="AX523" t="b">
        <v>1</v>
      </c>
      <c r="BA523" t="s">
        <v>438</v>
      </c>
    </row>
    <row r="524" spans="1:53" x14ac:dyDescent="0.25">
      <c r="A524" t="s">
        <v>386</v>
      </c>
      <c r="B524">
        <v>5</v>
      </c>
      <c r="C524">
        <v>71</v>
      </c>
      <c r="D524">
        <v>1</v>
      </c>
      <c r="E524">
        <v>58062090</v>
      </c>
      <c r="F524">
        <v>262938</v>
      </c>
      <c r="G524" t="s">
        <v>321</v>
      </c>
      <c r="H524" t="s">
        <v>60</v>
      </c>
      <c r="I524" t="s">
        <v>60</v>
      </c>
      <c r="J524" t="s">
        <v>60</v>
      </c>
      <c r="K524" t="s">
        <v>60</v>
      </c>
      <c r="L524" t="s">
        <v>59</v>
      </c>
      <c r="M524">
        <v>5.6250000000000001E-2</v>
      </c>
      <c r="P524">
        <v>40</v>
      </c>
      <c r="Q524" t="s">
        <v>80</v>
      </c>
      <c r="R524" t="s">
        <v>428</v>
      </c>
      <c r="S524" t="s">
        <v>375</v>
      </c>
      <c r="T524" t="s">
        <v>346</v>
      </c>
      <c r="V524">
        <v>0</v>
      </c>
      <c r="Y524">
        <v>0</v>
      </c>
      <c r="Z524">
        <v>0</v>
      </c>
      <c r="AA524">
        <v>0</v>
      </c>
      <c r="AB524">
        <v>18450</v>
      </c>
      <c r="AC524">
        <v>0</v>
      </c>
      <c r="AD524">
        <v>0</v>
      </c>
      <c r="AE524">
        <v>0</v>
      </c>
      <c r="AQ524">
        <v>182377</v>
      </c>
      <c r="AR524" t="b">
        <v>1</v>
      </c>
      <c r="AS524" t="b">
        <v>1</v>
      </c>
      <c r="AT524" t="b">
        <v>1</v>
      </c>
      <c r="AU524" t="b">
        <v>1</v>
      </c>
      <c r="AV524" t="b">
        <v>1</v>
      </c>
      <c r="AW524" t="b">
        <v>1</v>
      </c>
      <c r="AX524" t="b">
        <v>1</v>
      </c>
      <c r="BA524" t="s">
        <v>438</v>
      </c>
    </row>
    <row r="525" spans="1:53" x14ac:dyDescent="0.25">
      <c r="A525" t="s">
        <v>386</v>
      </c>
      <c r="B525">
        <v>5</v>
      </c>
      <c r="C525">
        <v>72</v>
      </c>
      <c r="D525">
        <v>1</v>
      </c>
      <c r="E525">
        <v>48211090</v>
      </c>
      <c r="F525">
        <v>297274</v>
      </c>
      <c r="G525" t="s">
        <v>315</v>
      </c>
      <c r="H525" t="s">
        <v>60</v>
      </c>
      <c r="I525" t="s">
        <v>60</v>
      </c>
      <c r="J525" t="s">
        <v>60</v>
      </c>
      <c r="K525" t="s">
        <v>60</v>
      </c>
      <c r="L525" t="s">
        <v>12</v>
      </c>
      <c r="M525">
        <v>37.5</v>
      </c>
      <c r="P525">
        <v>40</v>
      </c>
      <c r="Q525" t="s">
        <v>80</v>
      </c>
      <c r="R525" t="s">
        <v>415</v>
      </c>
      <c r="S525" t="s">
        <v>363</v>
      </c>
      <c r="T525" t="s">
        <v>333</v>
      </c>
      <c r="V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Q525">
        <v>182377</v>
      </c>
      <c r="AR525" t="b">
        <v>1</v>
      </c>
      <c r="AS525" t="b">
        <v>1</v>
      </c>
      <c r="AT525" t="b">
        <v>1</v>
      </c>
      <c r="AU525" t="b">
        <v>1</v>
      </c>
      <c r="AV525" t="b">
        <v>1</v>
      </c>
      <c r="AW525" t="b">
        <v>1</v>
      </c>
      <c r="AX525" t="b">
        <v>1</v>
      </c>
      <c r="BA525" t="s">
        <v>438</v>
      </c>
    </row>
    <row r="526" spans="1:53" x14ac:dyDescent="0.25">
      <c r="A526" t="s">
        <v>386</v>
      </c>
      <c r="B526">
        <v>5</v>
      </c>
      <c r="C526">
        <v>73</v>
      </c>
      <c r="D526">
        <v>1</v>
      </c>
      <c r="E526">
        <v>48211090</v>
      </c>
      <c r="F526">
        <v>297275</v>
      </c>
      <c r="G526" t="s">
        <v>316</v>
      </c>
      <c r="H526" t="s">
        <v>60</v>
      </c>
      <c r="I526" t="s">
        <v>60</v>
      </c>
      <c r="J526" t="s">
        <v>60</v>
      </c>
      <c r="K526" t="s">
        <v>60</v>
      </c>
      <c r="L526" t="s">
        <v>12</v>
      </c>
      <c r="M526">
        <v>5.75</v>
      </c>
      <c r="P526">
        <v>40</v>
      </c>
      <c r="Q526" t="s">
        <v>80</v>
      </c>
      <c r="R526" t="s">
        <v>415</v>
      </c>
      <c r="S526" t="s">
        <v>363</v>
      </c>
      <c r="T526" t="s">
        <v>333</v>
      </c>
      <c r="V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Q526">
        <v>182377</v>
      </c>
      <c r="AR526" t="b">
        <v>1</v>
      </c>
      <c r="AS526" t="b">
        <v>1</v>
      </c>
      <c r="AT526" t="b">
        <v>1</v>
      </c>
      <c r="AU526" t="b">
        <v>1</v>
      </c>
      <c r="AV526" t="b">
        <v>1</v>
      </c>
      <c r="AW526" t="b">
        <v>1</v>
      </c>
      <c r="AX526" t="b">
        <v>1</v>
      </c>
      <c r="BA526" t="s">
        <v>438</v>
      </c>
    </row>
    <row r="527" spans="1:53" x14ac:dyDescent="0.25">
      <c r="A527" t="s">
        <v>386</v>
      </c>
      <c r="B527">
        <v>5</v>
      </c>
      <c r="C527">
        <v>74</v>
      </c>
      <c r="D527">
        <v>1</v>
      </c>
      <c r="E527">
        <v>48211090</v>
      </c>
      <c r="F527">
        <v>297276</v>
      </c>
      <c r="G527" t="s">
        <v>317</v>
      </c>
      <c r="H527" t="s">
        <v>60</v>
      </c>
      <c r="I527" t="s">
        <v>60</v>
      </c>
      <c r="J527" t="s">
        <v>60</v>
      </c>
      <c r="K527" t="s">
        <v>60</v>
      </c>
      <c r="L527" t="s">
        <v>12</v>
      </c>
      <c r="M527">
        <v>13</v>
      </c>
      <c r="P527">
        <v>40</v>
      </c>
      <c r="Q527" t="s">
        <v>80</v>
      </c>
      <c r="R527" t="s">
        <v>415</v>
      </c>
      <c r="S527" t="s">
        <v>363</v>
      </c>
      <c r="T527" t="s">
        <v>333</v>
      </c>
      <c r="V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Q527">
        <v>182377</v>
      </c>
      <c r="AR527" t="b">
        <v>1</v>
      </c>
      <c r="AS527" t="b">
        <v>1</v>
      </c>
      <c r="AT527" t="b">
        <v>1</v>
      </c>
      <c r="AU527" t="b">
        <v>1</v>
      </c>
      <c r="AV527" t="b">
        <v>1</v>
      </c>
      <c r="AW527" t="b">
        <v>1</v>
      </c>
      <c r="AX527" t="b">
        <v>1</v>
      </c>
      <c r="BA527" t="s">
        <v>438</v>
      </c>
    </row>
    <row r="528" spans="1:53" x14ac:dyDescent="0.25">
      <c r="A528" t="s">
        <v>386</v>
      </c>
      <c r="B528">
        <v>5</v>
      </c>
      <c r="C528">
        <v>75</v>
      </c>
      <c r="D528">
        <v>1</v>
      </c>
      <c r="E528">
        <v>48211090</v>
      </c>
      <c r="F528">
        <v>297277</v>
      </c>
      <c r="G528" t="s">
        <v>318</v>
      </c>
      <c r="H528" t="s">
        <v>60</v>
      </c>
      <c r="I528" t="s">
        <v>60</v>
      </c>
      <c r="J528" t="s">
        <v>60</v>
      </c>
      <c r="K528" t="s">
        <v>60</v>
      </c>
      <c r="L528" t="s">
        <v>12</v>
      </c>
      <c r="M528">
        <v>9.5</v>
      </c>
      <c r="P528">
        <v>40</v>
      </c>
      <c r="Q528" t="s">
        <v>80</v>
      </c>
      <c r="R528" t="s">
        <v>415</v>
      </c>
      <c r="S528" t="s">
        <v>363</v>
      </c>
      <c r="T528" t="s">
        <v>333</v>
      </c>
      <c r="V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Q528">
        <v>182377</v>
      </c>
      <c r="AR528" t="b">
        <v>1</v>
      </c>
      <c r="AS528" t="b">
        <v>1</v>
      </c>
      <c r="AT528" t="b">
        <v>1</v>
      </c>
      <c r="AU528" t="b">
        <v>1</v>
      </c>
      <c r="AV528" t="b">
        <v>1</v>
      </c>
      <c r="AW528" t="b">
        <v>1</v>
      </c>
      <c r="AX528" t="b">
        <v>1</v>
      </c>
      <c r="BA528" t="s">
        <v>438</v>
      </c>
    </row>
    <row r="529" spans="1:53" x14ac:dyDescent="0.25">
      <c r="A529" t="s">
        <v>386</v>
      </c>
      <c r="B529">
        <v>5</v>
      </c>
      <c r="C529">
        <v>76</v>
      </c>
      <c r="D529">
        <v>1</v>
      </c>
      <c r="E529">
        <v>48211090</v>
      </c>
      <c r="F529">
        <v>297278</v>
      </c>
      <c r="G529" t="s">
        <v>319</v>
      </c>
      <c r="H529" t="s">
        <v>60</v>
      </c>
      <c r="I529" t="s">
        <v>60</v>
      </c>
      <c r="J529" t="s">
        <v>60</v>
      </c>
      <c r="K529" t="s">
        <v>60</v>
      </c>
      <c r="L529" t="s">
        <v>12</v>
      </c>
      <c r="M529">
        <v>9.25</v>
      </c>
      <c r="P529">
        <v>40</v>
      </c>
      <c r="Q529" t="s">
        <v>80</v>
      </c>
      <c r="R529" t="s">
        <v>415</v>
      </c>
      <c r="S529" t="s">
        <v>363</v>
      </c>
      <c r="T529" t="s">
        <v>333</v>
      </c>
      <c r="V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Q529">
        <v>182377</v>
      </c>
      <c r="AR529" t="b">
        <v>1</v>
      </c>
      <c r="AS529" t="b">
        <v>1</v>
      </c>
      <c r="AT529" t="b">
        <v>1</v>
      </c>
      <c r="AU529" t="b">
        <v>1</v>
      </c>
      <c r="AV529" t="b">
        <v>1</v>
      </c>
      <c r="AW529" t="b">
        <v>1</v>
      </c>
      <c r="AX529" t="b">
        <v>1</v>
      </c>
      <c r="BA529" t="s">
        <v>438</v>
      </c>
    </row>
    <row r="530" spans="1:53" x14ac:dyDescent="0.25">
      <c r="A530" t="s">
        <v>386</v>
      </c>
      <c r="B530">
        <v>7</v>
      </c>
      <c r="C530">
        <v>1</v>
      </c>
      <c r="D530">
        <v>1</v>
      </c>
      <c r="E530">
        <v>52081900</v>
      </c>
      <c r="F530">
        <v>274799</v>
      </c>
      <c r="G530" t="s">
        <v>311</v>
      </c>
      <c r="H530" t="s">
        <v>60</v>
      </c>
      <c r="I530" t="s">
        <v>60</v>
      </c>
      <c r="J530" t="s">
        <v>60</v>
      </c>
      <c r="K530" t="s">
        <v>60</v>
      </c>
      <c r="L530" t="s">
        <v>27</v>
      </c>
      <c r="M530">
        <v>6.6749999999999998</v>
      </c>
      <c r="P530">
        <v>40</v>
      </c>
      <c r="Q530" t="s">
        <v>80</v>
      </c>
      <c r="R530" t="s">
        <v>409</v>
      </c>
      <c r="S530" t="s">
        <v>358</v>
      </c>
      <c r="T530" t="s">
        <v>327</v>
      </c>
      <c r="V530">
        <v>0</v>
      </c>
      <c r="Y530">
        <v>0</v>
      </c>
      <c r="Z530">
        <v>0</v>
      </c>
      <c r="AA530">
        <v>0</v>
      </c>
      <c r="AB530">
        <v>1601472.41</v>
      </c>
      <c r="AC530">
        <v>0</v>
      </c>
      <c r="AD530">
        <v>0</v>
      </c>
      <c r="AE530">
        <v>0</v>
      </c>
      <c r="AQ530">
        <v>182378</v>
      </c>
      <c r="AR530" t="b">
        <v>1</v>
      </c>
      <c r="AS530" t="b">
        <v>1</v>
      </c>
      <c r="AT530" t="b">
        <v>1</v>
      </c>
      <c r="AU530" t="b">
        <v>1</v>
      </c>
      <c r="AV530" t="b">
        <v>1</v>
      </c>
      <c r="AW530" t="b">
        <v>1</v>
      </c>
      <c r="AX530" t="b">
        <v>1</v>
      </c>
      <c r="BA530" t="s">
        <v>439</v>
      </c>
    </row>
    <row r="531" spans="1:53" x14ac:dyDescent="0.25">
      <c r="A531" t="s">
        <v>386</v>
      </c>
      <c r="B531">
        <v>7</v>
      </c>
      <c r="C531">
        <v>2</v>
      </c>
      <c r="D531">
        <v>1</v>
      </c>
      <c r="E531">
        <v>52081900</v>
      </c>
      <c r="F531">
        <v>275340</v>
      </c>
      <c r="G531" t="s">
        <v>312</v>
      </c>
      <c r="H531" t="s">
        <v>60</v>
      </c>
      <c r="I531" t="s">
        <v>60</v>
      </c>
      <c r="J531" t="s">
        <v>60</v>
      </c>
      <c r="K531" t="s">
        <v>60</v>
      </c>
      <c r="L531" t="s">
        <v>27</v>
      </c>
      <c r="M531">
        <v>6.6749999999999998</v>
      </c>
      <c r="P531">
        <v>40</v>
      </c>
      <c r="Q531" t="s">
        <v>80</v>
      </c>
      <c r="R531" t="s">
        <v>429</v>
      </c>
      <c r="S531" t="s">
        <v>376</v>
      </c>
      <c r="T531" t="s">
        <v>347</v>
      </c>
      <c r="V531">
        <v>0</v>
      </c>
      <c r="Y531">
        <v>0</v>
      </c>
      <c r="Z531">
        <v>0</v>
      </c>
      <c r="AA531">
        <v>0</v>
      </c>
      <c r="AB531">
        <v>1601472.41</v>
      </c>
      <c r="AC531">
        <v>0</v>
      </c>
      <c r="AD531">
        <v>0</v>
      </c>
      <c r="AE531">
        <v>0</v>
      </c>
      <c r="AQ531">
        <v>182378</v>
      </c>
      <c r="AR531" t="b">
        <v>1</v>
      </c>
      <c r="AS531" t="b">
        <v>1</v>
      </c>
      <c r="AT531" t="b">
        <v>1</v>
      </c>
      <c r="AU531" t="b">
        <v>1</v>
      </c>
      <c r="AV531" t="b">
        <v>1</v>
      </c>
      <c r="AW531" t="b">
        <v>1</v>
      </c>
      <c r="AX531" t="b">
        <v>1</v>
      </c>
      <c r="BA531" t="s">
        <v>439</v>
      </c>
    </row>
    <row r="532" spans="1:53" x14ac:dyDescent="0.25">
      <c r="A532" t="s">
        <v>386</v>
      </c>
      <c r="B532">
        <v>7</v>
      </c>
      <c r="C532">
        <v>3</v>
      </c>
      <c r="D532">
        <v>1</v>
      </c>
      <c r="E532">
        <v>56039200</v>
      </c>
      <c r="F532">
        <v>267890</v>
      </c>
      <c r="G532" t="s">
        <v>323</v>
      </c>
      <c r="H532" t="s">
        <v>60</v>
      </c>
      <c r="I532" t="s">
        <v>60</v>
      </c>
      <c r="J532" t="s">
        <v>60</v>
      </c>
      <c r="K532" t="s">
        <v>60</v>
      </c>
      <c r="L532" t="s">
        <v>11</v>
      </c>
      <c r="M532">
        <v>4.2</v>
      </c>
      <c r="P532">
        <v>40</v>
      </c>
      <c r="Q532" t="s">
        <v>80</v>
      </c>
      <c r="R532" t="s">
        <v>430</v>
      </c>
      <c r="S532" t="s">
        <v>377</v>
      </c>
      <c r="T532" t="s">
        <v>348</v>
      </c>
      <c r="V532">
        <v>0</v>
      </c>
      <c r="Y532">
        <v>0</v>
      </c>
      <c r="Z532">
        <v>0</v>
      </c>
      <c r="AA532">
        <v>0</v>
      </c>
      <c r="AB532">
        <v>24832.16</v>
      </c>
      <c r="AC532">
        <v>0</v>
      </c>
      <c r="AD532">
        <v>0</v>
      </c>
      <c r="AE532">
        <v>0</v>
      </c>
      <c r="AQ532">
        <v>182378</v>
      </c>
      <c r="AR532" t="b">
        <v>1</v>
      </c>
      <c r="AS532" t="b">
        <v>1</v>
      </c>
      <c r="AT532" t="b">
        <v>1</v>
      </c>
      <c r="AU532" t="b">
        <v>1</v>
      </c>
      <c r="AV532" t="b">
        <v>1</v>
      </c>
      <c r="AW532" t="b">
        <v>1</v>
      </c>
      <c r="AX532" t="b">
        <v>1</v>
      </c>
      <c r="BA532" t="s">
        <v>439</v>
      </c>
    </row>
    <row r="533" spans="1:53" x14ac:dyDescent="0.25">
      <c r="A533" t="s">
        <v>386</v>
      </c>
      <c r="B533">
        <v>7</v>
      </c>
      <c r="C533">
        <v>4</v>
      </c>
      <c r="D533">
        <v>1</v>
      </c>
      <c r="E533">
        <v>96062100</v>
      </c>
      <c r="F533">
        <v>270819</v>
      </c>
      <c r="G533" t="s">
        <v>324</v>
      </c>
      <c r="H533" t="s">
        <v>60</v>
      </c>
      <c r="I533" t="s">
        <v>60</v>
      </c>
      <c r="J533" t="s">
        <v>60</v>
      </c>
      <c r="K533" t="s">
        <v>60</v>
      </c>
      <c r="L533" t="s">
        <v>12</v>
      </c>
      <c r="M533">
        <v>276.5</v>
      </c>
      <c r="P533">
        <v>40</v>
      </c>
      <c r="Q533" t="s">
        <v>80</v>
      </c>
      <c r="R533" t="s">
        <v>431</v>
      </c>
      <c r="S533" t="s">
        <v>378</v>
      </c>
      <c r="T533" t="s">
        <v>349</v>
      </c>
      <c r="V533">
        <v>0</v>
      </c>
      <c r="Y533">
        <v>0</v>
      </c>
      <c r="Z533">
        <v>0</v>
      </c>
      <c r="AA533">
        <v>0</v>
      </c>
      <c r="AB533">
        <v>52535</v>
      </c>
      <c r="AC533">
        <v>0</v>
      </c>
      <c r="AD533">
        <v>0</v>
      </c>
      <c r="AE533">
        <v>0</v>
      </c>
      <c r="AQ533">
        <v>182378</v>
      </c>
      <c r="AR533" t="b">
        <v>1</v>
      </c>
      <c r="AS533" t="b">
        <v>1</v>
      </c>
      <c r="AT533" t="b">
        <v>1</v>
      </c>
      <c r="AU533" t="b">
        <v>1</v>
      </c>
      <c r="AV533" t="b">
        <v>1</v>
      </c>
      <c r="AW533" t="b">
        <v>1</v>
      </c>
      <c r="AX533" t="b">
        <v>1</v>
      </c>
      <c r="BA533" t="s">
        <v>439</v>
      </c>
    </row>
    <row r="534" spans="1:53" x14ac:dyDescent="0.25">
      <c r="A534" t="s">
        <v>386</v>
      </c>
      <c r="B534">
        <v>7</v>
      </c>
      <c r="C534">
        <v>5</v>
      </c>
      <c r="D534">
        <v>1</v>
      </c>
      <c r="E534">
        <v>96062100</v>
      </c>
      <c r="F534">
        <v>270819</v>
      </c>
      <c r="G534" t="s">
        <v>324</v>
      </c>
      <c r="H534" t="s">
        <v>60</v>
      </c>
      <c r="I534" t="s">
        <v>60</v>
      </c>
      <c r="J534" t="s">
        <v>60</v>
      </c>
      <c r="K534" t="s">
        <v>60</v>
      </c>
      <c r="L534" t="s">
        <v>12</v>
      </c>
      <c r="M534">
        <v>504.5</v>
      </c>
      <c r="P534">
        <v>40</v>
      </c>
      <c r="Q534" t="s">
        <v>80</v>
      </c>
      <c r="R534" t="s">
        <v>432</v>
      </c>
      <c r="S534" t="s">
        <v>379</v>
      </c>
      <c r="T534" t="s">
        <v>350</v>
      </c>
      <c r="V534">
        <v>0</v>
      </c>
      <c r="Y534">
        <v>0</v>
      </c>
      <c r="Z534">
        <v>0</v>
      </c>
      <c r="AA534">
        <v>0</v>
      </c>
      <c r="AB534">
        <v>95855</v>
      </c>
      <c r="AC534">
        <v>0</v>
      </c>
      <c r="AD534">
        <v>0</v>
      </c>
      <c r="AE534">
        <v>0</v>
      </c>
      <c r="AQ534">
        <v>182378</v>
      </c>
      <c r="AR534" t="b">
        <v>1</v>
      </c>
      <c r="AS534" t="b">
        <v>1</v>
      </c>
      <c r="AT534" t="b">
        <v>1</v>
      </c>
      <c r="AU534" t="b">
        <v>1</v>
      </c>
      <c r="AV534" t="b">
        <v>1</v>
      </c>
      <c r="AW534" t="b">
        <v>1</v>
      </c>
      <c r="AX534" t="b">
        <v>1</v>
      </c>
      <c r="BA534" t="s">
        <v>439</v>
      </c>
    </row>
    <row r="535" spans="1:53" x14ac:dyDescent="0.25">
      <c r="A535" t="s">
        <v>386</v>
      </c>
      <c r="B535">
        <v>7</v>
      </c>
      <c r="C535">
        <v>6</v>
      </c>
      <c r="D535">
        <v>1</v>
      </c>
      <c r="E535">
        <v>96062100</v>
      </c>
      <c r="F535">
        <v>270819</v>
      </c>
      <c r="G535" t="s">
        <v>324</v>
      </c>
      <c r="H535" t="s">
        <v>60</v>
      </c>
      <c r="I535" t="s">
        <v>60</v>
      </c>
      <c r="J535" t="s">
        <v>60</v>
      </c>
      <c r="K535" t="s">
        <v>60</v>
      </c>
      <c r="L535" t="s">
        <v>12</v>
      </c>
      <c r="M535">
        <v>269</v>
      </c>
      <c r="P535">
        <v>40</v>
      </c>
      <c r="Q535" t="s">
        <v>80</v>
      </c>
      <c r="R535" t="s">
        <v>433</v>
      </c>
      <c r="S535" t="s">
        <v>380</v>
      </c>
      <c r="T535" t="s">
        <v>351</v>
      </c>
      <c r="V535">
        <v>0</v>
      </c>
      <c r="Y535">
        <v>0</v>
      </c>
      <c r="Z535">
        <v>0</v>
      </c>
      <c r="AA535">
        <v>0</v>
      </c>
      <c r="AB535">
        <v>51110</v>
      </c>
      <c r="AC535">
        <v>0</v>
      </c>
      <c r="AD535">
        <v>0</v>
      </c>
      <c r="AE535">
        <v>0</v>
      </c>
      <c r="AQ535">
        <v>182378</v>
      </c>
      <c r="AR535" t="b">
        <v>1</v>
      </c>
      <c r="AS535" t="b">
        <v>1</v>
      </c>
      <c r="AT535" t="b">
        <v>1</v>
      </c>
      <c r="AU535" t="b">
        <v>1</v>
      </c>
      <c r="AV535" t="b">
        <v>1</v>
      </c>
      <c r="AW535" t="b">
        <v>1</v>
      </c>
      <c r="AX535" t="b">
        <v>1</v>
      </c>
      <c r="BA535" t="s">
        <v>439</v>
      </c>
    </row>
    <row r="536" spans="1:53" x14ac:dyDescent="0.25">
      <c r="A536" t="s">
        <v>386</v>
      </c>
      <c r="B536">
        <v>7</v>
      </c>
      <c r="C536">
        <v>7</v>
      </c>
      <c r="D536">
        <v>1</v>
      </c>
      <c r="E536">
        <v>39191020</v>
      </c>
      <c r="F536">
        <v>273158</v>
      </c>
      <c r="G536" t="s">
        <v>325</v>
      </c>
      <c r="H536" t="s">
        <v>60</v>
      </c>
      <c r="I536" t="s">
        <v>60</v>
      </c>
      <c r="J536" t="s">
        <v>60</v>
      </c>
      <c r="K536" t="s">
        <v>60</v>
      </c>
      <c r="L536" t="s">
        <v>27</v>
      </c>
      <c r="M536">
        <v>32.369999999999997</v>
      </c>
      <c r="P536">
        <v>40</v>
      </c>
      <c r="Q536" t="s">
        <v>80</v>
      </c>
      <c r="R536" t="s">
        <v>434</v>
      </c>
      <c r="S536" t="s">
        <v>381</v>
      </c>
      <c r="T536" t="s">
        <v>352</v>
      </c>
      <c r="V536">
        <v>0</v>
      </c>
      <c r="Y536">
        <v>0</v>
      </c>
      <c r="Z536">
        <v>0</v>
      </c>
      <c r="AA536">
        <v>0</v>
      </c>
      <c r="AB536">
        <v>9711000</v>
      </c>
      <c r="AC536">
        <v>0</v>
      </c>
      <c r="AD536">
        <v>0</v>
      </c>
      <c r="AE536">
        <v>0</v>
      </c>
      <c r="AQ536">
        <v>182378</v>
      </c>
      <c r="AR536" t="b">
        <v>1</v>
      </c>
      <c r="AS536" t="b">
        <v>1</v>
      </c>
      <c r="AT536" t="b">
        <v>1</v>
      </c>
      <c r="AU536" t="b">
        <v>1</v>
      </c>
      <c r="AV536" t="b">
        <v>1</v>
      </c>
      <c r="AW536" t="b">
        <v>1</v>
      </c>
      <c r="AX536" t="b">
        <v>1</v>
      </c>
      <c r="BA536" t="s">
        <v>439</v>
      </c>
    </row>
    <row r="537" spans="1:53" x14ac:dyDescent="0.25">
      <c r="A537" t="s">
        <v>386</v>
      </c>
      <c r="B537">
        <v>7</v>
      </c>
      <c r="C537">
        <v>8</v>
      </c>
      <c r="D537">
        <v>1</v>
      </c>
      <c r="E537">
        <v>48211090</v>
      </c>
      <c r="F537">
        <v>297274</v>
      </c>
      <c r="G537" t="s">
        <v>315</v>
      </c>
      <c r="H537" t="s">
        <v>60</v>
      </c>
      <c r="I537" t="s">
        <v>60</v>
      </c>
      <c r="J537" t="s">
        <v>60</v>
      </c>
      <c r="K537" t="s">
        <v>60</v>
      </c>
      <c r="L537" t="s">
        <v>12</v>
      </c>
      <c r="M537">
        <v>150</v>
      </c>
      <c r="P537">
        <v>40</v>
      </c>
      <c r="Q537" t="s">
        <v>80</v>
      </c>
      <c r="R537" t="s">
        <v>415</v>
      </c>
      <c r="S537" t="s">
        <v>363</v>
      </c>
      <c r="T537" t="s">
        <v>333</v>
      </c>
      <c r="V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Q537">
        <v>182378</v>
      </c>
      <c r="AR537" t="b">
        <v>1</v>
      </c>
      <c r="AS537" t="b">
        <v>1</v>
      </c>
      <c r="AT537" t="b">
        <v>1</v>
      </c>
      <c r="AU537" t="b">
        <v>1</v>
      </c>
      <c r="AV537" t="b">
        <v>1</v>
      </c>
      <c r="AW537" t="b">
        <v>1</v>
      </c>
      <c r="AX537" t="b">
        <v>1</v>
      </c>
      <c r="BA537" t="s">
        <v>439</v>
      </c>
    </row>
    <row r="538" spans="1:53" x14ac:dyDescent="0.25">
      <c r="A538" t="s">
        <v>386</v>
      </c>
      <c r="B538">
        <v>7</v>
      </c>
      <c r="C538">
        <v>9</v>
      </c>
      <c r="D538">
        <v>1</v>
      </c>
      <c r="E538">
        <v>48211090</v>
      </c>
      <c r="F538">
        <v>297275</v>
      </c>
      <c r="G538" t="s">
        <v>316</v>
      </c>
      <c r="H538" t="s">
        <v>60</v>
      </c>
      <c r="I538" t="s">
        <v>60</v>
      </c>
      <c r="J538" t="s">
        <v>60</v>
      </c>
      <c r="K538" t="s">
        <v>60</v>
      </c>
      <c r="L538" t="s">
        <v>12</v>
      </c>
      <c r="M538">
        <v>23</v>
      </c>
      <c r="P538">
        <v>40</v>
      </c>
      <c r="Q538" t="s">
        <v>80</v>
      </c>
      <c r="R538" t="s">
        <v>415</v>
      </c>
      <c r="S538" t="s">
        <v>363</v>
      </c>
      <c r="T538" t="s">
        <v>333</v>
      </c>
      <c r="V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Q538">
        <v>182378</v>
      </c>
      <c r="AR538" t="b">
        <v>1</v>
      </c>
      <c r="AS538" t="b">
        <v>1</v>
      </c>
      <c r="AT538" t="b">
        <v>1</v>
      </c>
      <c r="AU538" t="b">
        <v>1</v>
      </c>
      <c r="AV538" t="b">
        <v>1</v>
      </c>
      <c r="AW538" t="b">
        <v>1</v>
      </c>
      <c r="AX538" t="b">
        <v>1</v>
      </c>
      <c r="BA538" t="s">
        <v>439</v>
      </c>
    </row>
    <row r="539" spans="1:53" x14ac:dyDescent="0.25">
      <c r="A539" t="s">
        <v>386</v>
      </c>
      <c r="B539">
        <v>7</v>
      </c>
      <c r="C539">
        <v>10</v>
      </c>
      <c r="D539">
        <v>1</v>
      </c>
      <c r="E539">
        <v>48211090</v>
      </c>
      <c r="F539">
        <v>297276</v>
      </c>
      <c r="G539" t="s">
        <v>317</v>
      </c>
      <c r="H539" t="s">
        <v>60</v>
      </c>
      <c r="I539" t="s">
        <v>60</v>
      </c>
      <c r="J539" t="s">
        <v>60</v>
      </c>
      <c r="K539" t="s">
        <v>60</v>
      </c>
      <c r="L539" t="s">
        <v>12</v>
      </c>
      <c r="M539">
        <v>52</v>
      </c>
      <c r="P539">
        <v>40</v>
      </c>
      <c r="Q539" t="s">
        <v>80</v>
      </c>
      <c r="R539" t="s">
        <v>415</v>
      </c>
      <c r="S539" t="s">
        <v>363</v>
      </c>
      <c r="T539" t="s">
        <v>333</v>
      </c>
      <c r="V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Q539">
        <v>182378</v>
      </c>
      <c r="AR539" t="b">
        <v>1</v>
      </c>
      <c r="AS539" t="b">
        <v>1</v>
      </c>
      <c r="AT539" t="b">
        <v>1</v>
      </c>
      <c r="AU539" t="b">
        <v>1</v>
      </c>
      <c r="AV539" t="b">
        <v>1</v>
      </c>
      <c r="AW539" t="b">
        <v>1</v>
      </c>
      <c r="AX539" t="b">
        <v>1</v>
      </c>
      <c r="BA539" t="s">
        <v>439</v>
      </c>
    </row>
    <row r="540" spans="1:53" x14ac:dyDescent="0.25">
      <c r="A540" t="s">
        <v>386</v>
      </c>
      <c r="B540">
        <v>7</v>
      </c>
      <c r="C540">
        <v>11</v>
      </c>
      <c r="D540">
        <v>1</v>
      </c>
      <c r="E540">
        <v>48211090</v>
      </c>
      <c r="F540">
        <v>297277</v>
      </c>
      <c r="G540" t="s">
        <v>318</v>
      </c>
      <c r="H540" t="s">
        <v>60</v>
      </c>
      <c r="I540" t="s">
        <v>60</v>
      </c>
      <c r="J540" t="s">
        <v>60</v>
      </c>
      <c r="K540" t="s">
        <v>60</v>
      </c>
      <c r="L540" t="s">
        <v>12</v>
      </c>
      <c r="M540">
        <v>38</v>
      </c>
      <c r="P540">
        <v>40</v>
      </c>
      <c r="Q540" t="s">
        <v>80</v>
      </c>
      <c r="R540" t="s">
        <v>415</v>
      </c>
      <c r="S540" t="s">
        <v>363</v>
      </c>
      <c r="T540" t="s">
        <v>333</v>
      </c>
      <c r="V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Q540">
        <v>182378</v>
      </c>
      <c r="AR540" t="b">
        <v>1</v>
      </c>
      <c r="AS540" t="b">
        <v>1</v>
      </c>
      <c r="AT540" t="b">
        <v>1</v>
      </c>
      <c r="AU540" t="b">
        <v>1</v>
      </c>
      <c r="AV540" t="b">
        <v>1</v>
      </c>
      <c r="AW540" t="b">
        <v>1</v>
      </c>
      <c r="AX540" t="b">
        <v>1</v>
      </c>
      <c r="BA540" t="s">
        <v>439</v>
      </c>
    </row>
    <row r="541" spans="1:53" x14ac:dyDescent="0.25">
      <c r="A541" t="s">
        <v>386</v>
      </c>
      <c r="B541">
        <v>7</v>
      </c>
      <c r="C541">
        <v>12</v>
      </c>
      <c r="D541">
        <v>1</v>
      </c>
      <c r="E541">
        <v>48211090</v>
      </c>
      <c r="F541">
        <v>297278</v>
      </c>
      <c r="G541" t="s">
        <v>319</v>
      </c>
      <c r="H541" t="s">
        <v>60</v>
      </c>
      <c r="I541" t="s">
        <v>60</v>
      </c>
      <c r="J541" t="s">
        <v>60</v>
      </c>
      <c r="K541" t="s">
        <v>60</v>
      </c>
      <c r="L541" t="s">
        <v>12</v>
      </c>
      <c r="M541">
        <v>37</v>
      </c>
      <c r="P541">
        <v>40</v>
      </c>
      <c r="Q541" t="s">
        <v>80</v>
      </c>
      <c r="R541" t="s">
        <v>415</v>
      </c>
      <c r="S541" t="s">
        <v>363</v>
      </c>
      <c r="T541" t="s">
        <v>333</v>
      </c>
      <c r="V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Q541">
        <v>182378</v>
      </c>
      <c r="AR541" t="b">
        <v>1</v>
      </c>
      <c r="AS541" t="b">
        <v>1</v>
      </c>
      <c r="AT541" t="b">
        <v>1</v>
      </c>
      <c r="AU541" t="b">
        <v>1</v>
      </c>
      <c r="AV541" t="b">
        <v>1</v>
      </c>
      <c r="AW541" t="b">
        <v>1</v>
      </c>
      <c r="AX541" t="b">
        <v>1</v>
      </c>
      <c r="BA541" t="s">
        <v>439</v>
      </c>
    </row>
    <row r="542" spans="1:53" x14ac:dyDescent="0.25">
      <c r="A542" t="s">
        <v>386</v>
      </c>
      <c r="B542">
        <v>7</v>
      </c>
      <c r="C542">
        <v>13</v>
      </c>
      <c r="D542">
        <v>1</v>
      </c>
      <c r="E542">
        <v>52081900</v>
      </c>
      <c r="F542">
        <v>274799</v>
      </c>
      <c r="G542" t="s">
        <v>311</v>
      </c>
      <c r="H542" t="s">
        <v>60</v>
      </c>
      <c r="I542" t="s">
        <v>60</v>
      </c>
      <c r="J542" t="s">
        <v>60</v>
      </c>
      <c r="K542" t="s">
        <v>60</v>
      </c>
      <c r="L542" t="s">
        <v>27</v>
      </c>
      <c r="M542">
        <v>3.3374999999999999</v>
      </c>
      <c r="P542">
        <v>40</v>
      </c>
      <c r="Q542" t="s">
        <v>80</v>
      </c>
      <c r="R542" t="s">
        <v>409</v>
      </c>
      <c r="S542" t="s">
        <v>358</v>
      </c>
      <c r="T542" t="s">
        <v>327</v>
      </c>
      <c r="V542">
        <v>0</v>
      </c>
      <c r="Y542">
        <v>0</v>
      </c>
      <c r="Z542">
        <v>0</v>
      </c>
      <c r="AA542">
        <v>0</v>
      </c>
      <c r="AB542">
        <v>1601472.41</v>
      </c>
      <c r="AC542">
        <v>0</v>
      </c>
      <c r="AD542">
        <v>0</v>
      </c>
      <c r="AE542">
        <v>0</v>
      </c>
      <c r="AQ542">
        <v>182378</v>
      </c>
      <c r="AR542" t="b">
        <v>1</v>
      </c>
      <c r="AS542" t="b">
        <v>1</v>
      </c>
      <c r="AT542" t="b">
        <v>1</v>
      </c>
      <c r="AU542" t="b">
        <v>1</v>
      </c>
      <c r="AV542" t="b">
        <v>1</v>
      </c>
      <c r="AW542" t="b">
        <v>1</v>
      </c>
      <c r="AX542" t="b">
        <v>1</v>
      </c>
      <c r="BA542" t="s">
        <v>439</v>
      </c>
    </row>
    <row r="543" spans="1:53" x14ac:dyDescent="0.25">
      <c r="A543" t="s">
        <v>386</v>
      </c>
      <c r="B543">
        <v>7</v>
      </c>
      <c r="C543">
        <v>14</v>
      </c>
      <c r="D543">
        <v>1</v>
      </c>
      <c r="E543">
        <v>52081900</v>
      </c>
      <c r="F543">
        <v>275340</v>
      </c>
      <c r="G543" t="s">
        <v>312</v>
      </c>
      <c r="H543" t="s">
        <v>60</v>
      </c>
      <c r="I543" t="s">
        <v>60</v>
      </c>
      <c r="J543" t="s">
        <v>60</v>
      </c>
      <c r="K543" t="s">
        <v>60</v>
      </c>
      <c r="L543" t="s">
        <v>27</v>
      </c>
      <c r="M543">
        <v>3.3374999999999999</v>
      </c>
      <c r="P543">
        <v>40</v>
      </c>
      <c r="Q543" t="s">
        <v>80</v>
      </c>
      <c r="R543" t="s">
        <v>429</v>
      </c>
      <c r="S543" t="s">
        <v>376</v>
      </c>
      <c r="T543" t="s">
        <v>347</v>
      </c>
      <c r="V543">
        <v>0</v>
      </c>
      <c r="Y543">
        <v>0</v>
      </c>
      <c r="Z543">
        <v>0</v>
      </c>
      <c r="AA543">
        <v>0</v>
      </c>
      <c r="AB543">
        <v>1601472.41</v>
      </c>
      <c r="AC543">
        <v>0</v>
      </c>
      <c r="AD543">
        <v>0</v>
      </c>
      <c r="AE543">
        <v>0</v>
      </c>
      <c r="AQ543">
        <v>182378</v>
      </c>
      <c r="AR543" t="b">
        <v>1</v>
      </c>
      <c r="AS543" t="b">
        <v>1</v>
      </c>
      <c r="AT543" t="b">
        <v>1</v>
      </c>
      <c r="AU543" t="b">
        <v>1</v>
      </c>
      <c r="AV543" t="b">
        <v>1</v>
      </c>
      <c r="AW543" t="b">
        <v>1</v>
      </c>
      <c r="AX543" t="b">
        <v>1</v>
      </c>
      <c r="BA543" t="s">
        <v>439</v>
      </c>
    </row>
    <row r="544" spans="1:53" x14ac:dyDescent="0.25">
      <c r="A544" t="s">
        <v>386</v>
      </c>
      <c r="B544">
        <v>7</v>
      </c>
      <c r="C544">
        <v>15</v>
      </c>
      <c r="D544">
        <v>1</v>
      </c>
      <c r="E544">
        <v>56039200</v>
      </c>
      <c r="F544">
        <v>267890</v>
      </c>
      <c r="G544" t="s">
        <v>323</v>
      </c>
      <c r="H544" t="s">
        <v>60</v>
      </c>
      <c r="I544" t="s">
        <v>60</v>
      </c>
      <c r="J544" t="s">
        <v>60</v>
      </c>
      <c r="K544" t="s">
        <v>60</v>
      </c>
      <c r="L544" t="s">
        <v>11</v>
      </c>
      <c r="M544">
        <v>2.1</v>
      </c>
      <c r="P544">
        <v>40</v>
      </c>
      <c r="Q544" t="s">
        <v>80</v>
      </c>
      <c r="R544" t="s">
        <v>430</v>
      </c>
      <c r="S544" t="s">
        <v>377</v>
      </c>
      <c r="T544" t="s">
        <v>348</v>
      </c>
      <c r="V544">
        <v>0</v>
      </c>
      <c r="Y544">
        <v>0</v>
      </c>
      <c r="Z544">
        <v>0</v>
      </c>
      <c r="AA544">
        <v>0</v>
      </c>
      <c r="AB544">
        <v>24832.16</v>
      </c>
      <c r="AC544">
        <v>0</v>
      </c>
      <c r="AD544">
        <v>0</v>
      </c>
      <c r="AE544">
        <v>0</v>
      </c>
      <c r="AQ544">
        <v>182378</v>
      </c>
      <c r="AR544" t="b">
        <v>1</v>
      </c>
      <c r="AS544" t="b">
        <v>1</v>
      </c>
      <c r="AT544" t="b">
        <v>1</v>
      </c>
      <c r="AU544" t="b">
        <v>1</v>
      </c>
      <c r="AV544" t="b">
        <v>1</v>
      </c>
      <c r="AW544" t="b">
        <v>1</v>
      </c>
      <c r="AX544" t="b">
        <v>1</v>
      </c>
      <c r="BA544" t="s">
        <v>439</v>
      </c>
    </row>
    <row r="545" spans="1:53" x14ac:dyDescent="0.25">
      <c r="A545" t="s">
        <v>386</v>
      </c>
      <c r="B545">
        <v>7</v>
      </c>
      <c r="C545">
        <v>16</v>
      </c>
      <c r="D545">
        <v>1</v>
      </c>
      <c r="E545">
        <v>96062100</v>
      </c>
      <c r="F545">
        <v>270819</v>
      </c>
      <c r="G545" t="s">
        <v>324</v>
      </c>
      <c r="H545" t="s">
        <v>60</v>
      </c>
      <c r="I545" t="s">
        <v>60</v>
      </c>
      <c r="J545" t="s">
        <v>60</v>
      </c>
      <c r="K545" t="s">
        <v>60</v>
      </c>
      <c r="L545" t="s">
        <v>12</v>
      </c>
      <c r="M545">
        <v>138.25</v>
      </c>
      <c r="P545">
        <v>40</v>
      </c>
      <c r="Q545" t="s">
        <v>80</v>
      </c>
      <c r="R545" t="s">
        <v>431</v>
      </c>
      <c r="S545" t="s">
        <v>378</v>
      </c>
      <c r="T545" t="s">
        <v>349</v>
      </c>
      <c r="V545">
        <v>0</v>
      </c>
      <c r="Y545">
        <v>0</v>
      </c>
      <c r="Z545">
        <v>0</v>
      </c>
      <c r="AA545">
        <v>0</v>
      </c>
      <c r="AB545">
        <v>52535</v>
      </c>
      <c r="AC545">
        <v>0</v>
      </c>
      <c r="AD545">
        <v>0</v>
      </c>
      <c r="AE545">
        <v>0</v>
      </c>
      <c r="AQ545">
        <v>182378</v>
      </c>
      <c r="AR545" t="b">
        <v>1</v>
      </c>
      <c r="AS545" t="b">
        <v>1</v>
      </c>
      <c r="AT545" t="b">
        <v>1</v>
      </c>
      <c r="AU545" t="b">
        <v>1</v>
      </c>
      <c r="AV545" t="b">
        <v>1</v>
      </c>
      <c r="AW545" t="b">
        <v>1</v>
      </c>
      <c r="AX545" t="b">
        <v>1</v>
      </c>
      <c r="BA545" t="s">
        <v>439</v>
      </c>
    </row>
    <row r="546" spans="1:53" x14ac:dyDescent="0.25">
      <c r="A546" t="s">
        <v>386</v>
      </c>
      <c r="B546">
        <v>7</v>
      </c>
      <c r="C546">
        <v>17</v>
      </c>
      <c r="D546">
        <v>1</v>
      </c>
      <c r="E546">
        <v>96062100</v>
      </c>
      <c r="F546">
        <v>270819</v>
      </c>
      <c r="G546" t="s">
        <v>324</v>
      </c>
      <c r="H546" t="s">
        <v>60</v>
      </c>
      <c r="I546" t="s">
        <v>60</v>
      </c>
      <c r="J546" t="s">
        <v>60</v>
      </c>
      <c r="K546" t="s">
        <v>60</v>
      </c>
      <c r="L546" t="s">
        <v>12</v>
      </c>
      <c r="M546">
        <v>252.25</v>
      </c>
      <c r="P546">
        <v>40</v>
      </c>
      <c r="Q546" t="s">
        <v>80</v>
      </c>
      <c r="R546" t="s">
        <v>432</v>
      </c>
      <c r="S546" t="s">
        <v>379</v>
      </c>
      <c r="T546" t="s">
        <v>350</v>
      </c>
      <c r="V546">
        <v>0</v>
      </c>
      <c r="Y546">
        <v>0</v>
      </c>
      <c r="Z546">
        <v>0</v>
      </c>
      <c r="AA546">
        <v>0</v>
      </c>
      <c r="AB546">
        <v>95855</v>
      </c>
      <c r="AC546">
        <v>0</v>
      </c>
      <c r="AD546">
        <v>0</v>
      </c>
      <c r="AE546">
        <v>0</v>
      </c>
      <c r="AQ546">
        <v>182378</v>
      </c>
      <c r="AR546" t="b">
        <v>1</v>
      </c>
      <c r="AS546" t="b">
        <v>1</v>
      </c>
      <c r="AT546" t="b">
        <v>1</v>
      </c>
      <c r="AU546" t="b">
        <v>1</v>
      </c>
      <c r="AV546" t="b">
        <v>1</v>
      </c>
      <c r="AW546" t="b">
        <v>1</v>
      </c>
      <c r="AX546" t="b">
        <v>1</v>
      </c>
      <c r="BA546" t="s">
        <v>439</v>
      </c>
    </row>
    <row r="547" spans="1:53" x14ac:dyDescent="0.25">
      <c r="A547" t="s">
        <v>386</v>
      </c>
      <c r="B547">
        <v>7</v>
      </c>
      <c r="C547">
        <v>18</v>
      </c>
      <c r="D547">
        <v>1</v>
      </c>
      <c r="E547">
        <v>96062100</v>
      </c>
      <c r="F547">
        <v>270819</v>
      </c>
      <c r="G547" t="s">
        <v>324</v>
      </c>
      <c r="H547" t="s">
        <v>60</v>
      </c>
      <c r="I547" t="s">
        <v>60</v>
      </c>
      <c r="J547" t="s">
        <v>60</v>
      </c>
      <c r="K547" t="s">
        <v>60</v>
      </c>
      <c r="L547" t="s">
        <v>12</v>
      </c>
      <c r="M547">
        <v>134.5</v>
      </c>
      <c r="P547">
        <v>40</v>
      </c>
      <c r="Q547" t="s">
        <v>80</v>
      </c>
      <c r="R547" t="s">
        <v>433</v>
      </c>
      <c r="S547" t="s">
        <v>380</v>
      </c>
      <c r="T547" t="s">
        <v>351</v>
      </c>
      <c r="V547">
        <v>0</v>
      </c>
      <c r="Y547">
        <v>0</v>
      </c>
      <c r="Z547">
        <v>0</v>
      </c>
      <c r="AA547">
        <v>0</v>
      </c>
      <c r="AB547">
        <v>51110</v>
      </c>
      <c r="AC547">
        <v>0</v>
      </c>
      <c r="AD547">
        <v>0</v>
      </c>
      <c r="AE547">
        <v>0</v>
      </c>
      <c r="AQ547">
        <v>182378</v>
      </c>
      <c r="AR547" t="b">
        <v>1</v>
      </c>
      <c r="AS547" t="b">
        <v>1</v>
      </c>
      <c r="AT547" t="b">
        <v>1</v>
      </c>
      <c r="AU547" t="b">
        <v>1</v>
      </c>
      <c r="AV547" t="b">
        <v>1</v>
      </c>
      <c r="AW547" t="b">
        <v>1</v>
      </c>
      <c r="AX547" t="b">
        <v>1</v>
      </c>
      <c r="BA547" t="s">
        <v>439</v>
      </c>
    </row>
    <row r="548" spans="1:53" x14ac:dyDescent="0.25">
      <c r="A548" t="s">
        <v>386</v>
      </c>
      <c r="B548">
        <v>7</v>
      </c>
      <c r="C548">
        <v>19</v>
      </c>
      <c r="D548">
        <v>1</v>
      </c>
      <c r="E548">
        <v>39191020</v>
      </c>
      <c r="F548">
        <v>273158</v>
      </c>
      <c r="G548" t="s">
        <v>325</v>
      </c>
      <c r="H548" t="s">
        <v>60</v>
      </c>
      <c r="I548" t="s">
        <v>60</v>
      </c>
      <c r="J548" t="s">
        <v>60</v>
      </c>
      <c r="K548" t="s">
        <v>60</v>
      </c>
      <c r="L548" t="s">
        <v>27</v>
      </c>
      <c r="M548">
        <v>16.184999999999999</v>
      </c>
      <c r="P548">
        <v>40</v>
      </c>
      <c r="Q548" t="s">
        <v>80</v>
      </c>
      <c r="R548" t="s">
        <v>434</v>
      </c>
      <c r="S548" t="s">
        <v>381</v>
      </c>
      <c r="T548" t="s">
        <v>352</v>
      </c>
      <c r="V548">
        <v>0</v>
      </c>
      <c r="Y548">
        <v>0</v>
      </c>
      <c r="Z548">
        <v>0</v>
      </c>
      <c r="AA548">
        <v>0</v>
      </c>
      <c r="AB548">
        <v>9711000</v>
      </c>
      <c r="AC548">
        <v>0</v>
      </c>
      <c r="AD548">
        <v>0</v>
      </c>
      <c r="AE548">
        <v>0</v>
      </c>
      <c r="AQ548">
        <v>182378</v>
      </c>
      <c r="AR548" t="b">
        <v>1</v>
      </c>
      <c r="AS548" t="b">
        <v>1</v>
      </c>
      <c r="AT548" t="b">
        <v>1</v>
      </c>
      <c r="AU548" t="b">
        <v>1</v>
      </c>
      <c r="AV548" t="b">
        <v>1</v>
      </c>
      <c r="AW548" t="b">
        <v>1</v>
      </c>
      <c r="AX548" t="b">
        <v>1</v>
      </c>
      <c r="BA548" t="s">
        <v>439</v>
      </c>
    </row>
    <row r="549" spans="1:53" x14ac:dyDescent="0.25">
      <c r="A549" t="s">
        <v>386</v>
      </c>
      <c r="B549">
        <v>7</v>
      </c>
      <c r="C549">
        <v>20</v>
      </c>
      <c r="D549">
        <v>1</v>
      </c>
      <c r="E549">
        <v>48211090</v>
      </c>
      <c r="F549">
        <v>297274</v>
      </c>
      <c r="G549" t="s">
        <v>315</v>
      </c>
      <c r="H549" t="s">
        <v>60</v>
      </c>
      <c r="I549" t="s">
        <v>60</v>
      </c>
      <c r="J549" t="s">
        <v>60</v>
      </c>
      <c r="K549" t="s">
        <v>60</v>
      </c>
      <c r="L549" t="s">
        <v>12</v>
      </c>
      <c r="M549">
        <v>75</v>
      </c>
      <c r="P549">
        <v>40</v>
      </c>
      <c r="Q549" t="s">
        <v>80</v>
      </c>
      <c r="R549" t="s">
        <v>415</v>
      </c>
      <c r="S549" t="s">
        <v>363</v>
      </c>
      <c r="T549" t="s">
        <v>333</v>
      </c>
      <c r="V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Q549">
        <v>182378</v>
      </c>
      <c r="AR549" t="b">
        <v>1</v>
      </c>
      <c r="AS549" t="b">
        <v>1</v>
      </c>
      <c r="AT549" t="b">
        <v>1</v>
      </c>
      <c r="AU549" t="b">
        <v>1</v>
      </c>
      <c r="AV549" t="b">
        <v>1</v>
      </c>
      <c r="AW549" t="b">
        <v>1</v>
      </c>
      <c r="AX549" t="b">
        <v>1</v>
      </c>
      <c r="BA549" t="s">
        <v>439</v>
      </c>
    </row>
    <row r="550" spans="1:53" x14ac:dyDescent="0.25">
      <c r="A550" t="s">
        <v>386</v>
      </c>
      <c r="B550">
        <v>7</v>
      </c>
      <c r="C550">
        <v>21</v>
      </c>
      <c r="D550">
        <v>1</v>
      </c>
      <c r="E550">
        <v>48211090</v>
      </c>
      <c r="F550">
        <v>297275</v>
      </c>
      <c r="G550" t="s">
        <v>316</v>
      </c>
      <c r="H550" t="s">
        <v>60</v>
      </c>
      <c r="I550" t="s">
        <v>60</v>
      </c>
      <c r="J550" t="s">
        <v>60</v>
      </c>
      <c r="K550" t="s">
        <v>60</v>
      </c>
      <c r="L550" t="s">
        <v>12</v>
      </c>
      <c r="M550">
        <v>11.5</v>
      </c>
      <c r="P550">
        <v>40</v>
      </c>
      <c r="Q550" t="s">
        <v>80</v>
      </c>
      <c r="R550" t="s">
        <v>415</v>
      </c>
      <c r="S550" t="s">
        <v>363</v>
      </c>
      <c r="T550" t="s">
        <v>333</v>
      </c>
      <c r="V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Q550">
        <v>182378</v>
      </c>
      <c r="AR550" t="b">
        <v>1</v>
      </c>
      <c r="AS550" t="b">
        <v>1</v>
      </c>
      <c r="AT550" t="b">
        <v>1</v>
      </c>
      <c r="AU550" t="b">
        <v>1</v>
      </c>
      <c r="AV550" t="b">
        <v>1</v>
      </c>
      <c r="AW550" t="b">
        <v>1</v>
      </c>
      <c r="AX550" t="b">
        <v>1</v>
      </c>
      <c r="BA550" t="s">
        <v>439</v>
      </c>
    </row>
    <row r="551" spans="1:53" x14ac:dyDescent="0.25">
      <c r="A551" t="s">
        <v>386</v>
      </c>
      <c r="B551">
        <v>7</v>
      </c>
      <c r="C551">
        <v>22</v>
      </c>
      <c r="D551">
        <v>1</v>
      </c>
      <c r="E551">
        <v>48211090</v>
      </c>
      <c r="F551">
        <v>297276</v>
      </c>
      <c r="G551" t="s">
        <v>317</v>
      </c>
      <c r="H551" t="s">
        <v>60</v>
      </c>
      <c r="I551" t="s">
        <v>60</v>
      </c>
      <c r="J551" t="s">
        <v>60</v>
      </c>
      <c r="K551" t="s">
        <v>60</v>
      </c>
      <c r="L551" t="s">
        <v>12</v>
      </c>
      <c r="M551">
        <v>26</v>
      </c>
      <c r="P551">
        <v>40</v>
      </c>
      <c r="Q551" t="s">
        <v>80</v>
      </c>
      <c r="R551" t="s">
        <v>415</v>
      </c>
      <c r="S551" t="s">
        <v>363</v>
      </c>
      <c r="T551" t="s">
        <v>333</v>
      </c>
      <c r="V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Q551">
        <v>182378</v>
      </c>
      <c r="AR551" t="b">
        <v>1</v>
      </c>
      <c r="AS551" t="b">
        <v>1</v>
      </c>
      <c r="AT551" t="b">
        <v>1</v>
      </c>
      <c r="AU551" t="b">
        <v>1</v>
      </c>
      <c r="AV551" t="b">
        <v>1</v>
      </c>
      <c r="AW551" t="b">
        <v>1</v>
      </c>
      <c r="AX551" t="b">
        <v>1</v>
      </c>
      <c r="BA551" t="s">
        <v>439</v>
      </c>
    </row>
    <row r="552" spans="1:53" x14ac:dyDescent="0.25">
      <c r="A552" t="s">
        <v>386</v>
      </c>
      <c r="B552">
        <v>7</v>
      </c>
      <c r="C552">
        <v>23</v>
      </c>
      <c r="D552">
        <v>1</v>
      </c>
      <c r="E552">
        <v>48211090</v>
      </c>
      <c r="F552">
        <v>297277</v>
      </c>
      <c r="G552" t="s">
        <v>318</v>
      </c>
      <c r="H552" t="s">
        <v>60</v>
      </c>
      <c r="I552" t="s">
        <v>60</v>
      </c>
      <c r="J552" t="s">
        <v>60</v>
      </c>
      <c r="K552" t="s">
        <v>60</v>
      </c>
      <c r="L552" t="s">
        <v>12</v>
      </c>
      <c r="M552">
        <v>19</v>
      </c>
      <c r="P552">
        <v>40</v>
      </c>
      <c r="Q552" t="s">
        <v>80</v>
      </c>
      <c r="R552" t="s">
        <v>415</v>
      </c>
      <c r="S552" t="s">
        <v>363</v>
      </c>
      <c r="T552" t="s">
        <v>333</v>
      </c>
      <c r="V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Q552">
        <v>182378</v>
      </c>
      <c r="AR552" t="b">
        <v>1</v>
      </c>
      <c r="AS552" t="b">
        <v>1</v>
      </c>
      <c r="AT552" t="b">
        <v>1</v>
      </c>
      <c r="AU552" t="b">
        <v>1</v>
      </c>
      <c r="AV552" t="b">
        <v>1</v>
      </c>
      <c r="AW552" t="b">
        <v>1</v>
      </c>
      <c r="AX552" t="b">
        <v>1</v>
      </c>
      <c r="BA552" t="s">
        <v>439</v>
      </c>
    </row>
    <row r="553" spans="1:53" x14ac:dyDescent="0.25">
      <c r="A553" t="s">
        <v>386</v>
      </c>
      <c r="B553">
        <v>7</v>
      </c>
      <c r="C553">
        <v>24</v>
      </c>
      <c r="D553">
        <v>1</v>
      </c>
      <c r="E553">
        <v>48211090</v>
      </c>
      <c r="F553">
        <v>297278</v>
      </c>
      <c r="G553" t="s">
        <v>319</v>
      </c>
      <c r="H553" t="s">
        <v>60</v>
      </c>
      <c r="I553" t="s">
        <v>60</v>
      </c>
      <c r="J553" t="s">
        <v>60</v>
      </c>
      <c r="K553" t="s">
        <v>60</v>
      </c>
      <c r="L553" t="s">
        <v>12</v>
      </c>
      <c r="M553">
        <v>18.5</v>
      </c>
      <c r="P553">
        <v>40</v>
      </c>
      <c r="Q553" t="s">
        <v>80</v>
      </c>
      <c r="R553" t="s">
        <v>415</v>
      </c>
      <c r="S553" t="s">
        <v>363</v>
      </c>
      <c r="T553" t="s">
        <v>333</v>
      </c>
      <c r="V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Q553">
        <v>182378</v>
      </c>
      <c r="AR553" t="b">
        <v>1</v>
      </c>
      <c r="AS553" t="b">
        <v>1</v>
      </c>
      <c r="AT553" t="b">
        <v>1</v>
      </c>
      <c r="AU553" t="b">
        <v>1</v>
      </c>
      <c r="AV553" t="b">
        <v>1</v>
      </c>
      <c r="AW553" t="b">
        <v>1</v>
      </c>
      <c r="AX553" t="b">
        <v>1</v>
      </c>
      <c r="BA553" t="s">
        <v>439</v>
      </c>
    </row>
    <row r="554" spans="1:53" x14ac:dyDescent="0.25">
      <c r="A554" t="s">
        <v>386</v>
      </c>
      <c r="B554">
        <v>7</v>
      </c>
      <c r="C554">
        <v>25</v>
      </c>
      <c r="D554">
        <v>1</v>
      </c>
      <c r="E554">
        <v>52081900</v>
      </c>
      <c r="F554">
        <v>274799</v>
      </c>
      <c r="G554" t="s">
        <v>311</v>
      </c>
      <c r="H554" t="s">
        <v>60</v>
      </c>
      <c r="I554" t="s">
        <v>60</v>
      </c>
      <c r="J554" t="s">
        <v>60</v>
      </c>
      <c r="K554" t="s">
        <v>60</v>
      </c>
      <c r="L554" t="s">
        <v>27</v>
      </c>
      <c r="M554">
        <v>3.3374999999999999</v>
      </c>
      <c r="P554">
        <v>40</v>
      </c>
      <c r="Q554" t="s">
        <v>80</v>
      </c>
      <c r="R554" t="s">
        <v>409</v>
      </c>
      <c r="S554" t="s">
        <v>358</v>
      </c>
      <c r="T554" t="s">
        <v>327</v>
      </c>
      <c r="V554">
        <v>0</v>
      </c>
      <c r="Y554">
        <v>0</v>
      </c>
      <c r="Z554">
        <v>0</v>
      </c>
      <c r="AA554">
        <v>0</v>
      </c>
      <c r="AB554">
        <v>1601472.41</v>
      </c>
      <c r="AC554">
        <v>0</v>
      </c>
      <c r="AD554">
        <v>0</v>
      </c>
      <c r="AE554">
        <v>0</v>
      </c>
      <c r="AQ554">
        <v>182378</v>
      </c>
      <c r="AR554" t="b">
        <v>1</v>
      </c>
      <c r="AS554" t="b">
        <v>1</v>
      </c>
      <c r="AT554" t="b">
        <v>1</v>
      </c>
      <c r="AU554" t="b">
        <v>1</v>
      </c>
      <c r="AV554" t="b">
        <v>1</v>
      </c>
      <c r="AW554" t="b">
        <v>1</v>
      </c>
      <c r="AX554" t="b">
        <v>1</v>
      </c>
      <c r="BA554" t="s">
        <v>439</v>
      </c>
    </row>
    <row r="555" spans="1:53" x14ac:dyDescent="0.25">
      <c r="A555" t="s">
        <v>386</v>
      </c>
      <c r="B555">
        <v>7</v>
      </c>
      <c r="C555">
        <v>26</v>
      </c>
      <c r="D555">
        <v>1</v>
      </c>
      <c r="E555">
        <v>52081900</v>
      </c>
      <c r="F555">
        <v>275340</v>
      </c>
      <c r="G555" t="s">
        <v>312</v>
      </c>
      <c r="H555" t="s">
        <v>60</v>
      </c>
      <c r="I555" t="s">
        <v>60</v>
      </c>
      <c r="J555" t="s">
        <v>60</v>
      </c>
      <c r="K555" t="s">
        <v>60</v>
      </c>
      <c r="L555" t="s">
        <v>27</v>
      </c>
      <c r="M555">
        <v>3.3374999999999999</v>
      </c>
      <c r="P555">
        <v>40</v>
      </c>
      <c r="Q555" t="s">
        <v>80</v>
      </c>
      <c r="R555" t="s">
        <v>429</v>
      </c>
      <c r="S555" t="s">
        <v>376</v>
      </c>
      <c r="T555" t="s">
        <v>347</v>
      </c>
      <c r="V555">
        <v>0</v>
      </c>
      <c r="Y555">
        <v>0</v>
      </c>
      <c r="Z555">
        <v>0</v>
      </c>
      <c r="AA555">
        <v>0</v>
      </c>
      <c r="AB555">
        <v>1601472.41</v>
      </c>
      <c r="AC555">
        <v>0</v>
      </c>
      <c r="AD555">
        <v>0</v>
      </c>
      <c r="AE555">
        <v>0</v>
      </c>
      <c r="AQ555">
        <v>182378</v>
      </c>
      <c r="AR555" t="b">
        <v>1</v>
      </c>
      <c r="AS555" t="b">
        <v>1</v>
      </c>
      <c r="AT555" t="b">
        <v>1</v>
      </c>
      <c r="AU555" t="b">
        <v>1</v>
      </c>
      <c r="AV555" t="b">
        <v>1</v>
      </c>
      <c r="AW555" t="b">
        <v>1</v>
      </c>
      <c r="AX555" t="b">
        <v>1</v>
      </c>
      <c r="BA555" t="s">
        <v>439</v>
      </c>
    </row>
    <row r="556" spans="1:53" x14ac:dyDescent="0.25">
      <c r="A556" t="s">
        <v>386</v>
      </c>
      <c r="B556">
        <v>7</v>
      </c>
      <c r="C556">
        <v>27</v>
      </c>
      <c r="D556">
        <v>1</v>
      </c>
      <c r="E556">
        <v>56039200</v>
      </c>
      <c r="F556">
        <v>267890</v>
      </c>
      <c r="G556" t="s">
        <v>323</v>
      </c>
      <c r="H556" t="s">
        <v>60</v>
      </c>
      <c r="I556" t="s">
        <v>60</v>
      </c>
      <c r="J556" t="s">
        <v>60</v>
      </c>
      <c r="K556" t="s">
        <v>60</v>
      </c>
      <c r="L556" t="s">
        <v>11</v>
      </c>
      <c r="M556">
        <v>2.1</v>
      </c>
      <c r="P556">
        <v>40</v>
      </c>
      <c r="Q556" t="s">
        <v>80</v>
      </c>
      <c r="R556" t="s">
        <v>430</v>
      </c>
      <c r="S556" t="s">
        <v>377</v>
      </c>
      <c r="T556" t="s">
        <v>348</v>
      </c>
      <c r="V556">
        <v>0</v>
      </c>
      <c r="Y556">
        <v>0</v>
      </c>
      <c r="Z556">
        <v>0</v>
      </c>
      <c r="AA556">
        <v>0</v>
      </c>
      <c r="AB556">
        <v>24832.16</v>
      </c>
      <c r="AC556">
        <v>0</v>
      </c>
      <c r="AD556">
        <v>0</v>
      </c>
      <c r="AE556">
        <v>0</v>
      </c>
      <c r="AQ556">
        <v>182378</v>
      </c>
      <c r="AR556" t="b">
        <v>1</v>
      </c>
      <c r="AS556" t="b">
        <v>1</v>
      </c>
      <c r="AT556" t="b">
        <v>1</v>
      </c>
      <c r="AU556" t="b">
        <v>1</v>
      </c>
      <c r="AV556" t="b">
        <v>1</v>
      </c>
      <c r="AW556" t="b">
        <v>1</v>
      </c>
      <c r="AX556" t="b">
        <v>1</v>
      </c>
      <c r="BA556" t="s">
        <v>439</v>
      </c>
    </row>
    <row r="557" spans="1:53" x14ac:dyDescent="0.25">
      <c r="A557" t="s">
        <v>386</v>
      </c>
      <c r="B557">
        <v>7</v>
      </c>
      <c r="C557">
        <v>28</v>
      </c>
      <c r="D557">
        <v>1</v>
      </c>
      <c r="E557">
        <v>96062100</v>
      </c>
      <c r="F557">
        <v>270819</v>
      </c>
      <c r="G557" t="s">
        <v>324</v>
      </c>
      <c r="H557" t="s">
        <v>60</v>
      </c>
      <c r="I557" t="s">
        <v>60</v>
      </c>
      <c r="J557" t="s">
        <v>60</v>
      </c>
      <c r="K557" t="s">
        <v>60</v>
      </c>
      <c r="L557" t="s">
        <v>12</v>
      </c>
      <c r="M557">
        <v>138.25</v>
      </c>
      <c r="P557">
        <v>40</v>
      </c>
      <c r="Q557" t="s">
        <v>80</v>
      </c>
      <c r="R557" t="s">
        <v>431</v>
      </c>
      <c r="S557" t="s">
        <v>378</v>
      </c>
      <c r="T557" t="s">
        <v>349</v>
      </c>
      <c r="V557">
        <v>0</v>
      </c>
      <c r="Y557">
        <v>0</v>
      </c>
      <c r="Z557">
        <v>0</v>
      </c>
      <c r="AA557">
        <v>0</v>
      </c>
      <c r="AB557">
        <v>52535</v>
      </c>
      <c r="AC557">
        <v>0</v>
      </c>
      <c r="AD557">
        <v>0</v>
      </c>
      <c r="AE557">
        <v>0</v>
      </c>
      <c r="AQ557">
        <v>182378</v>
      </c>
      <c r="AR557" t="b">
        <v>1</v>
      </c>
      <c r="AS557" t="b">
        <v>1</v>
      </c>
      <c r="AT557" t="b">
        <v>1</v>
      </c>
      <c r="AU557" t="b">
        <v>1</v>
      </c>
      <c r="AV557" t="b">
        <v>1</v>
      </c>
      <c r="AW557" t="b">
        <v>1</v>
      </c>
      <c r="AX557" t="b">
        <v>1</v>
      </c>
      <c r="BA557" t="s">
        <v>439</v>
      </c>
    </row>
    <row r="558" spans="1:53" x14ac:dyDescent="0.25">
      <c r="A558" t="s">
        <v>386</v>
      </c>
      <c r="B558">
        <v>7</v>
      </c>
      <c r="C558">
        <v>29</v>
      </c>
      <c r="D558">
        <v>1</v>
      </c>
      <c r="E558">
        <v>96062100</v>
      </c>
      <c r="F558">
        <v>270819</v>
      </c>
      <c r="G558" t="s">
        <v>324</v>
      </c>
      <c r="H558" t="s">
        <v>60</v>
      </c>
      <c r="I558" t="s">
        <v>60</v>
      </c>
      <c r="J558" t="s">
        <v>60</v>
      </c>
      <c r="K558" t="s">
        <v>60</v>
      </c>
      <c r="L558" t="s">
        <v>12</v>
      </c>
      <c r="M558">
        <v>252.25</v>
      </c>
      <c r="P558">
        <v>40</v>
      </c>
      <c r="Q558" t="s">
        <v>80</v>
      </c>
      <c r="R558" t="s">
        <v>432</v>
      </c>
      <c r="S558" t="s">
        <v>379</v>
      </c>
      <c r="T558" t="s">
        <v>350</v>
      </c>
      <c r="V558">
        <v>0</v>
      </c>
      <c r="Y558">
        <v>0</v>
      </c>
      <c r="Z558">
        <v>0</v>
      </c>
      <c r="AA558">
        <v>0</v>
      </c>
      <c r="AB558">
        <v>95855</v>
      </c>
      <c r="AC558">
        <v>0</v>
      </c>
      <c r="AD558">
        <v>0</v>
      </c>
      <c r="AE558">
        <v>0</v>
      </c>
      <c r="AQ558">
        <v>182378</v>
      </c>
      <c r="AR558" t="b">
        <v>1</v>
      </c>
      <c r="AS558" t="b">
        <v>1</v>
      </c>
      <c r="AT558" t="b">
        <v>1</v>
      </c>
      <c r="AU558" t="b">
        <v>1</v>
      </c>
      <c r="AV558" t="b">
        <v>1</v>
      </c>
      <c r="AW558" t="b">
        <v>1</v>
      </c>
      <c r="AX558" t="b">
        <v>1</v>
      </c>
      <c r="BA558" t="s">
        <v>439</v>
      </c>
    </row>
    <row r="559" spans="1:53" x14ac:dyDescent="0.25">
      <c r="A559" t="s">
        <v>386</v>
      </c>
      <c r="B559">
        <v>7</v>
      </c>
      <c r="C559">
        <v>30</v>
      </c>
      <c r="D559">
        <v>1</v>
      </c>
      <c r="E559">
        <v>96062100</v>
      </c>
      <c r="F559">
        <v>270819</v>
      </c>
      <c r="G559" t="s">
        <v>324</v>
      </c>
      <c r="H559" t="s">
        <v>60</v>
      </c>
      <c r="I559" t="s">
        <v>60</v>
      </c>
      <c r="J559" t="s">
        <v>60</v>
      </c>
      <c r="K559" t="s">
        <v>60</v>
      </c>
      <c r="L559" t="s">
        <v>12</v>
      </c>
      <c r="M559">
        <v>134.5</v>
      </c>
      <c r="P559">
        <v>40</v>
      </c>
      <c r="Q559" t="s">
        <v>80</v>
      </c>
      <c r="R559" t="s">
        <v>433</v>
      </c>
      <c r="S559" t="s">
        <v>380</v>
      </c>
      <c r="T559" t="s">
        <v>351</v>
      </c>
      <c r="V559">
        <v>0</v>
      </c>
      <c r="Y559">
        <v>0</v>
      </c>
      <c r="Z559">
        <v>0</v>
      </c>
      <c r="AA559">
        <v>0</v>
      </c>
      <c r="AB559">
        <v>51110</v>
      </c>
      <c r="AC559">
        <v>0</v>
      </c>
      <c r="AD559">
        <v>0</v>
      </c>
      <c r="AE559">
        <v>0</v>
      </c>
      <c r="AQ559">
        <v>182378</v>
      </c>
      <c r="AR559" t="b">
        <v>1</v>
      </c>
      <c r="AS559" t="b">
        <v>1</v>
      </c>
      <c r="AT559" t="b">
        <v>1</v>
      </c>
      <c r="AU559" t="b">
        <v>1</v>
      </c>
      <c r="AV559" t="b">
        <v>1</v>
      </c>
      <c r="AW559" t="b">
        <v>1</v>
      </c>
      <c r="AX559" t="b">
        <v>1</v>
      </c>
      <c r="BA559" t="s">
        <v>439</v>
      </c>
    </row>
    <row r="560" spans="1:53" x14ac:dyDescent="0.25">
      <c r="A560" t="s">
        <v>386</v>
      </c>
      <c r="B560">
        <v>7</v>
      </c>
      <c r="C560">
        <v>31</v>
      </c>
      <c r="D560">
        <v>1</v>
      </c>
      <c r="E560">
        <v>39191020</v>
      </c>
      <c r="F560">
        <v>273158</v>
      </c>
      <c r="G560" t="s">
        <v>325</v>
      </c>
      <c r="H560" t="s">
        <v>60</v>
      </c>
      <c r="I560" t="s">
        <v>60</v>
      </c>
      <c r="J560" t="s">
        <v>60</v>
      </c>
      <c r="K560" t="s">
        <v>60</v>
      </c>
      <c r="L560" t="s">
        <v>27</v>
      </c>
      <c r="M560">
        <v>16.184999999999999</v>
      </c>
      <c r="P560">
        <v>40</v>
      </c>
      <c r="Q560" t="s">
        <v>80</v>
      </c>
      <c r="R560" t="s">
        <v>434</v>
      </c>
      <c r="S560" t="s">
        <v>381</v>
      </c>
      <c r="T560" t="s">
        <v>352</v>
      </c>
      <c r="V560">
        <v>0</v>
      </c>
      <c r="Y560">
        <v>0</v>
      </c>
      <c r="Z560">
        <v>0</v>
      </c>
      <c r="AA560">
        <v>0</v>
      </c>
      <c r="AB560">
        <v>9711000</v>
      </c>
      <c r="AC560">
        <v>0</v>
      </c>
      <c r="AD560">
        <v>0</v>
      </c>
      <c r="AE560">
        <v>0</v>
      </c>
      <c r="AQ560">
        <v>182378</v>
      </c>
      <c r="AR560" t="b">
        <v>1</v>
      </c>
      <c r="AS560" t="b">
        <v>1</v>
      </c>
      <c r="AT560" t="b">
        <v>1</v>
      </c>
      <c r="AU560" t="b">
        <v>1</v>
      </c>
      <c r="AV560" t="b">
        <v>1</v>
      </c>
      <c r="AW560" t="b">
        <v>1</v>
      </c>
      <c r="AX560" t="b">
        <v>1</v>
      </c>
      <c r="BA560" t="s">
        <v>439</v>
      </c>
    </row>
    <row r="561" spans="1:53" x14ac:dyDescent="0.25">
      <c r="A561" t="s">
        <v>386</v>
      </c>
      <c r="B561">
        <v>7</v>
      </c>
      <c r="C561">
        <v>32</v>
      </c>
      <c r="D561">
        <v>1</v>
      </c>
      <c r="E561">
        <v>48211090</v>
      </c>
      <c r="F561">
        <v>297274</v>
      </c>
      <c r="G561" t="s">
        <v>315</v>
      </c>
      <c r="H561" t="s">
        <v>60</v>
      </c>
      <c r="I561" t="s">
        <v>60</v>
      </c>
      <c r="J561" t="s">
        <v>60</v>
      </c>
      <c r="K561" t="s">
        <v>60</v>
      </c>
      <c r="L561" t="s">
        <v>12</v>
      </c>
      <c r="M561">
        <v>75</v>
      </c>
      <c r="P561">
        <v>40</v>
      </c>
      <c r="Q561" t="s">
        <v>80</v>
      </c>
      <c r="R561" t="s">
        <v>415</v>
      </c>
      <c r="S561" t="s">
        <v>363</v>
      </c>
      <c r="T561" t="s">
        <v>333</v>
      </c>
      <c r="V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Q561">
        <v>182378</v>
      </c>
      <c r="AR561" t="b">
        <v>1</v>
      </c>
      <c r="AS561" t="b">
        <v>1</v>
      </c>
      <c r="AT561" t="b">
        <v>1</v>
      </c>
      <c r="AU561" t="b">
        <v>1</v>
      </c>
      <c r="AV561" t="b">
        <v>1</v>
      </c>
      <c r="AW561" t="b">
        <v>1</v>
      </c>
      <c r="AX561" t="b">
        <v>1</v>
      </c>
      <c r="BA561" t="s">
        <v>439</v>
      </c>
    </row>
    <row r="562" spans="1:53" x14ac:dyDescent="0.25">
      <c r="A562" t="s">
        <v>386</v>
      </c>
      <c r="B562">
        <v>7</v>
      </c>
      <c r="C562">
        <v>33</v>
      </c>
      <c r="D562">
        <v>1</v>
      </c>
      <c r="E562">
        <v>48211090</v>
      </c>
      <c r="F562">
        <v>297275</v>
      </c>
      <c r="G562" t="s">
        <v>316</v>
      </c>
      <c r="H562" t="s">
        <v>60</v>
      </c>
      <c r="I562" t="s">
        <v>60</v>
      </c>
      <c r="J562" t="s">
        <v>60</v>
      </c>
      <c r="K562" t="s">
        <v>60</v>
      </c>
      <c r="L562" t="s">
        <v>12</v>
      </c>
      <c r="M562">
        <v>11.5</v>
      </c>
      <c r="P562">
        <v>40</v>
      </c>
      <c r="Q562" t="s">
        <v>80</v>
      </c>
      <c r="R562" t="s">
        <v>415</v>
      </c>
      <c r="S562" t="s">
        <v>363</v>
      </c>
      <c r="T562" t="s">
        <v>333</v>
      </c>
      <c r="V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Q562">
        <v>182378</v>
      </c>
      <c r="AR562" t="b">
        <v>1</v>
      </c>
      <c r="AS562" t="b">
        <v>1</v>
      </c>
      <c r="AT562" t="b">
        <v>1</v>
      </c>
      <c r="AU562" t="b">
        <v>1</v>
      </c>
      <c r="AV562" t="b">
        <v>1</v>
      </c>
      <c r="AW562" t="b">
        <v>1</v>
      </c>
      <c r="AX562" t="b">
        <v>1</v>
      </c>
      <c r="BA562" t="s">
        <v>439</v>
      </c>
    </row>
    <row r="563" spans="1:53" x14ac:dyDescent="0.25">
      <c r="A563" t="s">
        <v>386</v>
      </c>
      <c r="B563">
        <v>7</v>
      </c>
      <c r="C563">
        <v>34</v>
      </c>
      <c r="D563">
        <v>1</v>
      </c>
      <c r="E563">
        <v>48211090</v>
      </c>
      <c r="F563">
        <v>297276</v>
      </c>
      <c r="G563" t="s">
        <v>317</v>
      </c>
      <c r="H563" t="s">
        <v>60</v>
      </c>
      <c r="I563" t="s">
        <v>60</v>
      </c>
      <c r="J563" t="s">
        <v>60</v>
      </c>
      <c r="K563" t="s">
        <v>60</v>
      </c>
      <c r="L563" t="s">
        <v>12</v>
      </c>
      <c r="M563">
        <v>26</v>
      </c>
      <c r="P563">
        <v>40</v>
      </c>
      <c r="Q563" t="s">
        <v>80</v>
      </c>
      <c r="R563" t="s">
        <v>415</v>
      </c>
      <c r="S563" t="s">
        <v>363</v>
      </c>
      <c r="T563" t="s">
        <v>333</v>
      </c>
      <c r="V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Q563">
        <v>182378</v>
      </c>
      <c r="AR563" t="b">
        <v>1</v>
      </c>
      <c r="AS563" t="b">
        <v>1</v>
      </c>
      <c r="AT563" t="b">
        <v>1</v>
      </c>
      <c r="AU563" t="b">
        <v>1</v>
      </c>
      <c r="AV563" t="b">
        <v>1</v>
      </c>
      <c r="AW563" t="b">
        <v>1</v>
      </c>
      <c r="AX563" t="b">
        <v>1</v>
      </c>
      <c r="BA563" t="s">
        <v>439</v>
      </c>
    </row>
    <row r="564" spans="1:53" x14ac:dyDescent="0.25">
      <c r="A564" t="s">
        <v>386</v>
      </c>
      <c r="B564">
        <v>7</v>
      </c>
      <c r="C564">
        <v>35</v>
      </c>
      <c r="D564">
        <v>1</v>
      </c>
      <c r="E564">
        <v>48211090</v>
      </c>
      <c r="F564">
        <v>297277</v>
      </c>
      <c r="G564" t="s">
        <v>318</v>
      </c>
      <c r="H564" t="s">
        <v>60</v>
      </c>
      <c r="I564" t="s">
        <v>60</v>
      </c>
      <c r="J564" t="s">
        <v>60</v>
      </c>
      <c r="K564" t="s">
        <v>60</v>
      </c>
      <c r="L564" t="s">
        <v>12</v>
      </c>
      <c r="M564">
        <v>19</v>
      </c>
      <c r="P564">
        <v>40</v>
      </c>
      <c r="Q564" t="s">
        <v>80</v>
      </c>
      <c r="R564" t="s">
        <v>415</v>
      </c>
      <c r="S564" t="s">
        <v>363</v>
      </c>
      <c r="T564" t="s">
        <v>333</v>
      </c>
      <c r="V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Q564">
        <v>182378</v>
      </c>
      <c r="AR564" t="b">
        <v>1</v>
      </c>
      <c r="AS564" t="b">
        <v>1</v>
      </c>
      <c r="AT564" t="b">
        <v>1</v>
      </c>
      <c r="AU564" t="b">
        <v>1</v>
      </c>
      <c r="AV564" t="b">
        <v>1</v>
      </c>
      <c r="AW564" t="b">
        <v>1</v>
      </c>
      <c r="AX564" t="b">
        <v>1</v>
      </c>
      <c r="BA564" t="s">
        <v>439</v>
      </c>
    </row>
    <row r="565" spans="1:53" x14ac:dyDescent="0.25">
      <c r="A565" t="s">
        <v>386</v>
      </c>
      <c r="B565">
        <v>7</v>
      </c>
      <c r="C565">
        <v>36</v>
      </c>
      <c r="D565">
        <v>1</v>
      </c>
      <c r="E565">
        <v>48211090</v>
      </c>
      <c r="F565">
        <v>297278</v>
      </c>
      <c r="G565" t="s">
        <v>319</v>
      </c>
      <c r="H565" t="s">
        <v>60</v>
      </c>
      <c r="I565" t="s">
        <v>60</v>
      </c>
      <c r="J565" t="s">
        <v>60</v>
      </c>
      <c r="K565" t="s">
        <v>60</v>
      </c>
      <c r="L565" t="s">
        <v>12</v>
      </c>
      <c r="M565">
        <v>18.5</v>
      </c>
      <c r="P565">
        <v>40</v>
      </c>
      <c r="Q565" t="s">
        <v>80</v>
      </c>
      <c r="R565" t="s">
        <v>415</v>
      </c>
      <c r="S565" t="s">
        <v>363</v>
      </c>
      <c r="T565" t="s">
        <v>333</v>
      </c>
      <c r="V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Q565">
        <v>182378</v>
      </c>
      <c r="AR565" t="b">
        <v>1</v>
      </c>
      <c r="AS565" t="b">
        <v>1</v>
      </c>
      <c r="AT565" t="b">
        <v>1</v>
      </c>
      <c r="AU565" t="b">
        <v>1</v>
      </c>
      <c r="AV565" t="b">
        <v>1</v>
      </c>
      <c r="AW565" t="b">
        <v>1</v>
      </c>
      <c r="AX565" t="b">
        <v>1</v>
      </c>
      <c r="BA565" t="s">
        <v>439</v>
      </c>
    </row>
    <row r="566" spans="1:53" x14ac:dyDescent="0.25">
      <c r="A566" t="s">
        <v>386</v>
      </c>
      <c r="B566">
        <v>7</v>
      </c>
      <c r="C566">
        <v>37</v>
      </c>
      <c r="D566">
        <v>1</v>
      </c>
      <c r="E566">
        <v>52081900</v>
      </c>
      <c r="F566">
        <v>274799</v>
      </c>
      <c r="G566" t="s">
        <v>311</v>
      </c>
      <c r="H566" t="s">
        <v>60</v>
      </c>
      <c r="I566" t="s">
        <v>60</v>
      </c>
      <c r="J566" t="s">
        <v>60</v>
      </c>
      <c r="K566" t="s">
        <v>60</v>
      </c>
      <c r="L566" t="s">
        <v>27</v>
      </c>
      <c r="M566">
        <v>1.66875</v>
      </c>
      <c r="P566">
        <v>40</v>
      </c>
      <c r="Q566" t="s">
        <v>80</v>
      </c>
      <c r="R566" t="s">
        <v>409</v>
      </c>
      <c r="S566" t="s">
        <v>358</v>
      </c>
      <c r="T566" t="s">
        <v>327</v>
      </c>
      <c r="V566">
        <v>0</v>
      </c>
      <c r="Y566">
        <v>0</v>
      </c>
      <c r="Z566">
        <v>0</v>
      </c>
      <c r="AA566">
        <v>0</v>
      </c>
      <c r="AB566">
        <v>1601472.41</v>
      </c>
      <c r="AC566">
        <v>0</v>
      </c>
      <c r="AD566">
        <v>0</v>
      </c>
      <c r="AE566">
        <v>0</v>
      </c>
      <c r="AQ566">
        <v>182378</v>
      </c>
      <c r="AR566" t="b">
        <v>1</v>
      </c>
      <c r="AS566" t="b">
        <v>1</v>
      </c>
      <c r="AT566" t="b">
        <v>1</v>
      </c>
      <c r="AU566" t="b">
        <v>1</v>
      </c>
      <c r="AV566" t="b">
        <v>1</v>
      </c>
      <c r="AW566" t="b">
        <v>1</v>
      </c>
      <c r="AX566" t="b">
        <v>1</v>
      </c>
      <c r="BA566" t="s">
        <v>439</v>
      </c>
    </row>
    <row r="567" spans="1:53" x14ac:dyDescent="0.25">
      <c r="A567" t="s">
        <v>386</v>
      </c>
      <c r="B567">
        <v>7</v>
      </c>
      <c r="C567">
        <v>38</v>
      </c>
      <c r="D567">
        <v>1</v>
      </c>
      <c r="E567">
        <v>52081900</v>
      </c>
      <c r="F567">
        <v>275340</v>
      </c>
      <c r="G567" t="s">
        <v>312</v>
      </c>
      <c r="H567" t="s">
        <v>60</v>
      </c>
      <c r="I567" t="s">
        <v>60</v>
      </c>
      <c r="J567" t="s">
        <v>60</v>
      </c>
      <c r="K567" t="s">
        <v>60</v>
      </c>
      <c r="L567" t="s">
        <v>27</v>
      </c>
      <c r="M567">
        <v>1.66875</v>
      </c>
      <c r="P567">
        <v>40</v>
      </c>
      <c r="Q567" t="s">
        <v>80</v>
      </c>
      <c r="R567" t="s">
        <v>429</v>
      </c>
      <c r="S567" t="s">
        <v>376</v>
      </c>
      <c r="T567" t="s">
        <v>347</v>
      </c>
      <c r="V567">
        <v>0</v>
      </c>
      <c r="Y567">
        <v>0</v>
      </c>
      <c r="Z567">
        <v>0</v>
      </c>
      <c r="AA567">
        <v>0</v>
      </c>
      <c r="AB567">
        <v>1601472.41</v>
      </c>
      <c r="AC567">
        <v>0</v>
      </c>
      <c r="AD567">
        <v>0</v>
      </c>
      <c r="AE567">
        <v>0</v>
      </c>
      <c r="AQ567">
        <v>182378</v>
      </c>
      <c r="AR567" t="b">
        <v>1</v>
      </c>
      <c r="AS567" t="b">
        <v>1</v>
      </c>
      <c r="AT567" t="b">
        <v>1</v>
      </c>
      <c r="AU567" t="b">
        <v>1</v>
      </c>
      <c r="AV567" t="b">
        <v>1</v>
      </c>
      <c r="AW567" t="b">
        <v>1</v>
      </c>
      <c r="AX567" t="b">
        <v>1</v>
      </c>
      <c r="BA567" t="s">
        <v>439</v>
      </c>
    </row>
    <row r="568" spans="1:53" x14ac:dyDescent="0.25">
      <c r="A568" t="s">
        <v>386</v>
      </c>
      <c r="B568">
        <v>7</v>
      </c>
      <c r="C568">
        <v>39</v>
      </c>
      <c r="D568">
        <v>1</v>
      </c>
      <c r="E568">
        <v>56039200</v>
      </c>
      <c r="F568">
        <v>267890</v>
      </c>
      <c r="G568" t="s">
        <v>323</v>
      </c>
      <c r="H568" t="s">
        <v>60</v>
      </c>
      <c r="I568" t="s">
        <v>60</v>
      </c>
      <c r="J568" t="s">
        <v>60</v>
      </c>
      <c r="K568" t="s">
        <v>60</v>
      </c>
      <c r="L568" t="s">
        <v>11</v>
      </c>
      <c r="M568">
        <v>1.05</v>
      </c>
      <c r="P568">
        <v>40</v>
      </c>
      <c r="Q568" t="s">
        <v>80</v>
      </c>
      <c r="R568" t="s">
        <v>430</v>
      </c>
      <c r="S568" t="s">
        <v>377</v>
      </c>
      <c r="T568" t="s">
        <v>348</v>
      </c>
      <c r="V568">
        <v>0</v>
      </c>
      <c r="Y568">
        <v>0</v>
      </c>
      <c r="Z568">
        <v>0</v>
      </c>
      <c r="AA568">
        <v>0</v>
      </c>
      <c r="AB568">
        <v>24832.16</v>
      </c>
      <c r="AC568">
        <v>0</v>
      </c>
      <c r="AD568">
        <v>0</v>
      </c>
      <c r="AE568">
        <v>0</v>
      </c>
      <c r="AQ568">
        <v>182378</v>
      </c>
      <c r="AR568" t="b">
        <v>1</v>
      </c>
      <c r="AS568" t="b">
        <v>1</v>
      </c>
      <c r="AT568" t="b">
        <v>1</v>
      </c>
      <c r="AU568" t="b">
        <v>1</v>
      </c>
      <c r="AV568" t="b">
        <v>1</v>
      </c>
      <c r="AW568" t="b">
        <v>1</v>
      </c>
      <c r="AX568" t="b">
        <v>1</v>
      </c>
      <c r="BA568" t="s">
        <v>439</v>
      </c>
    </row>
    <row r="569" spans="1:53" x14ac:dyDescent="0.25">
      <c r="A569" t="s">
        <v>386</v>
      </c>
      <c r="B569">
        <v>7</v>
      </c>
      <c r="C569">
        <v>40</v>
      </c>
      <c r="D569">
        <v>1</v>
      </c>
      <c r="E569">
        <v>96062100</v>
      </c>
      <c r="F569">
        <v>270819</v>
      </c>
      <c r="G569" t="s">
        <v>324</v>
      </c>
      <c r="H569" t="s">
        <v>60</v>
      </c>
      <c r="I569" t="s">
        <v>60</v>
      </c>
      <c r="J569" t="s">
        <v>60</v>
      </c>
      <c r="K569" t="s">
        <v>60</v>
      </c>
      <c r="L569" t="s">
        <v>12</v>
      </c>
      <c r="M569">
        <v>69.125</v>
      </c>
      <c r="P569">
        <v>40</v>
      </c>
      <c r="Q569" t="s">
        <v>80</v>
      </c>
      <c r="R569" t="s">
        <v>431</v>
      </c>
      <c r="S569" t="s">
        <v>378</v>
      </c>
      <c r="T569" t="s">
        <v>349</v>
      </c>
      <c r="V569">
        <v>0</v>
      </c>
      <c r="Y569">
        <v>0</v>
      </c>
      <c r="Z569">
        <v>0</v>
      </c>
      <c r="AA569">
        <v>0</v>
      </c>
      <c r="AB569">
        <v>52535</v>
      </c>
      <c r="AC569">
        <v>0</v>
      </c>
      <c r="AD569">
        <v>0</v>
      </c>
      <c r="AE569">
        <v>0</v>
      </c>
      <c r="AQ569">
        <v>182378</v>
      </c>
      <c r="AR569" t="b">
        <v>1</v>
      </c>
      <c r="AS569" t="b">
        <v>1</v>
      </c>
      <c r="AT569" t="b">
        <v>1</v>
      </c>
      <c r="AU569" t="b">
        <v>1</v>
      </c>
      <c r="AV569" t="b">
        <v>1</v>
      </c>
      <c r="AW569" t="b">
        <v>1</v>
      </c>
      <c r="AX569" t="b">
        <v>1</v>
      </c>
      <c r="BA569" t="s">
        <v>439</v>
      </c>
    </row>
    <row r="570" spans="1:53" x14ac:dyDescent="0.25">
      <c r="A570" t="s">
        <v>386</v>
      </c>
      <c r="B570">
        <v>7</v>
      </c>
      <c r="C570">
        <v>41</v>
      </c>
      <c r="D570">
        <v>1</v>
      </c>
      <c r="E570">
        <v>96062100</v>
      </c>
      <c r="F570">
        <v>270819</v>
      </c>
      <c r="G570" t="s">
        <v>324</v>
      </c>
      <c r="H570" t="s">
        <v>60</v>
      </c>
      <c r="I570" t="s">
        <v>60</v>
      </c>
      <c r="J570" t="s">
        <v>60</v>
      </c>
      <c r="K570" t="s">
        <v>60</v>
      </c>
      <c r="L570" t="s">
        <v>12</v>
      </c>
      <c r="M570">
        <v>126.125</v>
      </c>
      <c r="P570">
        <v>40</v>
      </c>
      <c r="Q570" t="s">
        <v>80</v>
      </c>
      <c r="R570" t="s">
        <v>432</v>
      </c>
      <c r="S570" t="s">
        <v>379</v>
      </c>
      <c r="T570" t="s">
        <v>350</v>
      </c>
      <c r="V570">
        <v>0</v>
      </c>
      <c r="Y570">
        <v>0</v>
      </c>
      <c r="Z570">
        <v>0</v>
      </c>
      <c r="AA570">
        <v>0</v>
      </c>
      <c r="AB570">
        <v>95855</v>
      </c>
      <c r="AC570">
        <v>0</v>
      </c>
      <c r="AD570">
        <v>0</v>
      </c>
      <c r="AE570">
        <v>0</v>
      </c>
      <c r="AQ570">
        <v>182378</v>
      </c>
      <c r="AR570" t="b">
        <v>1</v>
      </c>
      <c r="AS570" t="b">
        <v>1</v>
      </c>
      <c r="AT570" t="b">
        <v>1</v>
      </c>
      <c r="AU570" t="b">
        <v>1</v>
      </c>
      <c r="AV570" t="b">
        <v>1</v>
      </c>
      <c r="AW570" t="b">
        <v>1</v>
      </c>
      <c r="AX570" t="b">
        <v>1</v>
      </c>
      <c r="BA570" t="s">
        <v>439</v>
      </c>
    </row>
    <row r="571" spans="1:53" x14ac:dyDescent="0.25">
      <c r="A571" t="s">
        <v>386</v>
      </c>
      <c r="B571">
        <v>7</v>
      </c>
      <c r="C571">
        <v>42</v>
      </c>
      <c r="D571">
        <v>1</v>
      </c>
      <c r="E571">
        <v>96062100</v>
      </c>
      <c r="F571">
        <v>270819</v>
      </c>
      <c r="G571" t="s">
        <v>324</v>
      </c>
      <c r="H571" t="s">
        <v>60</v>
      </c>
      <c r="I571" t="s">
        <v>60</v>
      </c>
      <c r="J571" t="s">
        <v>60</v>
      </c>
      <c r="K571" t="s">
        <v>60</v>
      </c>
      <c r="L571" t="s">
        <v>12</v>
      </c>
      <c r="M571">
        <v>67.25</v>
      </c>
      <c r="P571">
        <v>40</v>
      </c>
      <c r="Q571" t="s">
        <v>80</v>
      </c>
      <c r="R571" t="s">
        <v>433</v>
      </c>
      <c r="S571" t="s">
        <v>380</v>
      </c>
      <c r="T571" t="s">
        <v>351</v>
      </c>
      <c r="V571">
        <v>0</v>
      </c>
      <c r="Y571">
        <v>0</v>
      </c>
      <c r="Z571">
        <v>0</v>
      </c>
      <c r="AA571">
        <v>0</v>
      </c>
      <c r="AB571">
        <v>51110</v>
      </c>
      <c r="AC571">
        <v>0</v>
      </c>
      <c r="AD571">
        <v>0</v>
      </c>
      <c r="AE571">
        <v>0</v>
      </c>
      <c r="AQ571">
        <v>182378</v>
      </c>
      <c r="AR571" t="b">
        <v>1</v>
      </c>
      <c r="AS571" t="b">
        <v>1</v>
      </c>
      <c r="AT571" t="b">
        <v>1</v>
      </c>
      <c r="AU571" t="b">
        <v>1</v>
      </c>
      <c r="AV571" t="b">
        <v>1</v>
      </c>
      <c r="AW571" t="b">
        <v>1</v>
      </c>
      <c r="AX571" t="b">
        <v>1</v>
      </c>
      <c r="BA571" t="s">
        <v>439</v>
      </c>
    </row>
    <row r="572" spans="1:53" x14ac:dyDescent="0.25">
      <c r="A572" t="s">
        <v>386</v>
      </c>
      <c r="B572">
        <v>7</v>
      </c>
      <c r="C572">
        <v>43</v>
      </c>
      <c r="D572">
        <v>1</v>
      </c>
      <c r="E572">
        <v>39191020</v>
      </c>
      <c r="F572">
        <v>273158</v>
      </c>
      <c r="G572" t="s">
        <v>325</v>
      </c>
      <c r="H572" t="s">
        <v>60</v>
      </c>
      <c r="I572" t="s">
        <v>60</v>
      </c>
      <c r="J572" t="s">
        <v>60</v>
      </c>
      <c r="K572" t="s">
        <v>60</v>
      </c>
      <c r="L572" t="s">
        <v>27</v>
      </c>
      <c r="M572">
        <v>8.0924999999999994</v>
      </c>
      <c r="P572">
        <v>40</v>
      </c>
      <c r="Q572" t="s">
        <v>80</v>
      </c>
      <c r="R572" t="s">
        <v>434</v>
      </c>
      <c r="S572" t="s">
        <v>381</v>
      </c>
      <c r="T572" t="s">
        <v>352</v>
      </c>
      <c r="V572">
        <v>0</v>
      </c>
      <c r="Y572">
        <v>0</v>
      </c>
      <c r="Z572">
        <v>0</v>
      </c>
      <c r="AA572">
        <v>0</v>
      </c>
      <c r="AB572">
        <v>9711000</v>
      </c>
      <c r="AC572">
        <v>0</v>
      </c>
      <c r="AD572">
        <v>0</v>
      </c>
      <c r="AE572">
        <v>0</v>
      </c>
      <c r="AQ572">
        <v>182378</v>
      </c>
      <c r="AR572" t="b">
        <v>1</v>
      </c>
      <c r="AS572" t="b">
        <v>1</v>
      </c>
      <c r="AT572" t="b">
        <v>1</v>
      </c>
      <c r="AU572" t="b">
        <v>1</v>
      </c>
      <c r="AV572" t="b">
        <v>1</v>
      </c>
      <c r="AW572" t="b">
        <v>1</v>
      </c>
      <c r="AX572" t="b">
        <v>1</v>
      </c>
      <c r="BA572" t="s">
        <v>439</v>
      </c>
    </row>
    <row r="573" spans="1:53" x14ac:dyDescent="0.25">
      <c r="A573" t="s">
        <v>386</v>
      </c>
      <c r="B573">
        <v>7</v>
      </c>
      <c r="C573">
        <v>44</v>
      </c>
      <c r="D573">
        <v>1</v>
      </c>
      <c r="E573">
        <v>48211090</v>
      </c>
      <c r="F573">
        <v>297274</v>
      </c>
      <c r="G573" t="s">
        <v>315</v>
      </c>
      <c r="H573" t="s">
        <v>60</v>
      </c>
      <c r="I573" t="s">
        <v>60</v>
      </c>
      <c r="J573" t="s">
        <v>60</v>
      </c>
      <c r="K573" t="s">
        <v>60</v>
      </c>
      <c r="L573" t="s">
        <v>12</v>
      </c>
      <c r="M573">
        <v>37.5</v>
      </c>
      <c r="P573">
        <v>40</v>
      </c>
      <c r="Q573" t="s">
        <v>80</v>
      </c>
      <c r="R573" t="s">
        <v>415</v>
      </c>
      <c r="S573" t="s">
        <v>363</v>
      </c>
      <c r="T573" t="s">
        <v>333</v>
      </c>
      <c r="V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Q573">
        <v>182378</v>
      </c>
      <c r="AR573" t="b">
        <v>1</v>
      </c>
      <c r="AS573" t="b">
        <v>1</v>
      </c>
      <c r="AT573" t="b">
        <v>1</v>
      </c>
      <c r="AU573" t="b">
        <v>1</v>
      </c>
      <c r="AV573" t="b">
        <v>1</v>
      </c>
      <c r="AW573" t="b">
        <v>1</v>
      </c>
      <c r="AX573" t="b">
        <v>1</v>
      </c>
      <c r="BA573" t="s">
        <v>439</v>
      </c>
    </row>
    <row r="574" spans="1:53" x14ac:dyDescent="0.25">
      <c r="A574" t="s">
        <v>386</v>
      </c>
      <c r="B574">
        <v>7</v>
      </c>
      <c r="C574">
        <v>45</v>
      </c>
      <c r="D574">
        <v>1</v>
      </c>
      <c r="E574">
        <v>48211090</v>
      </c>
      <c r="F574">
        <v>297275</v>
      </c>
      <c r="G574" t="s">
        <v>316</v>
      </c>
      <c r="H574" t="s">
        <v>60</v>
      </c>
      <c r="I574" t="s">
        <v>60</v>
      </c>
      <c r="J574" t="s">
        <v>60</v>
      </c>
      <c r="K574" t="s">
        <v>60</v>
      </c>
      <c r="L574" t="s">
        <v>12</v>
      </c>
      <c r="M574">
        <v>5.75</v>
      </c>
      <c r="P574">
        <v>40</v>
      </c>
      <c r="Q574" t="s">
        <v>80</v>
      </c>
      <c r="R574" t="s">
        <v>415</v>
      </c>
      <c r="S574" t="s">
        <v>363</v>
      </c>
      <c r="T574" t="s">
        <v>333</v>
      </c>
      <c r="V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Q574">
        <v>182378</v>
      </c>
      <c r="AR574" t="b">
        <v>1</v>
      </c>
      <c r="AS574" t="b">
        <v>1</v>
      </c>
      <c r="AT574" t="b">
        <v>1</v>
      </c>
      <c r="AU574" t="b">
        <v>1</v>
      </c>
      <c r="AV574" t="b">
        <v>1</v>
      </c>
      <c r="AW574" t="b">
        <v>1</v>
      </c>
      <c r="AX574" t="b">
        <v>1</v>
      </c>
      <c r="BA574" t="s">
        <v>439</v>
      </c>
    </row>
    <row r="575" spans="1:53" x14ac:dyDescent="0.25">
      <c r="A575" t="s">
        <v>386</v>
      </c>
      <c r="B575">
        <v>7</v>
      </c>
      <c r="C575">
        <v>46</v>
      </c>
      <c r="D575">
        <v>1</v>
      </c>
      <c r="E575">
        <v>48211090</v>
      </c>
      <c r="F575">
        <v>297276</v>
      </c>
      <c r="G575" t="s">
        <v>317</v>
      </c>
      <c r="H575" t="s">
        <v>60</v>
      </c>
      <c r="I575" t="s">
        <v>60</v>
      </c>
      <c r="J575" t="s">
        <v>60</v>
      </c>
      <c r="K575" t="s">
        <v>60</v>
      </c>
      <c r="L575" t="s">
        <v>12</v>
      </c>
      <c r="M575">
        <v>13</v>
      </c>
      <c r="P575">
        <v>40</v>
      </c>
      <c r="Q575" t="s">
        <v>80</v>
      </c>
      <c r="R575" t="s">
        <v>415</v>
      </c>
      <c r="S575" t="s">
        <v>363</v>
      </c>
      <c r="T575" t="s">
        <v>333</v>
      </c>
      <c r="V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Q575">
        <v>182378</v>
      </c>
      <c r="AR575" t="b">
        <v>1</v>
      </c>
      <c r="AS575" t="b">
        <v>1</v>
      </c>
      <c r="AT575" t="b">
        <v>1</v>
      </c>
      <c r="AU575" t="b">
        <v>1</v>
      </c>
      <c r="AV575" t="b">
        <v>1</v>
      </c>
      <c r="AW575" t="b">
        <v>1</v>
      </c>
      <c r="AX575" t="b">
        <v>1</v>
      </c>
      <c r="BA575" t="s">
        <v>439</v>
      </c>
    </row>
    <row r="576" spans="1:53" x14ac:dyDescent="0.25">
      <c r="A576" t="s">
        <v>386</v>
      </c>
      <c r="B576">
        <v>7</v>
      </c>
      <c r="C576">
        <v>47</v>
      </c>
      <c r="D576">
        <v>1</v>
      </c>
      <c r="E576">
        <v>48211090</v>
      </c>
      <c r="F576">
        <v>297277</v>
      </c>
      <c r="G576" t="s">
        <v>318</v>
      </c>
      <c r="H576" t="s">
        <v>60</v>
      </c>
      <c r="I576" t="s">
        <v>60</v>
      </c>
      <c r="J576" t="s">
        <v>60</v>
      </c>
      <c r="K576" t="s">
        <v>60</v>
      </c>
      <c r="L576" t="s">
        <v>12</v>
      </c>
      <c r="M576">
        <v>9.5</v>
      </c>
      <c r="P576">
        <v>40</v>
      </c>
      <c r="Q576" t="s">
        <v>80</v>
      </c>
      <c r="R576" t="s">
        <v>415</v>
      </c>
      <c r="S576" t="s">
        <v>363</v>
      </c>
      <c r="T576" t="s">
        <v>333</v>
      </c>
      <c r="V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Q576">
        <v>182378</v>
      </c>
      <c r="AR576" t="b">
        <v>1</v>
      </c>
      <c r="AS576" t="b">
        <v>1</v>
      </c>
      <c r="AT576" t="b">
        <v>1</v>
      </c>
      <c r="AU576" t="b">
        <v>1</v>
      </c>
      <c r="AV576" t="b">
        <v>1</v>
      </c>
      <c r="AW576" t="b">
        <v>1</v>
      </c>
      <c r="AX576" t="b">
        <v>1</v>
      </c>
      <c r="BA576" t="s">
        <v>439</v>
      </c>
    </row>
    <row r="577" spans="1:53" x14ac:dyDescent="0.25">
      <c r="A577" t="s">
        <v>386</v>
      </c>
      <c r="B577">
        <v>7</v>
      </c>
      <c r="C577">
        <v>48</v>
      </c>
      <c r="D577">
        <v>1</v>
      </c>
      <c r="E577">
        <v>48211090</v>
      </c>
      <c r="F577">
        <v>297278</v>
      </c>
      <c r="G577" t="s">
        <v>319</v>
      </c>
      <c r="H577" t="s">
        <v>60</v>
      </c>
      <c r="I577" t="s">
        <v>60</v>
      </c>
      <c r="J577" t="s">
        <v>60</v>
      </c>
      <c r="K577" t="s">
        <v>60</v>
      </c>
      <c r="L577" t="s">
        <v>12</v>
      </c>
      <c r="M577">
        <v>9.25</v>
      </c>
      <c r="P577">
        <v>40</v>
      </c>
      <c r="Q577" t="s">
        <v>80</v>
      </c>
      <c r="R577" t="s">
        <v>415</v>
      </c>
      <c r="S577" t="s">
        <v>363</v>
      </c>
      <c r="T577" t="s">
        <v>333</v>
      </c>
      <c r="V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Q577">
        <v>182378</v>
      </c>
      <c r="AR577" t="b">
        <v>1</v>
      </c>
      <c r="AS577" t="b">
        <v>1</v>
      </c>
      <c r="AT577" t="b">
        <v>1</v>
      </c>
      <c r="AU577" t="b">
        <v>1</v>
      </c>
      <c r="AV577" t="b">
        <v>1</v>
      </c>
      <c r="AW577" t="b">
        <v>1</v>
      </c>
      <c r="AX577" t="b">
        <v>1</v>
      </c>
      <c r="BA577" t="s">
        <v>439</v>
      </c>
    </row>
    <row r="578" spans="1:53" x14ac:dyDescent="0.25">
      <c r="A578" t="s">
        <v>386</v>
      </c>
      <c r="B578">
        <v>9</v>
      </c>
      <c r="C578">
        <v>1</v>
      </c>
      <c r="D578">
        <v>1</v>
      </c>
      <c r="E578">
        <v>52081900</v>
      </c>
      <c r="F578">
        <v>274799</v>
      </c>
      <c r="G578" t="s">
        <v>311</v>
      </c>
      <c r="H578" t="s">
        <v>60</v>
      </c>
      <c r="I578" t="s">
        <v>60</v>
      </c>
      <c r="J578" t="s">
        <v>60</v>
      </c>
      <c r="K578" t="s">
        <v>60</v>
      </c>
      <c r="L578" t="s">
        <v>27</v>
      </c>
      <c r="M578">
        <v>3.75</v>
      </c>
      <c r="P578">
        <v>40</v>
      </c>
      <c r="Q578" t="s">
        <v>80</v>
      </c>
      <c r="R578" t="s">
        <v>409</v>
      </c>
      <c r="S578" t="s">
        <v>358</v>
      </c>
      <c r="T578" t="s">
        <v>327</v>
      </c>
      <c r="V578">
        <v>0</v>
      </c>
      <c r="Y578">
        <v>0</v>
      </c>
      <c r="Z578">
        <v>0</v>
      </c>
      <c r="AA578">
        <v>0</v>
      </c>
      <c r="AB578">
        <v>899703.6</v>
      </c>
      <c r="AC578">
        <v>0</v>
      </c>
      <c r="AD578">
        <v>0</v>
      </c>
      <c r="AE578">
        <v>0</v>
      </c>
      <c r="AQ578">
        <v>182379</v>
      </c>
      <c r="AR578" t="b">
        <v>1</v>
      </c>
      <c r="AS578" t="b">
        <v>1</v>
      </c>
      <c r="AT578" t="b">
        <v>1</v>
      </c>
      <c r="AU578" t="b">
        <v>1</v>
      </c>
      <c r="AV578" t="b">
        <v>1</v>
      </c>
      <c r="AW578" t="b">
        <v>1</v>
      </c>
      <c r="AX578" t="b">
        <v>1</v>
      </c>
      <c r="BA578" t="s">
        <v>440</v>
      </c>
    </row>
    <row r="579" spans="1:53" x14ac:dyDescent="0.25">
      <c r="A579" t="s">
        <v>386</v>
      </c>
      <c r="B579">
        <v>9</v>
      </c>
      <c r="C579">
        <v>2</v>
      </c>
      <c r="D579">
        <v>1</v>
      </c>
      <c r="E579">
        <v>52081900</v>
      </c>
      <c r="F579">
        <v>275340</v>
      </c>
      <c r="G579" t="s">
        <v>312</v>
      </c>
      <c r="H579" t="s">
        <v>60</v>
      </c>
      <c r="I579" t="s">
        <v>60</v>
      </c>
      <c r="J579" t="s">
        <v>60</v>
      </c>
      <c r="K579" t="s">
        <v>60</v>
      </c>
      <c r="L579" t="s">
        <v>27</v>
      </c>
      <c r="M579">
        <v>3.75</v>
      </c>
      <c r="P579">
        <v>40</v>
      </c>
      <c r="Q579" t="s">
        <v>80</v>
      </c>
      <c r="R579" t="s">
        <v>429</v>
      </c>
      <c r="S579" t="s">
        <v>376</v>
      </c>
      <c r="T579" t="s">
        <v>347</v>
      </c>
      <c r="V579">
        <v>0</v>
      </c>
      <c r="Y579">
        <v>0</v>
      </c>
      <c r="Z579">
        <v>0</v>
      </c>
      <c r="AA579">
        <v>0</v>
      </c>
      <c r="AB579">
        <v>899703.6</v>
      </c>
      <c r="AC579">
        <v>0</v>
      </c>
      <c r="AD579">
        <v>0</v>
      </c>
      <c r="AE579">
        <v>0</v>
      </c>
      <c r="AQ579">
        <v>182379</v>
      </c>
      <c r="AR579" t="b">
        <v>1</v>
      </c>
      <c r="AS579" t="b">
        <v>1</v>
      </c>
      <c r="AT579" t="b">
        <v>1</v>
      </c>
      <c r="AU579" t="b">
        <v>1</v>
      </c>
      <c r="AV579" t="b">
        <v>1</v>
      </c>
      <c r="AW579" t="b">
        <v>1</v>
      </c>
      <c r="AX579" t="b">
        <v>1</v>
      </c>
      <c r="BA579" t="s">
        <v>440</v>
      </c>
    </row>
    <row r="580" spans="1:53" x14ac:dyDescent="0.25">
      <c r="A580" t="s">
        <v>386</v>
      </c>
      <c r="B580">
        <v>9</v>
      </c>
      <c r="C580">
        <v>3</v>
      </c>
      <c r="D580">
        <v>1</v>
      </c>
      <c r="E580">
        <v>56039200</v>
      </c>
      <c r="F580">
        <v>267890</v>
      </c>
      <c r="G580" t="s">
        <v>323</v>
      </c>
      <c r="H580" t="s">
        <v>60</v>
      </c>
      <c r="I580" t="s">
        <v>60</v>
      </c>
      <c r="J580" t="s">
        <v>60</v>
      </c>
      <c r="K580" t="s">
        <v>60</v>
      </c>
      <c r="L580" t="s">
        <v>11</v>
      </c>
      <c r="M580">
        <v>4.5999999999999996</v>
      </c>
      <c r="P580">
        <v>40</v>
      </c>
      <c r="Q580" t="s">
        <v>80</v>
      </c>
      <c r="R580" t="s">
        <v>430</v>
      </c>
      <c r="S580" t="s">
        <v>377</v>
      </c>
      <c r="T580" t="s">
        <v>348</v>
      </c>
      <c r="V580">
        <v>0</v>
      </c>
      <c r="Y580">
        <v>0</v>
      </c>
      <c r="Z580">
        <v>0</v>
      </c>
      <c r="AA580">
        <v>0</v>
      </c>
      <c r="AB580">
        <v>27197.13</v>
      </c>
      <c r="AC580">
        <v>0</v>
      </c>
      <c r="AD580">
        <v>0</v>
      </c>
      <c r="AE580">
        <v>0</v>
      </c>
      <c r="AQ580">
        <v>182379</v>
      </c>
      <c r="AR580" t="b">
        <v>1</v>
      </c>
      <c r="AS580" t="b">
        <v>1</v>
      </c>
      <c r="AT580" t="b">
        <v>1</v>
      </c>
      <c r="AU580" t="b">
        <v>1</v>
      </c>
      <c r="AV580" t="b">
        <v>1</v>
      </c>
      <c r="AW580" t="b">
        <v>1</v>
      </c>
      <c r="AX580" t="b">
        <v>1</v>
      </c>
      <c r="BA580" t="s">
        <v>440</v>
      </c>
    </row>
    <row r="581" spans="1:53" x14ac:dyDescent="0.25">
      <c r="A581" t="s">
        <v>386</v>
      </c>
      <c r="B581">
        <v>9</v>
      </c>
      <c r="C581">
        <v>4</v>
      </c>
      <c r="D581">
        <v>1</v>
      </c>
      <c r="E581">
        <v>96062100</v>
      </c>
      <c r="F581">
        <v>270819</v>
      </c>
      <c r="G581" t="s">
        <v>324</v>
      </c>
      <c r="H581" t="s">
        <v>60</v>
      </c>
      <c r="I581" t="s">
        <v>60</v>
      </c>
      <c r="J581" t="s">
        <v>60</v>
      </c>
      <c r="K581" t="s">
        <v>60</v>
      </c>
      <c r="L581" t="s">
        <v>12</v>
      </c>
      <c r="M581">
        <v>300</v>
      </c>
      <c r="P581">
        <v>40</v>
      </c>
      <c r="Q581" t="s">
        <v>80</v>
      </c>
      <c r="R581" t="s">
        <v>431</v>
      </c>
      <c r="S581" t="s">
        <v>378</v>
      </c>
      <c r="T581" t="s">
        <v>349</v>
      </c>
      <c r="V581">
        <v>0</v>
      </c>
      <c r="Y581">
        <v>0</v>
      </c>
      <c r="Z581">
        <v>0</v>
      </c>
      <c r="AA581">
        <v>0</v>
      </c>
      <c r="AB581">
        <v>57000</v>
      </c>
      <c r="AC581">
        <v>0</v>
      </c>
      <c r="AD581">
        <v>0</v>
      </c>
      <c r="AE581">
        <v>0</v>
      </c>
      <c r="AQ581">
        <v>182379</v>
      </c>
      <c r="AR581" t="b">
        <v>1</v>
      </c>
      <c r="AS581" t="b">
        <v>1</v>
      </c>
      <c r="AT581" t="b">
        <v>1</v>
      </c>
      <c r="AU581" t="b">
        <v>1</v>
      </c>
      <c r="AV581" t="b">
        <v>1</v>
      </c>
      <c r="AW581" t="b">
        <v>1</v>
      </c>
      <c r="AX581" t="b">
        <v>1</v>
      </c>
      <c r="BA581" t="s">
        <v>440</v>
      </c>
    </row>
    <row r="582" spans="1:53" x14ac:dyDescent="0.25">
      <c r="A582" t="s">
        <v>386</v>
      </c>
      <c r="B582">
        <v>9</v>
      </c>
      <c r="C582">
        <v>5</v>
      </c>
      <c r="D582">
        <v>1</v>
      </c>
      <c r="E582">
        <v>39191020</v>
      </c>
      <c r="F582">
        <v>273158</v>
      </c>
      <c r="G582" t="s">
        <v>325</v>
      </c>
      <c r="H582" t="s">
        <v>60</v>
      </c>
      <c r="I582" t="s">
        <v>60</v>
      </c>
      <c r="J582" t="s">
        <v>60</v>
      </c>
      <c r="K582" t="s">
        <v>60</v>
      </c>
      <c r="L582" t="s">
        <v>27</v>
      </c>
      <c r="M582">
        <v>21.58</v>
      </c>
      <c r="P582">
        <v>40</v>
      </c>
      <c r="Q582" t="s">
        <v>80</v>
      </c>
      <c r="R582" t="s">
        <v>434</v>
      </c>
      <c r="S582" t="s">
        <v>381</v>
      </c>
      <c r="T582" t="s">
        <v>352</v>
      </c>
      <c r="V582">
        <v>0</v>
      </c>
      <c r="Y582">
        <v>0</v>
      </c>
      <c r="Z582">
        <v>0</v>
      </c>
      <c r="AA582">
        <v>0</v>
      </c>
      <c r="AB582">
        <v>6474000</v>
      </c>
      <c r="AC582">
        <v>0</v>
      </c>
      <c r="AD582">
        <v>0</v>
      </c>
      <c r="AE582">
        <v>0</v>
      </c>
      <c r="AQ582">
        <v>182379</v>
      </c>
      <c r="AR582" t="b">
        <v>1</v>
      </c>
      <c r="AS582" t="b">
        <v>1</v>
      </c>
      <c r="AT582" t="b">
        <v>1</v>
      </c>
      <c r="AU582" t="b">
        <v>1</v>
      </c>
      <c r="AV582" t="b">
        <v>1</v>
      </c>
      <c r="AW582" t="b">
        <v>1</v>
      </c>
      <c r="AX582" t="b">
        <v>1</v>
      </c>
      <c r="BA582" t="s">
        <v>440</v>
      </c>
    </row>
    <row r="583" spans="1:53" x14ac:dyDescent="0.25">
      <c r="A583" t="s">
        <v>386</v>
      </c>
      <c r="B583">
        <v>9</v>
      </c>
      <c r="C583">
        <v>6</v>
      </c>
      <c r="D583">
        <v>1</v>
      </c>
      <c r="E583">
        <v>48211090</v>
      </c>
      <c r="F583">
        <v>297274</v>
      </c>
      <c r="G583" t="s">
        <v>315</v>
      </c>
      <c r="H583" t="s">
        <v>60</v>
      </c>
      <c r="I583" t="s">
        <v>60</v>
      </c>
      <c r="J583" t="s">
        <v>60</v>
      </c>
      <c r="K583" t="s">
        <v>60</v>
      </c>
      <c r="L583" t="s">
        <v>12</v>
      </c>
      <c r="M583">
        <v>100</v>
      </c>
      <c r="P583">
        <v>40</v>
      </c>
      <c r="Q583" t="s">
        <v>80</v>
      </c>
      <c r="R583" t="s">
        <v>415</v>
      </c>
      <c r="S583" t="s">
        <v>363</v>
      </c>
      <c r="T583" t="s">
        <v>333</v>
      </c>
      <c r="V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Q583">
        <v>182379</v>
      </c>
      <c r="AR583" t="b">
        <v>1</v>
      </c>
      <c r="AS583" t="b">
        <v>1</v>
      </c>
      <c r="AT583" t="b">
        <v>1</v>
      </c>
      <c r="AU583" t="b">
        <v>1</v>
      </c>
      <c r="AV583" t="b">
        <v>1</v>
      </c>
      <c r="AW583" t="b">
        <v>1</v>
      </c>
      <c r="AX583" t="b">
        <v>1</v>
      </c>
      <c r="BA583" t="s">
        <v>440</v>
      </c>
    </row>
    <row r="584" spans="1:53" x14ac:dyDescent="0.25">
      <c r="A584" t="s">
        <v>386</v>
      </c>
      <c r="B584">
        <v>9</v>
      </c>
      <c r="C584">
        <v>7</v>
      </c>
      <c r="D584">
        <v>1</v>
      </c>
      <c r="E584">
        <v>48211090</v>
      </c>
      <c r="F584">
        <v>297275</v>
      </c>
      <c r="G584" t="s">
        <v>316</v>
      </c>
      <c r="H584" t="s">
        <v>60</v>
      </c>
      <c r="I584" t="s">
        <v>60</v>
      </c>
      <c r="J584" t="s">
        <v>60</v>
      </c>
      <c r="K584" t="s">
        <v>60</v>
      </c>
      <c r="L584" t="s">
        <v>12</v>
      </c>
      <c r="M584">
        <v>15</v>
      </c>
      <c r="P584">
        <v>40</v>
      </c>
      <c r="Q584" t="s">
        <v>80</v>
      </c>
      <c r="R584" t="s">
        <v>415</v>
      </c>
      <c r="S584" t="s">
        <v>363</v>
      </c>
      <c r="T584" t="s">
        <v>333</v>
      </c>
      <c r="V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Q584">
        <v>182379</v>
      </c>
      <c r="AR584" t="b">
        <v>1</v>
      </c>
      <c r="AS584" t="b">
        <v>1</v>
      </c>
      <c r="AT584" t="b">
        <v>1</v>
      </c>
      <c r="AU584" t="b">
        <v>1</v>
      </c>
      <c r="AV584" t="b">
        <v>1</v>
      </c>
      <c r="AW584" t="b">
        <v>1</v>
      </c>
      <c r="AX584" t="b">
        <v>1</v>
      </c>
      <c r="BA584" t="s">
        <v>440</v>
      </c>
    </row>
    <row r="585" spans="1:53" x14ac:dyDescent="0.25">
      <c r="A585" t="s">
        <v>386</v>
      </c>
      <c r="B585">
        <v>9</v>
      </c>
      <c r="C585">
        <v>8</v>
      </c>
      <c r="D585">
        <v>1</v>
      </c>
      <c r="E585">
        <v>48211090</v>
      </c>
      <c r="F585">
        <v>297276</v>
      </c>
      <c r="G585" t="s">
        <v>317</v>
      </c>
      <c r="H585" t="s">
        <v>60</v>
      </c>
      <c r="I585" t="s">
        <v>60</v>
      </c>
      <c r="J585" t="s">
        <v>60</v>
      </c>
      <c r="K585" t="s">
        <v>60</v>
      </c>
      <c r="L585" t="s">
        <v>12</v>
      </c>
      <c r="M585">
        <v>35</v>
      </c>
      <c r="P585">
        <v>40</v>
      </c>
      <c r="Q585" t="s">
        <v>80</v>
      </c>
      <c r="R585" t="s">
        <v>415</v>
      </c>
      <c r="S585" t="s">
        <v>363</v>
      </c>
      <c r="T585" t="s">
        <v>333</v>
      </c>
      <c r="V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Q585">
        <v>182379</v>
      </c>
      <c r="AR585" t="b">
        <v>1</v>
      </c>
      <c r="AS585" t="b">
        <v>1</v>
      </c>
      <c r="AT585" t="b">
        <v>1</v>
      </c>
      <c r="AU585" t="b">
        <v>1</v>
      </c>
      <c r="AV585" t="b">
        <v>1</v>
      </c>
      <c r="AW585" t="b">
        <v>1</v>
      </c>
      <c r="AX585" t="b">
        <v>1</v>
      </c>
      <c r="BA585" t="s">
        <v>440</v>
      </c>
    </row>
    <row r="586" spans="1:53" x14ac:dyDescent="0.25">
      <c r="A586" t="s">
        <v>386</v>
      </c>
      <c r="B586">
        <v>9</v>
      </c>
      <c r="C586">
        <v>9</v>
      </c>
      <c r="D586">
        <v>1</v>
      </c>
      <c r="E586">
        <v>48211090</v>
      </c>
      <c r="F586">
        <v>297277</v>
      </c>
      <c r="G586" t="s">
        <v>318</v>
      </c>
      <c r="H586" t="s">
        <v>60</v>
      </c>
      <c r="I586" t="s">
        <v>60</v>
      </c>
      <c r="J586" t="s">
        <v>60</v>
      </c>
      <c r="K586" t="s">
        <v>60</v>
      </c>
      <c r="L586" t="s">
        <v>12</v>
      </c>
      <c r="M586">
        <v>25</v>
      </c>
      <c r="P586">
        <v>40</v>
      </c>
      <c r="Q586" t="s">
        <v>80</v>
      </c>
      <c r="R586" t="s">
        <v>415</v>
      </c>
      <c r="S586" t="s">
        <v>363</v>
      </c>
      <c r="T586" t="s">
        <v>333</v>
      </c>
      <c r="V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Q586">
        <v>182379</v>
      </c>
      <c r="AR586" t="b">
        <v>1</v>
      </c>
      <c r="AS586" t="b">
        <v>1</v>
      </c>
      <c r="AT586" t="b">
        <v>1</v>
      </c>
      <c r="AU586" t="b">
        <v>1</v>
      </c>
      <c r="AV586" t="b">
        <v>1</v>
      </c>
      <c r="AW586" t="b">
        <v>1</v>
      </c>
      <c r="AX586" t="b">
        <v>1</v>
      </c>
      <c r="BA586" t="s">
        <v>440</v>
      </c>
    </row>
    <row r="587" spans="1:53" x14ac:dyDescent="0.25">
      <c r="A587" t="s">
        <v>386</v>
      </c>
      <c r="B587">
        <v>9</v>
      </c>
      <c r="C587">
        <v>10</v>
      </c>
      <c r="D587">
        <v>1</v>
      </c>
      <c r="E587">
        <v>48211090</v>
      </c>
      <c r="F587">
        <v>297278</v>
      </c>
      <c r="G587" t="s">
        <v>319</v>
      </c>
      <c r="H587" t="s">
        <v>60</v>
      </c>
      <c r="I587" t="s">
        <v>60</v>
      </c>
      <c r="J587" t="s">
        <v>60</v>
      </c>
      <c r="K587" t="s">
        <v>60</v>
      </c>
      <c r="L587" t="s">
        <v>12</v>
      </c>
      <c r="M587">
        <v>25</v>
      </c>
      <c r="P587">
        <v>40</v>
      </c>
      <c r="Q587" t="s">
        <v>80</v>
      </c>
      <c r="R587" t="s">
        <v>415</v>
      </c>
      <c r="S587" t="s">
        <v>363</v>
      </c>
      <c r="T587" t="s">
        <v>333</v>
      </c>
      <c r="V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Q587">
        <v>182379</v>
      </c>
      <c r="AR587" t="b">
        <v>1</v>
      </c>
      <c r="AS587" t="b">
        <v>1</v>
      </c>
      <c r="AT587" t="b">
        <v>1</v>
      </c>
      <c r="AU587" t="b">
        <v>1</v>
      </c>
      <c r="AV587" t="b">
        <v>1</v>
      </c>
      <c r="AW587" t="b">
        <v>1</v>
      </c>
      <c r="AX587" t="b">
        <v>1</v>
      </c>
      <c r="BA587" t="s">
        <v>440</v>
      </c>
    </row>
    <row r="588" spans="1:53" x14ac:dyDescent="0.25">
      <c r="A588" t="s">
        <v>386</v>
      </c>
      <c r="B588">
        <v>9</v>
      </c>
      <c r="C588">
        <v>11</v>
      </c>
      <c r="D588">
        <v>1</v>
      </c>
      <c r="E588">
        <v>52081900</v>
      </c>
      <c r="F588">
        <v>274799</v>
      </c>
      <c r="G588" t="s">
        <v>311</v>
      </c>
      <c r="H588" t="s">
        <v>60</v>
      </c>
      <c r="I588" t="s">
        <v>60</v>
      </c>
      <c r="J588" t="s">
        <v>60</v>
      </c>
      <c r="K588" t="s">
        <v>60</v>
      </c>
      <c r="L588" t="s">
        <v>27</v>
      </c>
      <c r="M588">
        <v>1.875</v>
      </c>
      <c r="P588">
        <v>40</v>
      </c>
      <c r="Q588" t="s">
        <v>80</v>
      </c>
      <c r="R588" t="s">
        <v>409</v>
      </c>
      <c r="S588" t="s">
        <v>358</v>
      </c>
      <c r="T588" t="s">
        <v>327</v>
      </c>
      <c r="V588">
        <v>0</v>
      </c>
      <c r="Y588">
        <v>0</v>
      </c>
      <c r="Z588">
        <v>0</v>
      </c>
      <c r="AA588">
        <v>0</v>
      </c>
      <c r="AB588">
        <v>899703.6</v>
      </c>
      <c r="AC588">
        <v>0</v>
      </c>
      <c r="AD588">
        <v>0</v>
      </c>
      <c r="AE588">
        <v>0</v>
      </c>
      <c r="AQ588">
        <v>182379</v>
      </c>
      <c r="AR588" t="b">
        <v>1</v>
      </c>
      <c r="AS588" t="b">
        <v>1</v>
      </c>
      <c r="AT588" t="b">
        <v>1</v>
      </c>
      <c r="AU588" t="b">
        <v>1</v>
      </c>
      <c r="AV588" t="b">
        <v>1</v>
      </c>
      <c r="AW588" t="b">
        <v>1</v>
      </c>
      <c r="AX588" t="b">
        <v>1</v>
      </c>
      <c r="BA588" t="s">
        <v>440</v>
      </c>
    </row>
    <row r="589" spans="1:53" x14ac:dyDescent="0.25">
      <c r="A589" t="s">
        <v>386</v>
      </c>
      <c r="B589">
        <v>9</v>
      </c>
      <c r="C589">
        <v>12</v>
      </c>
      <c r="D589">
        <v>1</v>
      </c>
      <c r="E589">
        <v>52081900</v>
      </c>
      <c r="F589">
        <v>275340</v>
      </c>
      <c r="G589" t="s">
        <v>312</v>
      </c>
      <c r="H589" t="s">
        <v>60</v>
      </c>
      <c r="I589" t="s">
        <v>60</v>
      </c>
      <c r="J589" t="s">
        <v>60</v>
      </c>
      <c r="K589" t="s">
        <v>60</v>
      </c>
      <c r="L589" t="s">
        <v>27</v>
      </c>
      <c r="M589">
        <v>1.875</v>
      </c>
      <c r="P589">
        <v>40</v>
      </c>
      <c r="Q589" t="s">
        <v>80</v>
      </c>
      <c r="R589" t="s">
        <v>429</v>
      </c>
      <c r="S589" t="s">
        <v>376</v>
      </c>
      <c r="T589" t="s">
        <v>347</v>
      </c>
      <c r="V589">
        <v>0</v>
      </c>
      <c r="Y589">
        <v>0</v>
      </c>
      <c r="Z589">
        <v>0</v>
      </c>
      <c r="AA589">
        <v>0</v>
      </c>
      <c r="AB589">
        <v>899703.6</v>
      </c>
      <c r="AC589">
        <v>0</v>
      </c>
      <c r="AD589">
        <v>0</v>
      </c>
      <c r="AE589">
        <v>0</v>
      </c>
      <c r="AQ589">
        <v>182379</v>
      </c>
      <c r="AR589" t="b">
        <v>1</v>
      </c>
      <c r="AS589" t="b">
        <v>1</v>
      </c>
      <c r="AT589" t="b">
        <v>1</v>
      </c>
      <c r="AU589" t="b">
        <v>1</v>
      </c>
      <c r="AV589" t="b">
        <v>1</v>
      </c>
      <c r="AW589" t="b">
        <v>1</v>
      </c>
      <c r="AX589" t="b">
        <v>1</v>
      </c>
      <c r="BA589" t="s">
        <v>440</v>
      </c>
    </row>
    <row r="590" spans="1:53" x14ac:dyDescent="0.25">
      <c r="A590" t="s">
        <v>386</v>
      </c>
      <c r="B590">
        <v>9</v>
      </c>
      <c r="C590">
        <v>13</v>
      </c>
      <c r="D590">
        <v>1</v>
      </c>
      <c r="E590">
        <v>56039200</v>
      </c>
      <c r="F590">
        <v>267890</v>
      </c>
      <c r="G590" t="s">
        <v>323</v>
      </c>
      <c r="H590" t="s">
        <v>60</v>
      </c>
      <c r="I590" t="s">
        <v>60</v>
      </c>
      <c r="J590" t="s">
        <v>60</v>
      </c>
      <c r="K590" t="s">
        <v>60</v>
      </c>
      <c r="L590" t="s">
        <v>11</v>
      </c>
      <c r="M590">
        <v>2.2999999999999998</v>
      </c>
      <c r="P590">
        <v>40</v>
      </c>
      <c r="Q590" t="s">
        <v>80</v>
      </c>
      <c r="R590" t="s">
        <v>430</v>
      </c>
      <c r="S590" t="s">
        <v>377</v>
      </c>
      <c r="T590" t="s">
        <v>348</v>
      </c>
      <c r="V590">
        <v>0</v>
      </c>
      <c r="Y590">
        <v>0</v>
      </c>
      <c r="Z590">
        <v>0</v>
      </c>
      <c r="AA590">
        <v>0</v>
      </c>
      <c r="AB590">
        <v>27197.13</v>
      </c>
      <c r="AC590">
        <v>0</v>
      </c>
      <c r="AD590">
        <v>0</v>
      </c>
      <c r="AE590">
        <v>0</v>
      </c>
      <c r="AQ590">
        <v>182379</v>
      </c>
      <c r="AR590" t="b">
        <v>1</v>
      </c>
      <c r="AS590" t="b">
        <v>1</v>
      </c>
      <c r="AT590" t="b">
        <v>1</v>
      </c>
      <c r="AU590" t="b">
        <v>1</v>
      </c>
      <c r="AV590" t="b">
        <v>1</v>
      </c>
      <c r="AW590" t="b">
        <v>1</v>
      </c>
      <c r="AX590" t="b">
        <v>1</v>
      </c>
      <c r="BA590" t="s">
        <v>440</v>
      </c>
    </row>
    <row r="591" spans="1:53" x14ac:dyDescent="0.25">
      <c r="A591" t="s">
        <v>386</v>
      </c>
      <c r="B591">
        <v>9</v>
      </c>
      <c r="C591">
        <v>14</v>
      </c>
      <c r="D591">
        <v>1</v>
      </c>
      <c r="E591">
        <v>96062100</v>
      </c>
      <c r="F591">
        <v>270819</v>
      </c>
      <c r="G591" t="s">
        <v>324</v>
      </c>
      <c r="H591" t="s">
        <v>60</v>
      </c>
      <c r="I591" t="s">
        <v>60</v>
      </c>
      <c r="J591" t="s">
        <v>60</v>
      </c>
      <c r="K591" t="s">
        <v>60</v>
      </c>
      <c r="L591" t="s">
        <v>12</v>
      </c>
      <c r="M591">
        <v>150</v>
      </c>
      <c r="P591">
        <v>40</v>
      </c>
      <c r="Q591" t="s">
        <v>80</v>
      </c>
      <c r="R591" t="s">
        <v>431</v>
      </c>
      <c r="S591" t="s">
        <v>378</v>
      </c>
      <c r="T591" t="s">
        <v>349</v>
      </c>
      <c r="V591">
        <v>0</v>
      </c>
      <c r="Y591">
        <v>0</v>
      </c>
      <c r="Z591">
        <v>0</v>
      </c>
      <c r="AA591">
        <v>0</v>
      </c>
      <c r="AB591">
        <v>57000</v>
      </c>
      <c r="AC591">
        <v>0</v>
      </c>
      <c r="AD591">
        <v>0</v>
      </c>
      <c r="AE591">
        <v>0</v>
      </c>
      <c r="AQ591">
        <v>182379</v>
      </c>
      <c r="AR591" t="b">
        <v>1</v>
      </c>
      <c r="AS591" t="b">
        <v>1</v>
      </c>
      <c r="AT591" t="b">
        <v>1</v>
      </c>
      <c r="AU591" t="b">
        <v>1</v>
      </c>
      <c r="AV591" t="b">
        <v>1</v>
      </c>
      <c r="AW591" t="b">
        <v>1</v>
      </c>
      <c r="AX591" t="b">
        <v>1</v>
      </c>
      <c r="BA591" t="s">
        <v>440</v>
      </c>
    </row>
    <row r="592" spans="1:53" x14ac:dyDescent="0.25">
      <c r="A592" t="s">
        <v>386</v>
      </c>
      <c r="B592">
        <v>9</v>
      </c>
      <c r="C592">
        <v>15</v>
      </c>
      <c r="D592">
        <v>1</v>
      </c>
      <c r="E592">
        <v>39191020</v>
      </c>
      <c r="F592">
        <v>273158</v>
      </c>
      <c r="G592" t="s">
        <v>325</v>
      </c>
      <c r="H592" t="s">
        <v>60</v>
      </c>
      <c r="I592" t="s">
        <v>60</v>
      </c>
      <c r="J592" t="s">
        <v>60</v>
      </c>
      <c r="K592" t="s">
        <v>60</v>
      </c>
      <c r="L592" t="s">
        <v>27</v>
      </c>
      <c r="M592">
        <v>10.79</v>
      </c>
      <c r="P592">
        <v>40</v>
      </c>
      <c r="Q592" t="s">
        <v>80</v>
      </c>
      <c r="R592" t="s">
        <v>434</v>
      </c>
      <c r="S592" t="s">
        <v>381</v>
      </c>
      <c r="T592" t="s">
        <v>352</v>
      </c>
      <c r="V592">
        <v>0</v>
      </c>
      <c r="Y592">
        <v>0</v>
      </c>
      <c r="Z592">
        <v>0</v>
      </c>
      <c r="AA592">
        <v>0</v>
      </c>
      <c r="AB592">
        <v>6474000</v>
      </c>
      <c r="AC592">
        <v>0</v>
      </c>
      <c r="AD592">
        <v>0</v>
      </c>
      <c r="AE592">
        <v>0</v>
      </c>
      <c r="AQ592">
        <v>182379</v>
      </c>
      <c r="AR592" t="b">
        <v>1</v>
      </c>
      <c r="AS592" t="b">
        <v>1</v>
      </c>
      <c r="AT592" t="b">
        <v>1</v>
      </c>
      <c r="AU592" t="b">
        <v>1</v>
      </c>
      <c r="AV592" t="b">
        <v>1</v>
      </c>
      <c r="AW592" t="b">
        <v>1</v>
      </c>
      <c r="AX592" t="b">
        <v>1</v>
      </c>
      <c r="BA592" t="s">
        <v>440</v>
      </c>
    </row>
    <row r="593" spans="1:53" x14ac:dyDescent="0.25">
      <c r="A593" t="s">
        <v>386</v>
      </c>
      <c r="B593">
        <v>9</v>
      </c>
      <c r="C593">
        <v>16</v>
      </c>
      <c r="D593">
        <v>1</v>
      </c>
      <c r="E593">
        <v>48211090</v>
      </c>
      <c r="F593">
        <v>297274</v>
      </c>
      <c r="G593" t="s">
        <v>315</v>
      </c>
      <c r="H593" t="s">
        <v>60</v>
      </c>
      <c r="I593" t="s">
        <v>60</v>
      </c>
      <c r="J593" t="s">
        <v>60</v>
      </c>
      <c r="K593" t="s">
        <v>60</v>
      </c>
      <c r="L593" t="s">
        <v>12</v>
      </c>
      <c r="M593">
        <v>50</v>
      </c>
      <c r="P593">
        <v>40</v>
      </c>
      <c r="Q593" t="s">
        <v>80</v>
      </c>
      <c r="R593" t="s">
        <v>415</v>
      </c>
      <c r="S593" t="s">
        <v>363</v>
      </c>
      <c r="T593" t="s">
        <v>333</v>
      </c>
      <c r="V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Q593">
        <v>182379</v>
      </c>
      <c r="AR593" t="b">
        <v>1</v>
      </c>
      <c r="AS593" t="b">
        <v>1</v>
      </c>
      <c r="AT593" t="b">
        <v>1</v>
      </c>
      <c r="AU593" t="b">
        <v>1</v>
      </c>
      <c r="AV593" t="b">
        <v>1</v>
      </c>
      <c r="AW593" t="b">
        <v>1</v>
      </c>
      <c r="AX593" t="b">
        <v>1</v>
      </c>
      <c r="BA593" t="s">
        <v>440</v>
      </c>
    </row>
    <row r="594" spans="1:53" x14ac:dyDescent="0.25">
      <c r="A594" t="s">
        <v>386</v>
      </c>
      <c r="B594">
        <v>9</v>
      </c>
      <c r="C594">
        <v>17</v>
      </c>
      <c r="D594">
        <v>1</v>
      </c>
      <c r="E594">
        <v>48211090</v>
      </c>
      <c r="F594">
        <v>297275</v>
      </c>
      <c r="G594" t="s">
        <v>316</v>
      </c>
      <c r="H594" t="s">
        <v>60</v>
      </c>
      <c r="I594" t="s">
        <v>60</v>
      </c>
      <c r="J594" t="s">
        <v>60</v>
      </c>
      <c r="K594" t="s">
        <v>60</v>
      </c>
      <c r="L594" t="s">
        <v>12</v>
      </c>
      <c r="M594">
        <v>7.5</v>
      </c>
      <c r="P594">
        <v>40</v>
      </c>
      <c r="Q594" t="s">
        <v>80</v>
      </c>
      <c r="R594" t="s">
        <v>415</v>
      </c>
      <c r="S594" t="s">
        <v>363</v>
      </c>
      <c r="T594" t="s">
        <v>333</v>
      </c>
      <c r="V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Q594">
        <v>182379</v>
      </c>
      <c r="AR594" t="b">
        <v>1</v>
      </c>
      <c r="AS594" t="b">
        <v>1</v>
      </c>
      <c r="AT594" t="b">
        <v>1</v>
      </c>
      <c r="AU594" t="b">
        <v>1</v>
      </c>
      <c r="AV594" t="b">
        <v>1</v>
      </c>
      <c r="AW594" t="b">
        <v>1</v>
      </c>
      <c r="AX594" t="b">
        <v>1</v>
      </c>
      <c r="BA594" t="s">
        <v>440</v>
      </c>
    </row>
    <row r="595" spans="1:53" x14ac:dyDescent="0.25">
      <c r="A595" t="s">
        <v>386</v>
      </c>
      <c r="B595">
        <v>9</v>
      </c>
      <c r="C595">
        <v>18</v>
      </c>
      <c r="D595">
        <v>1</v>
      </c>
      <c r="E595">
        <v>48211090</v>
      </c>
      <c r="F595">
        <v>297276</v>
      </c>
      <c r="G595" t="s">
        <v>317</v>
      </c>
      <c r="H595" t="s">
        <v>60</v>
      </c>
      <c r="I595" t="s">
        <v>60</v>
      </c>
      <c r="J595" t="s">
        <v>60</v>
      </c>
      <c r="K595" t="s">
        <v>60</v>
      </c>
      <c r="L595" t="s">
        <v>12</v>
      </c>
      <c r="M595">
        <v>17.5</v>
      </c>
      <c r="P595">
        <v>40</v>
      </c>
      <c r="Q595" t="s">
        <v>80</v>
      </c>
      <c r="R595" t="s">
        <v>415</v>
      </c>
      <c r="S595" t="s">
        <v>363</v>
      </c>
      <c r="T595" t="s">
        <v>333</v>
      </c>
      <c r="V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Q595">
        <v>182379</v>
      </c>
      <c r="AR595" t="b">
        <v>1</v>
      </c>
      <c r="AS595" t="b">
        <v>1</v>
      </c>
      <c r="AT595" t="b">
        <v>1</v>
      </c>
      <c r="AU595" t="b">
        <v>1</v>
      </c>
      <c r="AV595" t="b">
        <v>1</v>
      </c>
      <c r="AW595" t="b">
        <v>1</v>
      </c>
      <c r="AX595" t="b">
        <v>1</v>
      </c>
      <c r="BA595" t="s">
        <v>440</v>
      </c>
    </row>
    <row r="596" spans="1:53" x14ac:dyDescent="0.25">
      <c r="A596" t="s">
        <v>386</v>
      </c>
      <c r="B596">
        <v>9</v>
      </c>
      <c r="C596">
        <v>19</v>
      </c>
      <c r="D596">
        <v>1</v>
      </c>
      <c r="E596">
        <v>48211090</v>
      </c>
      <c r="F596">
        <v>297277</v>
      </c>
      <c r="G596" t="s">
        <v>318</v>
      </c>
      <c r="H596" t="s">
        <v>60</v>
      </c>
      <c r="I596" t="s">
        <v>60</v>
      </c>
      <c r="J596" t="s">
        <v>60</v>
      </c>
      <c r="K596" t="s">
        <v>60</v>
      </c>
      <c r="L596" t="s">
        <v>12</v>
      </c>
      <c r="M596">
        <v>12.5</v>
      </c>
      <c r="P596">
        <v>40</v>
      </c>
      <c r="Q596" t="s">
        <v>80</v>
      </c>
      <c r="R596" t="s">
        <v>415</v>
      </c>
      <c r="S596" t="s">
        <v>363</v>
      </c>
      <c r="T596" t="s">
        <v>333</v>
      </c>
      <c r="V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Q596">
        <v>182379</v>
      </c>
      <c r="AR596" t="b">
        <v>1</v>
      </c>
      <c r="AS596" t="b">
        <v>1</v>
      </c>
      <c r="AT596" t="b">
        <v>1</v>
      </c>
      <c r="AU596" t="b">
        <v>1</v>
      </c>
      <c r="AV596" t="b">
        <v>1</v>
      </c>
      <c r="AW596" t="b">
        <v>1</v>
      </c>
      <c r="AX596" t="b">
        <v>1</v>
      </c>
      <c r="BA596" t="s">
        <v>440</v>
      </c>
    </row>
    <row r="597" spans="1:53" x14ac:dyDescent="0.25">
      <c r="A597" t="s">
        <v>386</v>
      </c>
      <c r="B597">
        <v>9</v>
      </c>
      <c r="C597">
        <v>20</v>
      </c>
      <c r="D597">
        <v>1</v>
      </c>
      <c r="E597">
        <v>48211090</v>
      </c>
      <c r="F597">
        <v>297278</v>
      </c>
      <c r="G597" t="s">
        <v>319</v>
      </c>
      <c r="H597" t="s">
        <v>60</v>
      </c>
      <c r="I597" t="s">
        <v>60</v>
      </c>
      <c r="J597" t="s">
        <v>60</v>
      </c>
      <c r="K597" t="s">
        <v>60</v>
      </c>
      <c r="L597" t="s">
        <v>12</v>
      </c>
      <c r="M597">
        <v>12.5</v>
      </c>
      <c r="P597">
        <v>40</v>
      </c>
      <c r="Q597" t="s">
        <v>80</v>
      </c>
      <c r="R597" t="s">
        <v>415</v>
      </c>
      <c r="S597" t="s">
        <v>363</v>
      </c>
      <c r="T597" t="s">
        <v>333</v>
      </c>
      <c r="V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Q597">
        <v>182379</v>
      </c>
      <c r="AR597" t="b">
        <v>1</v>
      </c>
      <c r="AS597" t="b">
        <v>1</v>
      </c>
      <c r="AT597" t="b">
        <v>1</v>
      </c>
      <c r="AU597" t="b">
        <v>1</v>
      </c>
      <c r="AV597" t="b">
        <v>1</v>
      </c>
      <c r="AW597" t="b">
        <v>1</v>
      </c>
      <c r="AX597" t="b">
        <v>1</v>
      </c>
      <c r="BA597" t="s">
        <v>440</v>
      </c>
    </row>
    <row r="598" spans="1:53" x14ac:dyDescent="0.25">
      <c r="A598" t="s">
        <v>386</v>
      </c>
      <c r="B598">
        <v>9</v>
      </c>
      <c r="C598">
        <v>21</v>
      </c>
      <c r="D598">
        <v>1</v>
      </c>
      <c r="E598">
        <v>52081900</v>
      </c>
      <c r="F598">
        <v>274799</v>
      </c>
      <c r="G598" t="s">
        <v>311</v>
      </c>
      <c r="H598" t="s">
        <v>60</v>
      </c>
      <c r="I598" t="s">
        <v>60</v>
      </c>
      <c r="J598" t="s">
        <v>60</v>
      </c>
      <c r="K598" t="s">
        <v>60</v>
      </c>
      <c r="L598" t="s">
        <v>27</v>
      </c>
      <c r="M598">
        <v>1.875</v>
      </c>
      <c r="P598">
        <v>40</v>
      </c>
      <c r="Q598" t="s">
        <v>80</v>
      </c>
      <c r="R598" t="s">
        <v>409</v>
      </c>
      <c r="S598" t="s">
        <v>358</v>
      </c>
      <c r="T598" t="s">
        <v>327</v>
      </c>
      <c r="V598">
        <v>0</v>
      </c>
      <c r="Y598">
        <v>0</v>
      </c>
      <c r="Z598">
        <v>0</v>
      </c>
      <c r="AA598">
        <v>0</v>
      </c>
      <c r="AB598">
        <v>899703.6</v>
      </c>
      <c r="AC598">
        <v>0</v>
      </c>
      <c r="AD598">
        <v>0</v>
      </c>
      <c r="AE598">
        <v>0</v>
      </c>
      <c r="AQ598">
        <v>182379</v>
      </c>
      <c r="AR598" t="b">
        <v>1</v>
      </c>
      <c r="AS598" t="b">
        <v>1</v>
      </c>
      <c r="AT598" t="b">
        <v>1</v>
      </c>
      <c r="AU598" t="b">
        <v>1</v>
      </c>
      <c r="AV598" t="b">
        <v>1</v>
      </c>
      <c r="AW598" t="b">
        <v>1</v>
      </c>
      <c r="AX598" t="b">
        <v>1</v>
      </c>
      <c r="BA598" t="s">
        <v>440</v>
      </c>
    </row>
    <row r="599" spans="1:53" x14ac:dyDescent="0.25">
      <c r="A599" t="s">
        <v>386</v>
      </c>
      <c r="B599">
        <v>9</v>
      </c>
      <c r="C599">
        <v>22</v>
      </c>
      <c r="D599">
        <v>1</v>
      </c>
      <c r="E599">
        <v>52081900</v>
      </c>
      <c r="F599">
        <v>275340</v>
      </c>
      <c r="G599" t="s">
        <v>312</v>
      </c>
      <c r="H599" t="s">
        <v>60</v>
      </c>
      <c r="I599" t="s">
        <v>60</v>
      </c>
      <c r="J599" t="s">
        <v>60</v>
      </c>
      <c r="K599" t="s">
        <v>60</v>
      </c>
      <c r="L599" t="s">
        <v>27</v>
      </c>
      <c r="M599">
        <v>1.875</v>
      </c>
      <c r="P599">
        <v>40</v>
      </c>
      <c r="Q599" t="s">
        <v>80</v>
      </c>
      <c r="R599" t="s">
        <v>429</v>
      </c>
      <c r="S599" t="s">
        <v>376</v>
      </c>
      <c r="T599" t="s">
        <v>347</v>
      </c>
      <c r="V599">
        <v>0</v>
      </c>
      <c r="Y599">
        <v>0</v>
      </c>
      <c r="Z599">
        <v>0</v>
      </c>
      <c r="AA599">
        <v>0</v>
      </c>
      <c r="AB599">
        <v>899703.6</v>
      </c>
      <c r="AC599">
        <v>0</v>
      </c>
      <c r="AD599">
        <v>0</v>
      </c>
      <c r="AE599">
        <v>0</v>
      </c>
      <c r="AQ599">
        <v>182379</v>
      </c>
      <c r="AR599" t="b">
        <v>1</v>
      </c>
      <c r="AS599" t="b">
        <v>1</v>
      </c>
      <c r="AT599" t="b">
        <v>1</v>
      </c>
      <c r="AU599" t="b">
        <v>1</v>
      </c>
      <c r="AV599" t="b">
        <v>1</v>
      </c>
      <c r="AW599" t="b">
        <v>1</v>
      </c>
      <c r="AX599" t="b">
        <v>1</v>
      </c>
      <c r="BA599" t="s">
        <v>440</v>
      </c>
    </row>
    <row r="600" spans="1:53" x14ac:dyDescent="0.25">
      <c r="A600" t="s">
        <v>386</v>
      </c>
      <c r="B600">
        <v>9</v>
      </c>
      <c r="C600">
        <v>23</v>
      </c>
      <c r="D600">
        <v>1</v>
      </c>
      <c r="E600">
        <v>56039200</v>
      </c>
      <c r="F600">
        <v>267890</v>
      </c>
      <c r="G600" t="s">
        <v>323</v>
      </c>
      <c r="H600" t="s">
        <v>60</v>
      </c>
      <c r="I600" t="s">
        <v>60</v>
      </c>
      <c r="J600" t="s">
        <v>60</v>
      </c>
      <c r="K600" t="s">
        <v>60</v>
      </c>
      <c r="L600" t="s">
        <v>11</v>
      </c>
      <c r="M600">
        <v>2.2999999999999998</v>
      </c>
      <c r="P600">
        <v>40</v>
      </c>
      <c r="Q600" t="s">
        <v>80</v>
      </c>
      <c r="R600" t="s">
        <v>430</v>
      </c>
      <c r="S600" t="s">
        <v>377</v>
      </c>
      <c r="T600" t="s">
        <v>348</v>
      </c>
      <c r="V600">
        <v>0</v>
      </c>
      <c r="Y600">
        <v>0</v>
      </c>
      <c r="Z600">
        <v>0</v>
      </c>
      <c r="AA600">
        <v>0</v>
      </c>
      <c r="AB600">
        <v>27197.13</v>
      </c>
      <c r="AC600">
        <v>0</v>
      </c>
      <c r="AD600">
        <v>0</v>
      </c>
      <c r="AE600">
        <v>0</v>
      </c>
      <c r="AQ600">
        <v>182379</v>
      </c>
      <c r="AR600" t="b">
        <v>1</v>
      </c>
      <c r="AS600" t="b">
        <v>1</v>
      </c>
      <c r="AT600" t="b">
        <v>1</v>
      </c>
      <c r="AU600" t="b">
        <v>1</v>
      </c>
      <c r="AV600" t="b">
        <v>1</v>
      </c>
      <c r="AW600" t="b">
        <v>1</v>
      </c>
      <c r="AX600" t="b">
        <v>1</v>
      </c>
      <c r="BA600" t="s">
        <v>440</v>
      </c>
    </row>
    <row r="601" spans="1:53" x14ac:dyDescent="0.25">
      <c r="A601" t="s">
        <v>386</v>
      </c>
      <c r="B601">
        <v>9</v>
      </c>
      <c r="C601">
        <v>24</v>
      </c>
      <c r="D601">
        <v>1</v>
      </c>
      <c r="E601">
        <v>96062100</v>
      </c>
      <c r="F601">
        <v>270819</v>
      </c>
      <c r="G601" t="s">
        <v>324</v>
      </c>
      <c r="H601" t="s">
        <v>60</v>
      </c>
      <c r="I601" t="s">
        <v>60</v>
      </c>
      <c r="J601" t="s">
        <v>60</v>
      </c>
      <c r="K601" t="s">
        <v>60</v>
      </c>
      <c r="L601" t="s">
        <v>12</v>
      </c>
      <c r="M601">
        <v>150</v>
      </c>
      <c r="P601">
        <v>40</v>
      </c>
      <c r="Q601" t="s">
        <v>80</v>
      </c>
      <c r="R601" t="s">
        <v>431</v>
      </c>
      <c r="S601" t="s">
        <v>378</v>
      </c>
      <c r="T601" t="s">
        <v>349</v>
      </c>
      <c r="V601">
        <v>0</v>
      </c>
      <c r="Y601">
        <v>0</v>
      </c>
      <c r="Z601">
        <v>0</v>
      </c>
      <c r="AA601">
        <v>0</v>
      </c>
      <c r="AB601">
        <v>57000</v>
      </c>
      <c r="AC601">
        <v>0</v>
      </c>
      <c r="AD601">
        <v>0</v>
      </c>
      <c r="AE601">
        <v>0</v>
      </c>
      <c r="AQ601">
        <v>182379</v>
      </c>
      <c r="AR601" t="b">
        <v>1</v>
      </c>
      <c r="AS601" t="b">
        <v>1</v>
      </c>
      <c r="AT601" t="b">
        <v>1</v>
      </c>
      <c r="AU601" t="b">
        <v>1</v>
      </c>
      <c r="AV601" t="b">
        <v>1</v>
      </c>
      <c r="AW601" t="b">
        <v>1</v>
      </c>
      <c r="AX601" t="b">
        <v>1</v>
      </c>
      <c r="BA601" t="s">
        <v>440</v>
      </c>
    </row>
    <row r="602" spans="1:53" x14ac:dyDescent="0.25">
      <c r="A602" t="s">
        <v>386</v>
      </c>
      <c r="B602">
        <v>9</v>
      </c>
      <c r="C602">
        <v>25</v>
      </c>
      <c r="D602">
        <v>1</v>
      </c>
      <c r="E602">
        <v>39191020</v>
      </c>
      <c r="F602">
        <v>273158</v>
      </c>
      <c r="G602" t="s">
        <v>325</v>
      </c>
      <c r="H602" t="s">
        <v>60</v>
      </c>
      <c r="I602" t="s">
        <v>60</v>
      </c>
      <c r="J602" t="s">
        <v>60</v>
      </c>
      <c r="K602" t="s">
        <v>60</v>
      </c>
      <c r="L602" t="s">
        <v>27</v>
      </c>
      <c r="M602">
        <v>10.79</v>
      </c>
      <c r="P602">
        <v>40</v>
      </c>
      <c r="Q602" t="s">
        <v>80</v>
      </c>
      <c r="R602" t="s">
        <v>434</v>
      </c>
      <c r="S602" t="s">
        <v>381</v>
      </c>
      <c r="T602" t="s">
        <v>352</v>
      </c>
      <c r="V602">
        <v>0</v>
      </c>
      <c r="Y602">
        <v>0</v>
      </c>
      <c r="Z602">
        <v>0</v>
      </c>
      <c r="AA602">
        <v>0</v>
      </c>
      <c r="AB602">
        <v>6474000</v>
      </c>
      <c r="AC602">
        <v>0</v>
      </c>
      <c r="AD602">
        <v>0</v>
      </c>
      <c r="AE602">
        <v>0</v>
      </c>
      <c r="AQ602">
        <v>182379</v>
      </c>
      <c r="AR602" t="b">
        <v>1</v>
      </c>
      <c r="AS602" t="b">
        <v>1</v>
      </c>
      <c r="AT602" t="b">
        <v>1</v>
      </c>
      <c r="AU602" t="b">
        <v>1</v>
      </c>
      <c r="AV602" t="b">
        <v>1</v>
      </c>
      <c r="AW602" t="b">
        <v>1</v>
      </c>
      <c r="AX602" t="b">
        <v>1</v>
      </c>
      <c r="BA602" t="s">
        <v>440</v>
      </c>
    </row>
    <row r="603" spans="1:53" x14ac:dyDescent="0.25">
      <c r="A603" t="s">
        <v>386</v>
      </c>
      <c r="B603">
        <v>9</v>
      </c>
      <c r="C603">
        <v>26</v>
      </c>
      <c r="D603">
        <v>1</v>
      </c>
      <c r="E603">
        <v>48211090</v>
      </c>
      <c r="F603">
        <v>297274</v>
      </c>
      <c r="G603" t="s">
        <v>315</v>
      </c>
      <c r="H603" t="s">
        <v>60</v>
      </c>
      <c r="I603" t="s">
        <v>60</v>
      </c>
      <c r="J603" t="s">
        <v>60</v>
      </c>
      <c r="K603" t="s">
        <v>60</v>
      </c>
      <c r="L603" t="s">
        <v>12</v>
      </c>
      <c r="M603">
        <v>50</v>
      </c>
      <c r="P603">
        <v>40</v>
      </c>
      <c r="Q603" t="s">
        <v>80</v>
      </c>
      <c r="R603" t="s">
        <v>415</v>
      </c>
      <c r="S603" t="s">
        <v>363</v>
      </c>
      <c r="T603" t="s">
        <v>333</v>
      </c>
      <c r="V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Q603">
        <v>182379</v>
      </c>
      <c r="AR603" t="b">
        <v>1</v>
      </c>
      <c r="AS603" t="b">
        <v>1</v>
      </c>
      <c r="AT603" t="b">
        <v>1</v>
      </c>
      <c r="AU603" t="b">
        <v>1</v>
      </c>
      <c r="AV603" t="b">
        <v>1</v>
      </c>
      <c r="AW603" t="b">
        <v>1</v>
      </c>
      <c r="AX603" t="b">
        <v>1</v>
      </c>
      <c r="BA603" t="s">
        <v>440</v>
      </c>
    </row>
    <row r="604" spans="1:53" x14ac:dyDescent="0.25">
      <c r="A604" t="s">
        <v>386</v>
      </c>
      <c r="B604">
        <v>9</v>
      </c>
      <c r="C604">
        <v>27</v>
      </c>
      <c r="D604">
        <v>1</v>
      </c>
      <c r="E604">
        <v>48211090</v>
      </c>
      <c r="F604">
        <v>297275</v>
      </c>
      <c r="G604" t="s">
        <v>316</v>
      </c>
      <c r="H604" t="s">
        <v>60</v>
      </c>
      <c r="I604" t="s">
        <v>60</v>
      </c>
      <c r="J604" t="s">
        <v>60</v>
      </c>
      <c r="K604" t="s">
        <v>60</v>
      </c>
      <c r="L604" t="s">
        <v>12</v>
      </c>
      <c r="M604">
        <v>7.5</v>
      </c>
      <c r="P604">
        <v>40</v>
      </c>
      <c r="Q604" t="s">
        <v>80</v>
      </c>
      <c r="R604" t="s">
        <v>415</v>
      </c>
      <c r="S604" t="s">
        <v>363</v>
      </c>
      <c r="T604" t="s">
        <v>333</v>
      </c>
      <c r="V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Q604">
        <v>182379</v>
      </c>
      <c r="AR604" t="b">
        <v>1</v>
      </c>
      <c r="AS604" t="b">
        <v>1</v>
      </c>
      <c r="AT604" t="b">
        <v>1</v>
      </c>
      <c r="AU604" t="b">
        <v>1</v>
      </c>
      <c r="AV604" t="b">
        <v>1</v>
      </c>
      <c r="AW604" t="b">
        <v>1</v>
      </c>
      <c r="AX604" t="b">
        <v>1</v>
      </c>
      <c r="BA604" t="s">
        <v>440</v>
      </c>
    </row>
    <row r="605" spans="1:53" x14ac:dyDescent="0.25">
      <c r="A605" t="s">
        <v>386</v>
      </c>
      <c r="B605">
        <v>9</v>
      </c>
      <c r="C605">
        <v>28</v>
      </c>
      <c r="D605">
        <v>1</v>
      </c>
      <c r="E605">
        <v>48211090</v>
      </c>
      <c r="F605">
        <v>297276</v>
      </c>
      <c r="G605" t="s">
        <v>317</v>
      </c>
      <c r="H605" t="s">
        <v>60</v>
      </c>
      <c r="I605" t="s">
        <v>60</v>
      </c>
      <c r="J605" t="s">
        <v>60</v>
      </c>
      <c r="K605" t="s">
        <v>60</v>
      </c>
      <c r="L605" t="s">
        <v>12</v>
      </c>
      <c r="M605">
        <v>17.5</v>
      </c>
      <c r="P605">
        <v>40</v>
      </c>
      <c r="Q605" t="s">
        <v>80</v>
      </c>
      <c r="R605" t="s">
        <v>415</v>
      </c>
      <c r="S605" t="s">
        <v>363</v>
      </c>
      <c r="T605" t="s">
        <v>333</v>
      </c>
      <c r="V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Q605">
        <v>182379</v>
      </c>
      <c r="AR605" t="b">
        <v>1</v>
      </c>
      <c r="AS605" t="b">
        <v>1</v>
      </c>
      <c r="AT605" t="b">
        <v>1</v>
      </c>
      <c r="AU605" t="b">
        <v>1</v>
      </c>
      <c r="AV605" t="b">
        <v>1</v>
      </c>
      <c r="AW605" t="b">
        <v>1</v>
      </c>
      <c r="AX605" t="b">
        <v>1</v>
      </c>
      <c r="BA605" t="s">
        <v>440</v>
      </c>
    </row>
    <row r="606" spans="1:53" x14ac:dyDescent="0.25">
      <c r="A606" t="s">
        <v>386</v>
      </c>
      <c r="B606">
        <v>9</v>
      </c>
      <c r="C606">
        <v>29</v>
      </c>
      <c r="D606">
        <v>1</v>
      </c>
      <c r="E606">
        <v>48211090</v>
      </c>
      <c r="F606">
        <v>297277</v>
      </c>
      <c r="G606" t="s">
        <v>318</v>
      </c>
      <c r="H606" t="s">
        <v>60</v>
      </c>
      <c r="I606" t="s">
        <v>60</v>
      </c>
      <c r="J606" t="s">
        <v>60</v>
      </c>
      <c r="K606" t="s">
        <v>60</v>
      </c>
      <c r="L606" t="s">
        <v>12</v>
      </c>
      <c r="M606">
        <v>12.5</v>
      </c>
      <c r="P606">
        <v>40</v>
      </c>
      <c r="Q606" t="s">
        <v>80</v>
      </c>
      <c r="R606" t="s">
        <v>415</v>
      </c>
      <c r="S606" t="s">
        <v>363</v>
      </c>
      <c r="T606" t="s">
        <v>333</v>
      </c>
      <c r="V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Q606">
        <v>182379</v>
      </c>
      <c r="AR606" t="b">
        <v>1</v>
      </c>
      <c r="AS606" t="b">
        <v>1</v>
      </c>
      <c r="AT606" t="b">
        <v>1</v>
      </c>
      <c r="AU606" t="b">
        <v>1</v>
      </c>
      <c r="AV606" t="b">
        <v>1</v>
      </c>
      <c r="AW606" t="b">
        <v>1</v>
      </c>
      <c r="AX606" t="b">
        <v>1</v>
      </c>
      <c r="BA606" t="s">
        <v>440</v>
      </c>
    </row>
    <row r="607" spans="1:53" x14ac:dyDescent="0.25">
      <c r="A607" t="s">
        <v>386</v>
      </c>
      <c r="B607">
        <v>9</v>
      </c>
      <c r="C607">
        <v>30</v>
      </c>
      <c r="D607">
        <v>1</v>
      </c>
      <c r="E607">
        <v>48211090</v>
      </c>
      <c r="F607">
        <v>297278</v>
      </c>
      <c r="G607" t="s">
        <v>319</v>
      </c>
      <c r="H607" t="s">
        <v>60</v>
      </c>
      <c r="I607" t="s">
        <v>60</v>
      </c>
      <c r="J607" t="s">
        <v>60</v>
      </c>
      <c r="K607" t="s">
        <v>60</v>
      </c>
      <c r="L607" t="s">
        <v>12</v>
      </c>
      <c r="M607">
        <v>12.5</v>
      </c>
      <c r="P607">
        <v>40</v>
      </c>
      <c r="Q607" t="s">
        <v>80</v>
      </c>
      <c r="R607" t="s">
        <v>415</v>
      </c>
      <c r="S607" t="s">
        <v>363</v>
      </c>
      <c r="T607" t="s">
        <v>333</v>
      </c>
      <c r="V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Q607">
        <v>182379</v>
      </c>
      <c r="AR607" t="b">
        <v>1</v>
      </c>
      <c r="AS607" t="b">
        <v>1</v>
      </c>
      <c r="AT607" t="b">
        <v>1</v>
      </c>
      <c r="AU607" t="b">
        <v>1</v>
      </c>
      <c r="AV607" t="b">
        <v>1</v>
      </c>
      <c r="AW607" t="b">
        <v>1</v>
      </c>
      <c r="AX607" t="b">
        <v>1</v>
      </c>
      <c r="BA607" t="s">
        <v>440</v>
      </c>
    </row>
    <row r="608" spans="1:53" x14ac:dyDescent="0.25">
      <c r="A608" t="s">
        <v>386</v>
      </c>
      <c r="B608">
        <v>9</v>
      </c>
      <c r="C608">
        <v>31</v>
      </c>
      <c r="D608">
        <v>1</v>
      </c>
      <c r="E608">
        <v>52081900</v>
      </c>
      <c r="F608">
        <v>274799</v>
      </c>
      <c r="G608" t="s">
        <v>311</v>
      </c>
      <c r="H608" t="s">
        <v>60</v>
      </c>
      <c r="I608" t="s">
        <v>60</v>
      </c>
      <c r="J608" t="s">
        <v>60</v>
      </c>
      <c r="K608" t="s">
        <v>60</v>
      </c>
      <c r="L608" t="s">
        <v>27</v>
      </c>
      <c r="M608">
        <v>0.9375</v>
      </c>
      <c r="P608">
        <v>40</v>
      </c>
      <c r="Q608" t="s">
        <v>80</v>
      </c>
      <c r="R608" t="s">
        <v>409</v>
      </c>
      <c r="S608" t="s">
        <v>358</v>
      </c>
      <c r="T608" t="s">
        <v>327</v>
      </c>
      <c r="V608">
        <v>0</v>
      </c>
      <c r="Y608">
        <v>0</v>
      </c>
      <c r="Z608">
        <v>0</v>
      </c>
      <c r="AA608">
        <v>0</v>
      </c>
      <c r="AB608">
        <v>899703.6</v>
      </c>
      <c r="AC608">
        <v>0</v>
      </c>
      <c r="AD608">
        <v>0</v>
      </c>
      <c r="AE608">
        <v>0</v>
      </c>
      <c r="AQ608">
        <v>182379</v>
      </c>
      <c r="AR608" t="b">
        <v>1</v>
      </c>
      <c r="AS608" t="b">
        <v>1</v>
      </c>
      <c r="AT608" t="b">
        <v>1</v>
      </c>
      <c r="AU608" t="b">
        <v>1</v>
      </c>
      <c r="AV608" t="b">
        <v>1</v>
      </c>
      <c r="AW608" t="b">
        <v>1</v>
      </c>
      <c r="AX608" t="b">
        <v>1</v>
      </c>
      <c r="BA608" t="s">
        <v>440</v>
      </c>
    </row>
    <row r="609" spans="1:53" x14ac:dyDescent="0.25">
      <c r="A609" t="s">
        <v>386</v>
      </c>
      <c r="B609">
        <v>9</v>
      </c>
      <c r="C609">
        <v>32</v>
      </c>
      <c r="D609">
        <v>1</v>
      </c>
      <c r="E609">
        <v>52081900</v>
      </c>
      <c r="F609">
        <v>275340</v>
      </c>
      <c r="G609" t="s">
        <v>312</v>
      </c>
      <c r="H609" t="s">
        <v>60</v>
      </c>
      <c r="I609" t="s">
        <v>60</v>
      </c>
      <c r="J609" t="s">
        <v>60</v>
      </c>
      <c r="K609" t="s">
        <v>60</v>
      </c>
      <c r="L609" t="s">
        <v>27</v>
      </c>
      <c r="M609">
        <v>0.9375</v>
      </c>
      <c r="P609">
        <v>40</v>
      </c>
      <c r="Q609" t="s">
        <v>80</v>
      </c>
      <c r="R609" t="s">
        <v>429</v>
      </c>
      <c r="S609" t="s">
        <v>376</v>
      </c>
      <c r="T609" t="s">
        <v>347</v>
      </c>
      <c r="V609">
        <v>0</v>
      </c>
      <c r="Y609">
        <v>0</v>
      </c>
      <c r="Z609">
        <v>0</v>
      </c>
      <c r="AA609">
        <v>0</v>
      </c>
      <c r="AB609">
        <v>899703.6</v>
      </c>
      <c r="AC609">
        <v>0</v>
      </c>
      <c r="AD609">
        <v>0</v>
      </c>
      <c r="AE609">
        <v>0</v>
      </c>
      <c r="AQ609">
        <v>182379</v>
      </c>
      <c r="AR609" t="b">
        <v>1</v>
      </c>
      <c r="AS609" t="b">
        <v>1</v>
      </c>
      <c r="AT609" t="b">
        <v>1</v>
      </c>
      <c r="AU609" t="b">
        <v>1</v>
      </c>
      <c r="AV609" t="b">
        <v>1</v>
      </c>
      <c r="AW609" t="b">
        <v>1</v>
      </c>
      <c r="AX609" t="b">
        <v>1</v>
      </c>
      <c r="BA609" t="s">
        <v>440</v>
      </c>
    </row>
    <row r="610" spans="1:53" x14ac:dyDescent="0.25">
      <c r="A610" t="s">
        <v>386</v>
      </c>
      <c r="B610">
        <v>9</v>
      </c>
      <c r="C610">
        <v>33</v>
      </c>
      <c r="D610">
        <v>1</v>
      </c>
      <c r="E610">
        <v>56039200</v>
      </c>
      <c r="F610">
        <v>267890</v>
      </c>
      <c r="G610" t="s">
        <v>323</v>
      </c>
      <c r="H610" t="s">
        <v>60</v>
      </c>
      <c r="I610" t="s">
        <v>60</v>
      </c>
      <c r="J610" t="s">
        <v>60</v>
      </c>
      <c r="K610" t="s">
        <v>60</v>
      </c>
      <c r="L610" t="s">
        <v>11</v>
      </c>
      <c r="M610">
        <v>1.1499999999999999</v>
      </c>
      <c r="P610">
        <v>40</v>
      </c>
      <c r="Q610" t="s">
        <v>80</v>
      </c>
      <c r="R610" t="s">
        <v>430</v>
      </c>
      <c r="S610" t="s">
        <v>377</v>
      </c>
      <c r="T610" t="s">
        <v>348</v>
      </c>
      <c r="V610">
        <v>0</v>
      </c>
      <c r="Y610">
        <v>0</v>
      </c>
      <c r="Z610">
        <v>0</v>
      </c>
      <c r="AA610">
        <v>0</v>
      </c>
      <c r="AB610">
        <v>27197.13</v>
      </c>
      <c r="AC610">
        <v>0</v>
      </c>
      <c r="AD610">
        <v>0</v>
      </c>
      <c r="AE610">
        <v>0</v>
      </c>
      <c r="AQ610">
        <v>182379</v>
      </c>
      <c r="AR610" t="b">
        <v>1</v>
      </c>
      <c r="AS610" t="b">
        <v>1</v>
      </c>
      <c r="AT610" t="b">
        <v>1</v>
      </c>
      <c r="AU610" t="b">
        <v>1</v>
      </c>
      <c r="AV610" t="b">
        <v>1</v>
      </c>
      <c r="AW610" t="b">
        <v>1</v>
      </c>
      <c r="AX610" t="b">
        <v>1</v>
      </c>
      <c r="BA610" t="s">
        <v>440</v>
      </c>
    </row>
    <row r="611" spans="1:53" x14ac:dyDescent="0.25">
      <c r="A611" t="s">
        <v>386</v>
      </c>
      <c r="B611">
        <v>9</v>
      </c>
      <c r="C611">
        <v>34</v>
      </c>
      <c r="D611">
        <v>1</v>
      </c>
      <c r="E611">
        <v>96062100</v>
      </c>
      <c r="F611">
        <v>270819</v>
      </c>
      <c r="G611" t="s">
        <v>324</v>
      </c>
      <c r="H611" t="s">
        <v>60</v>
      </c>
      <c r="I611" t="s">
        <v>60</v>
      </c>
      <c r="J611" t="s">
        <v>60</v>
      </c>
      <c r="K611" t="s">
        <v>60</v>
      </c>
      <c r="L611" t="s">
        <v>12</v>
      </c>
      <c r="M611">
        <v>75</v>
      </c>
      <c r="P611">
        <v>40</v>
      </c>
      <c r="Q611" t="s">
        <v>80</v>
      </c>
      <c r="R611" t="s">
        <v>431</v>
      </c>
      <c r="S611" t="s">
        <v>378</v>
      </c>
      <c r="T611" t="s">
        <v>349</v>
      </c>
      <c r="V611">
        <v>0</v>
      </c>
      <c r="Y611">
        <v>0</v>
      </c>
      <c r="Z611">
        <v>0</v>
      </c>
      <c r="AA611">
        <v>0</v>
      </c>
      <c r="AB611">
        <v>57000</v>
      </c>
      <c r="AC611">
        <v>0</v>
      </c>
      <c r="AD611">
        <v>0</v>
      </c>
      <c r="AE611">
        <v>0</v>
      </c>
      <c r="AQ611">
        <v>182379</v>
      </c>
      <c r="AR611" t="b">
        <v>1</v>
      </c>
      <c r="AS611" t="b">
        <v>1</v>
      </c>
      <c r="AT611" t="b">
        <v>1</v>
      </c>
      <c r="AU611" t="b">
        <v>1</v>
      </c>
      <c r="AV611" t="b">
        <v>1</v>
      </c>
      <c r="AW611" t="b">
        <v>1</v>
      </c>
      <c r="AX611" t="b">
        <v>1</v>
      </c>
      <c r="BA611" t="s">
        <v>440</v>
      </c>
    </row>
    <row r="612" spans="1:53" x14ac:dyDescent="0.25">
      <c r="A612" t="s">
        <v>386</v>
      </c>
      <c r="B612">
        <v>9</v>
      </c>
      <c r="C612">
        <v>35</v>
      </c>
      <c r="D612">
        <v>1</v>
      </c>
      <c r="E612">
        <v>39191020</v>
      </c>
      <c r="F612">
        <v>273158</v>
      </c>
      <c r="G612" t="s">
        <v>325</v>
      </c>
      <c r="H612" t="s">
        <v>60</v>
      </c>
      <c r="I612" t="s">
        <v>60</v>
      </c>
      <c r="J612" t="s">
        <v>60</v>
      </c>
      <c r="K612" t="s">
        <v>60</v>
      </c>
      <c r="L612" t="s">
        <v>27</v>
      </c>
      <c r="M612">
        <v>5.3949999999999996</v>
      </c>
      <c r="P612">
        <v>40</v>
      </c>
      <c r="Q612" t="s">
        <v>80</v>
      </c>
      <c r="R612" t="s">
        <v>434</v>
      </c>
      <c r="S612" t="s">
        <v>381</v>
      </c>
      <c r="T612" t="s">
        <v>352</v>
      </c>
      <c r="V612">
        <v>0</v>
      </c>
      <c r="Y612">
        <v>0</v>
      </c>
      <c r="Z612">
        <v>0</v>
      </c>
      <c r="AA612">
        <v>0</v>
      </c>
      <c r="AB612">
        <v>6474000</v>
      </c>
      <c r="AC612">
        <v>0</v>
      </c>
      <c r="AD612">
        <v>0</v>
      </c>
      <c r="AE612">
        <v>0</v>
      </c>
      <c r="AQ612">
        <v>182379</v>
      </c>
      <c r="AR612" t="b">
        <v>1</v>
      </c>
      <c r="AS612" t="b">
        <v>1</v>
      </c>
      <c r="AT612" t="b">
        <v>1</v>
      </c>
      <c r="AU612" t="b">
        <v>1</v>
      </c>
      <c r="AV612" t="b">
        <v>1</v>
      </c>
      <c r="AW612" t="b">
        <v>1</v>
      </c>
      <c r="AX612" t="b">
        <v>1</v>
      </c>
      <c r="BA612" t="s">
        <v>440</v>
      </c>
    </row>
    <row r="613" spans="1:53" x14ac:dyDescent="0.25">
      <c r="A613" t="s">
        <v>386</v>
      </c>
      <c r="B613">
        <v>9</v>
      </c>
      <c r="C613">
        <v>36</v>
      </c>
      <c r="D613">
        <v>1</v>
      </c>
      <c r="E613">
        <v>48211090</v>
      </c>
      <c r="F613">
        <v>297274</v>
      </c>
      <c r="G613" t="s">
        <v>315</v>
      </c>
      <c r="H613" t="s">
        <v>60</v>
      </c>
      <c r="I613" t="s">
        <v>60</v>
      </c>
      <c r="J613" t="s">
        <v>60</v>
      </c>
      <c r="K613" t="s">
        <v>60</v>
      </c>
      <c r="L613" t="s">
        <v>12</v>
      </c>
      <c r="M613">
        <v>25</v>
      </c>
      <c r="P613">
        <v>40</v>
      </c>
      <c r="Q613" t="s">
        <v>80</v>
      </c>
      <c r="R613" t="s">
        <v>415</v>
      </c>
      <c r="S613" t="s">
        <v>363</v>
      </c>
      <c r="T613" t="s">
        <v>333</v>
      </c>
      <c r="V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Q613">
        <v>182379</v>
      </c>
      <c r="AR613" t="b">
        <v>1</v>
      </c>
      <c r="AS613" t="b">
        <v>1</v>
      </c>
      <c r="AT613" t="b">
        <v>1</v>
      </c>
      <c r="AU613" t="b">
        <v>1</v>
      </c>
      <c r="AV613" t="b">
        <v>1</v>
      </c>
      <c r="AW613" t="b">
        <v>1</v>
      </c>
      <c r="AX613" t="b">
        <v>1</v>
      </c>
      <c r="BA613" t="s">
        <v>440</v>
      </c>
    </row>
    <row r="614" spans="1:53" x14ac:dyDescent="0.25">
      <c r="A614" t="s">
        <v>386</v>
      </c>
      <c r="B614">
        <v>9</v>
      </c>
      <c r="C614">
        <v>37</v>
      </c>
      <c r="D614">
        <v>1</v>
      </c>
      <c r="E614">
        <v>48211090</v>
      </c>
      <c r="F614">
        <v>297275</v>
      </c>
      <c r="G614" t="s">
        <v>316</v>
      </c>
      <c r="H614" t="s">
        <v>60</v>
      </c>
      <c r="I614" t="s">
        <v>60</v>
      </c>
      <c r="J614" t="s">
        <v>60</v>
      </c>
      <c r="K614" t="s">
        <v>60</v>
      </c>
      <c r="L614" t="s">
        <v>12</v>
      </c>
      <c r="M614">
        <v>3.75</v>
      </c>
      <c r="P614">
        <v>40</v>
      </c>
      <c r="Q614" t="s">
        <v>80</v>
      </c>
      <c r="R614" t="s">
        <v>415</v>
      </c>
      <c r="S614" t="s">
        <v>363</v>
      </c>
      <c r="T614" t="s">
        <v>333</v>
      </c>
      <c r="V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Q614">
        <v>182379</v>
      </c>
      <c r="AR614" t="b">
        <v>1</v>
      </c>
      <c r="AS614" t="b">
        <v>1</v>
      </c>
      <c r="AT614" t="b">
        <v>1</v>
      </c>
      <c r="AU614" t="b">
        <v>1</v>
      </c>
      <c r="AV614" t="b">
        <v>1</v>
      </c>
      <c r="AW614" t="b">
        <v>1</v>
      </c>
      <c r="AX614" t="b">
        <v>1</v>
      </c>
      <c r="BA614" t="s">
        <v>440</v>
      </c>
    </row>
    <row r="615" spans="1:53" x14ac:dyDescent="0.25">
      <c r="A615" t="s">
        <v>386</v>
      </c>
      <c r="B615">
        <v>9</v>
      </c>
      <c r="C615">
        <v>38</v>
      </c>
      <c r="D615">
        <v>1</v>
      </c>
      <c r="E615">
        <v>48211090</v>
      </c>
      <c r="F615">
        <v>297276</v>
      </c>
      <c r="G615" t="s">
        <v>317</v>
      </c>
      <c r="H615" t="s">
        <v>60</v>
      </c>
      <c r="I615" t="s">
        <v>60</v>
      </c>
      <c r="J615" t="s">
        <v>60</v>
      </c>
      <c r="K615" t="s">
        <v>60</v>
      </c>
      <c r="L615" t="s">
        <v>12</v>
      </c>
      <c r="M615">
        <v>8.75</v>
      </c>
      <c r="P615">
        <v>40</v>
      </c>
      <c r="Q615" t="s">
        <v>80</v>
      </c>
      <c r="R615" t="s">
        <v>415</v>
      </c>
      <c r="S615" t="s">
        <v>363</v>
      </c>
      <c r="T615" t="s">
        <v>333</v>
      </c>
      <c r="V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Q615">
        <v>182379</v>
      </c>
      <c r="AR615" t="b">
        <v>1</v>
      </c>
      <c r="AS615" t="b">
        <v>1</v>
      </c>
      <c r="AT615" t="b">
        <v>1</v>
      </c>
      <c r="AU615" t="b">
        <v>1</v>
      </c>
      <c r="AV615" t="b">
        <v>1</v>
      </c>
      <c r="AW615" t="b">
        <v>1</v>
      </c>
      <c r="AX615" t="b">
        <v>1</v>
      </c>
      <c r="BA615" t="s">
        <v>440</v>
      </c>
    </row>
    <row r="616" spans="1:53" x14ac:dyDescent="0.25">
      <c r="A616" t="s">
        <v>386</v>
      </c>
      <c r="B616">
        <v>9</v>
      </c>
      <c r="C616">
        <v>39</v>
      </c>
      <c r="D616">
        <v>1</v>
      </c>
      <c r="E616">
        <v>48211090</v>
      </c>
      <c r="F616">
        <v>297277</v>
      </c>
      <c r="G616" t="s">
        <v>318</v>
      </c>
      <c r="H616" t="s">
        <v>60</v>
      </c>
      <c r="I616" t="s">
        <v>60</v>
      </c>
      <c r="J616" t="s">
        <v>60</v>
      </c>
      <c r="K616" t="s">
        <v>60</v>
      </c>
      <c r="L616" t="s">
        <v>12</v>
      </c>
      <c r="M616">
        <v>6.25</v>
      </c>
      <c r="P616">
        <v>40</v>
      </c>
      <c r="Q616" t="s">
        <v>80</v>
      </c>
      <c r="R616" t="s">
        <v>415</v>
      </c>
      <c r="S616" t="s">
        <v>363</v>
      </c>
      <c r="T616" t="s">
        <v>333</v>
      </c>
      <c r="V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Q616">
        <v>182379</v>
      </c>
      <c r="AR616" t="b">
        <v>1</v>
      </c>
      <c r="AS616" t="b">
        <v>1</v>
      </c>
      <c r="AT616" t="b">
        <v>1</v>
      </c>
      <c r="AU616" t="b">
        <v>1</v>
      </c>
      <c r="AV616" t="b">
        <v>1</v>
      </c>
      <c r="AW616" t="b">
        <v>1</v>
      </c>
      <c r="AX616" t="b">
        <v>1</v>
      </c>
      <c r="BA616" t="s">
        <v>440</v>
      </c>
    </row>
    <row r="617" spans="1:53" x14ac:dyDescent="0.25">
      <c r="A617" t="s">
        <v>386</v>
      </c>
      <c r="B617">
        <v>9</v>
      </c>
      <c r="C617">
        <v>40</v>
      </c>
      <c r="D617">
        <v>1</v>
      </c>
      <c r="E617">
        <v>48211090</v>
      </c>
      <c r="F617">
        <v>297278</v>
      </c>
      <c r="G617" t="s">
        <v>319</v>
      </c>
      <c r="H617" t="s">
        <v>60</v>
      </c>
      <c r="I617" t="s">
        <v>60</v>
      </c>
      <c r="J617" t="s">
        <v>60</v>
      </c>
      <c r="K617" t="s">
        <v>60</v>
      </c>
      <c r="L617" t="s">
        <v>12</v>
      </c>
      <c r="M617">
        <v>6.25</v>
      </c>
      <c r="P617">
        <v>40</v>
      </c>
      <c r="Q617" t="s">
        <v>80</v>
      </c>
      <c r="R617" t="s">
        <v>415</v>
      </c>
      <c r="S617" t="s">
        <v>363</v>
      </c>
      <c r="T617" t="s">
        <v>333</v>
      </c>
      <c r="V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Q617">
        <v>182379</v>
      </c>
      <c r="AR617" t="b">
        <v>1</v>
      </c>
      <c r="AS617" t="b">
        <v>1</v>
      </c>
      <c r="AT617" t="b">
        <v>1</v>
      </c>
      <c r="AU617" t="b">
        <v>1</v>
      </c>
      <c r="AV617" t="b">
        <v>1</v>
      </c>
      <c r="AW617" t="b">
        <v>1</v>
      </c>
      <c r="AX617" t="b">
        <v>1</v>
      </c>
      <c r="BA617" t="s">
        <v>440</v>
      </c>
    </row>
    <row r="618" spans="1:53" x14ac:dyDescent="0.25">
      <c r="A618" t="s">
        <v>386</v>
      </c>
      <c r="B618">
        <v>11</v>
      </c>
      <c r="C618">
        <v>1</v>
      </c>
      <c r="D618">
        <v>1</v>
      </c>
      <c r="E618">
        <v>52081900</v>
      </c>
      <c r="F618">
        <v>274799</v>
      </c>
      <c r="G618" t="s">
        <v>311</v>
      </c>
      <c r="H618" t="s">
        <v>60</v>
      </c>
      <c r="I618" t="s">
        <v>60</v>
      </c>
      <c r="J618" t="s">
        <v>60</v>
      </c>
      <c r="K618" t="s">
        <v>60</v>
      </c>
      <c r="L618" t="s">
        <v>27</v>
      </c>
      <c r="M618">
        <v>9.6</v>
      </c>
      <c r="P618">
        <v>40</v>
      </c>
      <c r="Q618" t="s">
        <v>80</v>
      </c>
      <c r="R618" t="s">
        <v>409</v>
      </c>
      <c r="S618" t="s">
        <v>358</v>
      </c>
      <c r="T618" t="s">
        <v>327</v>
      </c>
      <c r="V618">
        <v>0</v>
      </c>
      <c r="Y618">
        <v>0</v>
      </c>
      <c r="Z618">
        <v>0</v>
      </c>
      <c r="AA618">
        <v>0</v>
      </c>
      <c r="AB618">
        <v>2303241.2200000002</v>
      </c>
      <c r="AC618">
        <v>0</v>
      </c>
      <c r="AD618">
        <v>0</v>
      </c>
      <c r="AE618">
        <v>0</v>
      </c>
      <c r="AQ618">
        <v>182380</v>
      </c>
      <c r="AR618" t="b">
        <v>1</v>
      </c>
      <c r="AS618" t="b">
        <v>1</v>
      </c>
      <c r="AT618" t="b">
        <v>1</v>
      </c>
      <c r="AU618" t="b">
        <v>1</v>
      </c>
      <c r="AV618" t="b">
        <v>1</v>
      </c>
      <c r="AW618" t="b">
        <v>1</v>
      </c>
      <c r="AX618" t="b">
        <v>1</v>
      </c>
      <c r="BA618" t="s">
        <v>441</v>
      </c>
    </row>
    <row r="619" spans="1:53" x14ac:dyDescent="0.25">
      <c r="A619" t="s">
        <v>386</v>
      </c>
      <c r="B619">
        <v>11</v>
      </c>
      <c r="C619">
        <v>2</v>
      </c>
      <c r="D619">
        <v>1</v>
      </c>
      <c r="E619">
        <v>52081900</v>
      </c>
      <c r="F619">
        <v>275340</v>
      </c>
      <c r="G619" t="s">
        <v>312</v>
      </c>
      <c r="H619" t="s">
        <v>60</v>
      </c>
      <c r="I619" t="s">
        <v>60</v>
      </c>
      <c r="J619" t="s">
        <v>60</v>
      </c>
      <c r="K619" t="s">
        <v>60</v>
      </c>
      <c r="L619" t="s">
        <v>27</v>
      </c>
      <c r="M619">
        <v>9.6</v>
      </c>
      <c r="P619">
        <v>40</v>
      </c>
      <c r="Q619" t="s">
        <v>80</v>
      </c>
      <c r="R619" t="s">
        <v>435</v>
      </c>
      <c r="S619" t="s">
        <v>382</v>
      </c>
      <c r="T619" t="s">
        <v>353</v>
      </c>
      <c r="V619">
        <v>0</v>
      </c>
      <c r="Y619">
        <v>0</v>
      </c>
      <c r="Z619">
        <v>0</v>
      </c>
      <c r="AA619">
        <v>0</v>
      </c>
      <c r="AB619">
        <v>2303241.2200000002</v>
      </c>
      <c r="AC619">
        <v>0</v>
      </c>
      <c r="AD619">
        <v>0</v>
      </c>
      <c r="AE619">
        <v>0</v>
      </c>
      <c r="AQ619">
        <v>182380</v>
      </c>
      <c r="AR619" t="b">
        <v>1</v>
      </c>
      <c r="AS619" t="b">
        <v>1</v>
      </c>
      <c r="AT619" t="b">
        <v>1</v>
      </c>
      <c r="AU619" t="b">
        <v>1</v>
      </c>
      <c r="AV619" t="b">
        <v>1</v>
      </c>
      <c r="AW619" t="b">
        <v>1</v>
      </c>
      <c r="AX619" t="b">
        <v>1</v>
      </c>
      <c r="BA619" t="s">
        <v>441</v>
      </c>
    </row>
    <row r="620" spans="1:53" x14ac:dyDescent="0.25">
      <c r="A620" t="s">
        <v>386</v>
      </c>
      <c r="B620">
        <v>11</v>
      </c>
      <c r="C620">
        <v>3</v>
      </c>
      <c r="D620">
        <v>1</v>
      </c>
      <c r="E620">
        <v>56039200</v>
      </c>
      <c r="F620">
        <v>267890</v>
      </c>
      <c r="G620" t="s">
        <v>323</v>
      </c>
      <c r="H620" t="s">
        <v>60</v>
      </c>
      <c r="I620" t="s">
        <v>60</v>
      </c>
      <c r="J620" t="s">
        <v>60</v>
      </c>
      <c r="K620" t="s">
        <v>60</v>
      </c>
      <c r="L620" t="s">
        <v>11</v>
      </c>
      <c r="M620">
        <v>4</v>
      </c>
      <c r="P620">
        <v>40</v>
      </c>
      <c r="Q620" t="s">
        <v>80</v>
      </c>
      <c r="R620" t="s">
        <v>430</v>
      </c>
      <c r="S620" t="s">
        <v>377</v>
      </c>
      <c r="T620" t="s">
        <v>348</v>
      </c>
      <c r="V620">
        <v>0</v>
      </c>
      <c r="Y620">
        <v>0</v>
      </c>
      <c r="Z620">
        <v>0</v>
      </c>
      <c r="AA620">
        <v>0</v>
      </c>
      <c r="AB620">
        <v>23649.68</v>
      </c>
      <c r="AC620">
        <v>0</v>
      </c>
      <c r="AD620">
        <v>0</v>
      </c>
      <c r="AE620">
        <v>0</v>
      </c>
      <c r="AQ620">
        <v>182380</v>
      </c>
      <c r="AR620" t="b">
        <v>1</v>
      </c>
      <c r="AS620" t="b">
        <v>1</v>
      </c>
      <c r="AT620" t="b">
        <v>1</v>
      </c>
      <c r="AU620" t="b">
        <v>1</v>
      </c>
      <c r="AV620" t="b">
        <v>1</v>
      </c>
      <c r="AW620" t="b">
        <v>1</v>
      </c>
      <c r="AX620" t="b">
        <v>1</v>
      </c>
      <c r="BA620" t="s">
        <v>441</v>
      </c>
    </row>
    <row r="621" spans="1:53" x14ac:dyDescent="0.25">
      <c r="A621" t="s">
        <v>386</v>
      </c>
      <c r="B621">
        <v>11</v>
      </c>
      <c r="C621">
        <v>4</v>
      </c>
      <c r="D621">
        <v>1</v>
      </c>
      <c r="E621">
        <v>39191020</v>
      </c>
      <c r="F621">
        <v>273158</v>
      </c>
      <c r="G621" t="s">
        <v>325</v>
      </c>
      <c r="H621" t="s">
        <v>60</v>
      </c>
      <c r="I621" t="s">
        <v>60</v>
      </c>
      <c r="J621" t="s">
        <v>60</v>
      </c>
      <c r="K621" t="s">
        <v>60</v>
      </c>
      <c r="L621" t="s">
        <v>27</v>
      </c>
      <c r="M621">
        <v>43.16</v>
      </c>
      <c r="P621">
        <v>40</v>
      </c>
      <c r="Q621" t="s">
        <v>80</v>
      </c>
      <c r="R621" t="s">
        <v>436</v>
      </c>
      <c r="S621" t="s">
        <v>383</v>
      </c>
      <c r="T621" t="s">
        <v>354</v>
      </c>
      <c r="V621">
        <v>0</v>
      </c>
      <c r="Y621">
        <v>0</v>
      </c>
      <c r="Z621">
        <v>0</v>
      </c>
      <c r="AA621">
        <v>0</v>
      </c>
      <c r="AB621">
        <v>12948000</v>
      </c>
      <c r="AC621">
        <v>0</v>
      </c>
      <c r="AD621">
        <v>0</v>
      </c>
      <c r="AE621">
        <v>0</v>
      </c>
      <c r="AQ621">
        <v>182380</v>
      </c>
      <c r="AR621" t="b">
        <v>1</v>
      </c>
      <c r="AS621" t="b">
        <v>1</v>
      </c>
      <c r="AT621" t="b">
        <v>1</v>
      </c>
      <c r="AU621" t="b">
        <v>1</v>
      </c>
      <c r="AV621" t="b">
        <v>1</v>
      </c>
      <c r="AW621" t="b">
        <v>1</v>
      </c>
      <c r="AX621" t="b">
        <v>1</v>
      </c>
      <c r="BA621" t="s">
        <v>441</v>
      </c>
    </row>
    <row r="622" spans="1:53" x14ac:dyDescent="0.25">
      <c r="A622" t="s">
        <v>386</v>
      </c>
      <c r="B622">
        <v>11</v>
      </c>
      <c r="C622">
        <v>5</v>
      </c>
      <c r="D622">
        <v>1</v>
      </c>
      <c r="E622">
        <v>48211090</v>
      </c>
      <c r="F622">
        <v>297274</v>
      </c>
      <c r="G622" t="s">
        <v>315</v>
      </c>
      <c r="H622" t="s">
        <v>60</v>
      </c>
      <c r="I622" t="s">
        <v>60</v>
      </c>
      <c r="J622" t="s">
        <v>60</v>
      </c>
      <c r="K622" t="s">
        <v>60</v>
      </c>
      <c r="L622" t="s">
        <v>12</v>
      </c>
      <c r="M622">
        <v>200</v>
      </c>
      <c r="P622">
        <v>40</v>
      </c>
      <c r="Q622" t="s">
        <v>80</v>
      </c>
      <c r="R622" t="s">
        <v>415</v>
      </c>
      <c r="S622" t="s">
        <v>363</v>
      </c>
      <c r="T622" t="s">
        <v>333</v>
      </c>
      <c r="V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Q622">
        <v>182380</v>
      </c>
      <c r="AR622" t="b">
        <v>1</v>
      </c>
      <c r="AS622" t="b">
        <v>1</v>
      </c>
      <c r="AT622" t="b">
        <v>1</v>
      </c>
      <c r="AU622" t="b">
        <v>1</v>
      </c>
      <c r="AV622" t="b">
        <v>1</v>
      </c>
      <c r="AW622" t="b">
        <v>1</v>
      </c>
      <c r="AX622" t="b">
        <v>1</v>
      </c>
      <c r="BA622" t="s">
        <v>441</v>
      </c>
    </row>
    <row r="623" spans="1:53" x14ac:dyDescent="0.25">
      <c r="A623" t="s">
        <v>386</v>
      </c>
      <c r="B623">
        <v>11</v>
      </c>
      <c r="C623">
        <v>6</v>
      </c>
      <c r="D623">
        <v>1</v>
      </c>
      <c r="E623">
        <v>48211090</v>
      </c>
      <c r="F623">
        <v>297275</v>
      </c>
      <c r="G623" t="s">
        <v>316</v>
      </c>
      <c r="H623" t="s">
        <v>60</v>
      </c>
      <c r="I623" t="s">
        <v>60</v>
      </c>
      <c r="J623" t="s">
        <v>60</v>
      </c>
      <c r="K623" t="s">
        <v>60</v>
      </c>
      <c r="L623" t="s">
        <v>12</v>
      </c>
      <c r="M623">
        <v>30</v>
      </c>
      <c r="P623">
        <v>40</v>
      </c>
      <c r="Q623" t="s">
        <v>80</v>
      </c>
      <c r="R623" t="s">
        <v>415</v>
      </c>
      <c r="S623" t="s">
        <v>363</v>
      </c>
      <c r="T623" t="s">
        <v>333</v>
      </c>
      <c r="V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Q623">
        <v>182380</v>
      </c>
      <c r="AR623" t="b">
        <v>1</v>
      </c>
      <c r="AS623" t="b">
        <v>1</v>
      </c>
      <c r="AT623" t="b">
        <v>1</v>
      </c>
      <c r="AU623" t="b">
        <v>1</v>
      </c>
      <c r="AV623" t="b">
        <v>1</v>
      </c>
      <c r="AW623" t="b">
        <v>1</v>
      </c>
      <c r="AX623" t="b">
        <v>1</v>
      </c>
      <c r="BA623" t="s">
        <v>441</v>
      </c>
    </row>
    <row r="624" spans="1:53" x14ac:dyDescent="0.25">
      <c r="A624" t="s">
        <v>386</v>
      </c>
      <c r="B624">
        <v>11</v>
      </c>
      <c r="C624">
        <v>7</v>
      </c>
      <c r="D624">
        <v>1</v>
      </c>
      <c r="E624">
        <v>48211090</v>
      </c>
      <c r="F624">
        <v>297276</v>
      </c>
      <c r="G624" t="s">
        <v>317</v>
      </c>
      <c r="H624" t="s">
        <v>60</v>
      </c>
      <c r="I624" t="s">
        <v>60</v>
      </c>
      <c r="J624" t="s">
        <v>60</v>
      </c>
      <c r="K624" t="s">
        <v>60</v>
      </c>
      <c r="L624" t="s">
        <v>12</v>
      </c>
      <c r="M624">
        <v>70</v>
      </c>
      <c r="P624">
        <v>40</v>
      </c>
      <c r="Q624" t="s">
        <v>80</v>
      </c>
      <c r="R624" t="s">
        <v>415</v>
      </c>
      <c r="S624" t="s">
        <v>363</v>
      </c>
      <c r="T624" t="s">
        <v>333</v>
      </c>
      <c r="V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Q624">
        <v>182380</v>
      </c>
      <c r="AR624" t="b">
        <v>1</v>
      </c>
      <c r="AS624" t="b">
        <v>1</v>
      </c>
      <c r="AT624" t="b">
        <v>1</v>
      </c>
      <c r="AU624" t="b">
        <v>1</v>
      </c>
      <c r="AV624" t="b">
        <v>1</v>
      </c>
      <c r="AW624" t="b">
        <v>1</v>
      </c>
      <c r="AX624" t="b">
        <v>1</v>
      </c>
      <c r="BA624" t="s">
        <v>441</v>
      </c>
    </row>
    <row r="625" spans="1:53" x14ac:dyDescent="0.25">
      <c r="A625" t="s">
        <v>386</v>
      </c>
      <c r="B625">
        <v>11</v>
      </c>
      <c r="C625">
        <v>8</v>
      </c>
      <c r="D625">
        <v>1</v>
      </c>
      <c r="E625">
        <v>48211090</v>
      </c>
      <c r="F625">
        <v>297277</v>
      </c>
      <c r="G625" t="s">
        <v>318</v>
      </c>
      <c r="H625" t="s">
        <v>60</v>
      </c>
      <c r="I625" t="s">
        <v>60</v>
      </c>
      <c r="J625" t="s">
        <v>60</v>
      </c>
      <c r="K625" t="s">
        <v>60</v>
      </c>
      <c r="L625" t="s">
        <v>12</v>
      </c>
      <c r="M625">
        <v>50</v>
      </c>
      <c r="P625">
        <v>40</v>
      </c>
      <c r="Q625" t="s">
        <v>80</v>
      </c>
      <c r="R625" t="s">
        <v>415</v>
      </c>
      <c r="S625" t="s">
        <v>363</v>
      </c>
      <c r="T625" t="s">
        <v>333</v>
      </c>
      <c r="V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Q625">
        <v>182380</v>
      </c>
      <c r="AR625" t="b">
        <v>1</v>
      </c>
      <c r="AS625" t="b">
        <v>1</v>
      </c>
      <c r="AT625" t="b">
        <v>1</v>
      </c>
      <c r="AU625" t="b">
        <v>1</v>
      </c>
      <c r="AV625" t="b">
        <v>1</v>
      </c>
      <c r="AW625" t="b">
        <v>1</v>
      </c>
      <c r="AX625" t="b">
        <v>1</v>
      </c>
      <c r="BA625" t="s">
        <v>441</v>
      </c>
    </row>
    <row r="626" spans="1:53" x14ac:dyDescent="0.25">
      <c r="A626" t="s">
        <v>386</v>
      </c>
      <c r="B626">
        <v>11</v>
      </c>
      <c r="C626">
        <v>9</v>
      </c>
      <c r="D626">
        <v>1</v>
      </c>
      <c r="E626">
        <v>48211090</v>
      </c>
      <c r="F626">
        <v>297278</v>
      </c>
      <c r="G626" t="s">
        <v>319</v>
      </c>
      <c r="H626" t="s">
        <v>60</v>
      </c>
      <c r="I626" t="s">
        <v>60</v>
      </c>
      <c r="J626" t="s">
        <v>60</v>
      </c>
      <c r="K626" t="s">
        <v>60</v>
      </c>
      <c r="L626" t="s">
        <v>12</v>
      </c>
      <c r="M626">
        <v>50</v>
      </c>
      <c r="P626">
        <v>40</v>
      </c>
      <c r="Q626" t="s">
        <v>80</v>
      </c>
      <c r="R626" t="s">
        <v>415</v>
      </c>
      <c r="S626" t="s">
        <v>363</v>
      </c>
      <c r="T626" t="s">
        <v>333</v>
      </c>
      <c r="V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Q626">
        <v>182380</v>
      </c>
      <c r="AR626" t="b">
        <v>1</v>
      </c>
      <c r="AS626" t="b">
        <v>1</v>
      </c>
      <c r="AT626" t="b">
        <v>1</v>
      </c>
      <c r="AU626" t="b">
        <v>1</v>
      </c>
      <c r="AV626" t="b">
        <v>1</v>
      </c>
      <c r="AW626" t="b">
        <v>1</v>
      </c>
      <c r="AX626" t="b">
        <v>1</v>
      </c>
      <c r="BA626" t="s">
        <v>441</v>
      </c>
    </row>
    <row r="627" spans="1:53" x14ac:dyDescent="0.25">
      <c r="A627" t="s">
        <v>386</v>
      </c>
      <c r="B627">
        <v>11</v>
      </c>
      <c r="C627">
        <v>10</v>
      </c>
      <c r="D627">
        <v>1</v>
      </c>
      <c r="E627">
        <v>96062100</v>
      </c>
      <c r="F627">
        <v>297279</v>
      </c>
      <c r="G627" t="s">
        <v>326</v>
      </c>
      <c r="H627" t="s">
        <v>60</v>
      </c>
      <c r="I627" t="s">
        <v>60</v>
      </c>
      <c r="J627" t="s">
        <v>60</v>
      </c>
      <c r="K627" t="s">
        <v>60</v>
      </c>
      <c r="L627" t="s">
        <v>12</v>
      </c>
      <c r="M627">
        <v>800</v>
      </c>
      <c r="P627">
        <v>40</v>
      </c>
      <c r="Q627" t="s">
        <v>80</v>
      </c>
      <c r="R627" t="s">
        <v>415</v>
      </c>
      <c r="S627" t="s">
        <v>363</v>
      </c>
      <c r="T627" t="s">
        <v>333</v>
      </c>
      <c r="V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Q627">
        <v>182380</v>
      </c>
      <c r="AR627" t="b">
        <v>1</v>
      </c>
      <c r="AS627" t="b">
        <v>1</v>
      </c>
      <c r="AT627" t="b">
        <v>1</v>
      </c>
      <c r="AU627" t="b">
        <v>1</v>
      </c>
      <c r="AV627" t="b">
        <v>1</v>
      </c>
      <c r="AW627" t="b">
        <v>1</v>
      </c>
      <c r="AX627" t="b">
        <v>1</v>
      </c>
      <c r="BA627" t="s">
        <v>441</v>
      </c>
    </row>
    <row r="628" spans="1:53" x14ac:dyDescent="0.25">
      <c r="A628" t="s">
        <v>386</v>
      </c>
      <c r="B628">
        <v>11</v>
      </c>
      <c r="C628">
        <v>11</v>
      </c>
      <c r="D628">
        <v>1</v>
      </c>
      <c r="E628">
        <v>52081900</v>
      </c>
      <c r="F628">
        <v>274799</v>
      </c>
      <c r="G628" t="s">
        <v>311</v>
      </c>
      <c r="H628" t="s">
        <v>60</v>
      </c>
      <c r="I628" t="s">
        <v>60</v>
      </c>
      <c r="J628" t="s">
        <v>60</v>
      </c>
      <c r="K628" t="s">
        <v>60</v>
      </c>
      <c r="L628" t="s">
        <v>27</v>
      </c>
      <c r="M628">
        <v>4.8</v>
      </c>
      <c r="P628">
        <v>40</v>
      </c>
      <c r="Q628" t="s">
        <v>80</v>
      </c>
      <c r="R628" t="s">
        <v>409</v>
      </c>
      <c r="S628" t="s">
        <v>358</v>
      </c>
      <c r="T628" t="s">
        <v>327</v>
      </c>
      <c r="V628">
        <v>0</v>
      </c>
      <c r="Y628">
        <v>0</v>
      </c>
      <c r="Z628">
        <v>0</v>
      </c>
      <c r="AA628">
        <v>0</v>
      </c>
      <c r="AB628">
        <v>2303241.2200000002</v>
      </c>
      <c r="AC628">
        <v>0</v>
      </c>
      <c r="AD628">
        <v>0</v>
      </c>
      <c r="AE628">
        <v>0</v>
      </c>
      <c r="AQ628">
        <v>182380</v>
      </c>
      <c r="AR628" t="b">
        <v>1</v>
      </c>
      <c r="AS628" t="b">
        <v>1</v>
      </c>
      <c r="AT628" t="b">
        <v>1</v>
      </c>
      <c r="AU628" t="b">
        <v>1</v>
      </c>
      <c r="AV628" t="b">
        <v>1</v>
      </c>
      <c r="AW628" t="b">
        <v>1</v>
      </c>
      <c r="AX628" t="b">
        <v>1</v>
      </c>
      <c r="BA628" t="s">
        <v>441</v>
      </c>
    </row>
    <row r="629" spans="1:53" x14ac:dyDescent="0.25">
      <c r="A629" t="s">
        <v>386</v>
      </c>
      <c r="B629">
        <v>11</v>
      </c>
      <c r="C629">
        <v>12</v>
      </c>
      <c r="D629">
        <v>1</v>
      </c>
      <c r="E629">
        <v>52081900</v>
      </c>
      <c r="F629">
        <v>275340</v>
      </c>
      <c r="G629" t="s">
        <v>312</v>
      </c>
      <c r="H629" t="s">
        <v>60</v>
      </c>
      <c r="I629" t="s">
        <v>60</v>
      </c>
      <c r="J629" t="s">
        <v>60</v>
      </c>
      <c r="K629" t="s">
        <v>60</v>
      </c>
      <c r="L629" t="s">
        <v>27</v>
      </c>
      <c r="M629">
        <v>4.8</v>
      </c>
      <c r="P629">
        <v>40</v>
      </c>
      <c r="Q629" t="s">
        <v>80</v>
      </c>
      <c r="R629" t="s">
        <v>435</v>
      </c>
      <c r="S629" t="s">
        <v>382</v>
      </c>
      <c r="T629" t="s">
        <v>353</v>
      </c>
      <c r="V629">
        <v>0</v>
      </c>
      <c r="Y629">
        <v>0</v>
      </c>
      <c r="Z629">
        <v>0</v>
      </c>
      <c r="AA629">
        <v>0</v>
      </c>
      <c r="AB629">
        <v>2303241.2200000002</v>
      </c>
      <c r="AC629">
        <v>0</v>
      </c>
      <c r="AD629">
        <v>0</v>
      </c>
      <c r="AE629">
        <v>0</v>
      </c>
      <c r="AQ629">
        <v>182380</v>
      </c>
      <c r="AR629" t="b">
        <v>1</v>
      </c>
      <c r="AS629" t="b">
        <v>1</v>
      </c>
      <c r="AT629" t="b">
        <v>1</v>
      </c>
      <c r="AU629" t="b">
        <v>1</v>
      </c>
      <c r="AV629" t="b">
        <v>1</v>
      </c>
      <c r="AW629" t="b">
        <v>1</v>
      </c>
      <c r="AX629" t="b">
        <v>1</v>
      </c>
      <c r="BA629" t="s">
        <v>441</v>
      </c>
    </row>
    <row r="630" spans="1:53" x14ac:dyDescent="0.25">
      <c r="A630" t="s">
        <v>386</v>
      </c>
      <c r="B630">
        <v>11</v>
      </c>
      <c r="C630">
        <v>13</v>
      </c>
      <c r="D630">
        <v>1</v>
      </c>
      <c r="E630">
        <v>56039200</v>
      </c>
      <c r="F630">
        <v>267890</v>
      </c>
      <c r="G630" t="s">
        <v>323</v>
      </c>
      <c r="H630" t="s">
        <v>60</v>
      </c>
      <c r="I630" t="s">
        <v>60</v>
      </c>
      <c r="J630" t="s">
        <v>60</v>
      </c>
      <c r="K630" t="s">
        <v>60</v>
      </c>
      <c r="L630" t="s">
        <v>11</v>
      </c>
      <c r="M630">
        <v>2</v>
      </c>
      <c r="P630">
        <v>40</v>
      </c>
      <c r="Q630" t="s">
        <v>80</v>
      </c>
      <c r="R630" t="s">
        <v>430</v>
      </c>
      <c r="S630" t="s">
        <v>377</v>
      </c>
      <c r="T630" t="s">
        <v>348</v>
      </c>
      <c r="V630">
        <v>0</v>
      </c>
      <c r="Y630">
        <v>0</v>
      </c>
      <c r="Z630">
        <v>0</v>
      </c>
      <c r="AA630">
        <v>0</v>
      </c>
      <c r="AB630">
        <v>23649.68</v>
      </c>
      <c r="AC630">
        <v>0</v>
      </c>
      <c r="AD630">
        <v>0</v>
      </c>
      <c r="AE630">
        <v>0</v>
      </c>
      <c r="AQ630">
        <v>182380</v>
      </c>
      <c r="AR630" t="b">
        <v>1</v>
      </c>
      <c r="AS630" t="b">
        <v>1</v>
      </c>
      <c r="AT630" t="b">
        <v>1</v>
      </c>
      <c r="AU630" t="b">
        <v>1</v>
      </c>
      <c r="AV630" t="b">
        <v>1</v>
      </c>
      <c r="AW630" t="b">
        <v>1</v>
      </c>
      <c r="AX630" t="b">
        <v>1</v>
      </c>
      <c r="BA630" t="s">
        <v>441</v>
      </c>
    </row>
    <row r="631" spans="1:53" x14ac:dyDescent="0.25">
      <c r="A631" t="s">
        <v>386</v>
      </c>
      <c r="B631">
        <v>11</v>
      </c>
      <c r="C631">
        <v>14</v>
      </c>
      <c r="D631">
        <v>1</v>
      </c>
      <c r="E631">
        <v>39191020</v>
      </c>
      <c r="F631">
        <v>273158</v>
      </c>
      <c r="G631" t="s">
        <v>325</v>
      </c>
      <c r="H631" t="s">
        <v>60</v>
      </c>
      <c r="I631" t="s">
        <v>60</v>
      </c>
      <c r="J631" t="s">
        <v>60</v>
      </c>
      <c r="K631" t="s">
        <v>60</v>
      </c>
      <c r="L631" t="s">
        <v>27</v>
      </c>
      <c r="M631">
        <v>21.58</v>
      </c>
      <c r="P631">
        <v>40</v>
      </c>
      <c r="Q631" t="s">
        <v>80</v>
      </c>
      <c r="R631" t="s">
        <v>436</v>
      </c>
      <c r="S631" t="s">
        <v>383</v>
      </c>
      <c r="T631" t="s">
        <v>354</v>
      </c>
      <c r="V631">
        <v>0</v>
      </c>
      <c r="Y631">
        <v>0</v>
      </c>
      <c r="Z631">
        <v>0</v>
      </c>
      <c r="AA631">
        <v>0</v>
      </c>
      <c r="AB631">
        <v>12948000</v>
      </c>
      <c r="AC631">
        <v>0</v>
      </c>
      <c r="AD631">
        <v>0</v>
      </c>
      <c r="AE631">
        <v>0</v>
      </c>
      <c r="AQ631">
        <v>182380</v>
      </c>
      <c r="AR631" t="b">
        <v>1</v>
      </c>
      <c r="AS631" t="b">
        <v>1</v>
      </c>
      <c r="AT631" t="b">
        <v>1</v>
      </c>
      <c r="AU631" t="b">
        <v>1</v>
      </c>
      <c r="AV631" t="b">
        <v>1</v>
      </c>
      <c r="AW631" t="b">
        <v>1</v>
      </c>
      <c r="AX631" t="b">
        <v>1</v>
      </c>
      <c r="BA631" t="s">
        <v>441</v>
      </c>
    </row>
    <row r="632" spans="1:53" x14ac:dyDescent="0.25">
      <c r="A632" t="s">
        <v>386</v>
      </c>
      <c r="B632">
        <v>11</v>
      </c>
      <c r="C632">
        <v>15</v>
      </c>
      <c r="D632">
        <v>1</v>
      </c>
      <c r="E632">
        <v>48211090</v>
      </c>
      <c r="F632">
        <v>297274</v>
      </c>
      <c r="G632" t="s">
        <v>315</v>
      </c>
      <c r="H632" t="s">
        <v>60</v>
      </c>
      <c r="I632" t="s">
        <v>60</v>
      </c>
      <c r="J632" t="s">
        <v>60</v>
      </c>
      <c r="K632" t="s">
        <v>60</v>
      </c>
      <c r="L632" t="s">
        <v>12</v>
      </c>
      <c r="M632">
        <v>100</v>
      </c>
      <c r="P632">
        <v>40</v>
      </c>
      <c r="Q632" t="s">
        <v>80</v>
      </c>
      <c r="R632" t="s">
        <v>415</v>
      </c>
      <c r="S632" t="s">
        <v>363</v>
      </c>
      <c r="T632" t="s">
        <v>333</v>
      </c>
      <c r="V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Q632">
        <v>182380</v>
      </c>
      <c r="AR632" t="b">
        <v>1</v>
      </c>
      <c r="AS632" t="b">
        <v>1</v>
      </c>
      <c r="AT632" t="b">
        <v>1</v>
      </c>
      <c r="AU632" t="b">
        <v>1</v>
      </c>
      <c r="AV632" t="b">
        <v>1</v>
      </c>
      <c r="AW632" t="b">
        <v>1</v>
      </c>
      <c r="AX632" t="b">
        <v>1</v>
      </c>
      <c r="BA632" t="s">
        <v>441</v>
      </c>
    </row>
    <row r="633" spans="1:53" x14ac:dyDescent="0.25">
      <c r="A633" t="s">
        <v>386</v>
      </c>
      <c r="B633">
        <v>11</v>
      </c>
      <c r="C633">
        <v>16</v>
      </c>
      <c r="D633">
        <v>1</v>
      </c>
      <c r="E633">
        <v>48211090</v>
      </c>
      <c r="F633">
        <v>297275</v>
      </c>
      <c r="G633" t="s">
        <v>316</v>
      </c>
      <c r="H633" t="s">
        <v>60</v>
      </c>
      <c r="I633" t="s">
        <v>60</v>
      </c>
      <c r="J633" t="s">
        <v>60</v>
      </c>
      <c r="K633" t="s">
        <v>60</v>
      </c>
      <c r="L633" t="s">
        <v>12</v>
      </c>
      <c r="M633">
        <v>15</v>
      </c>
      <c r="P633">
        <v>40</v>
      </c>
      <c r="Q633" t="s">
        <v>80</v>
      </c>
      <c r="R633" t="s">
        <v>415</v>
      </c>
      <c r="S633" t="s">
        <v>363</v>
      </c>
      <c r="T633" t="s">
        <v>333</v>
      </c>
      <c r="V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Q633">
        <v>182380</v>
      </c>
      <c r="AR633" t="b">
        <v>1</v>
      </c>
      <c r="AS633" t="b">
        <v>1</v>
      </c>
      <c r="AT633" t="b">
        <v>1</v>
      </c>
      <c r="AU633" t="b">
        <v>1</v>
      </c>
      <c r="AV633" t="b">
        <v>1</v>
      </c>
      <c r="AW633" t="b">
        <v>1</v>
      </c>
      <c r="AX633" t="b">
        <v>1</v>
      </c>
      <c r="BA633" t="s">
        <v>441</v>
      </c>
    </row>
    <row r="634" spans="1:53" x14ac:dyDescent="0.25">
      <c r="A634" t="s">
        <v>386</v>
      </c>
      <c r="B634">
        <v>11</v>
      </c>
      <c r="C634">
        <v>17</v>
      </c>
      <c r="D634">
        <v>1</v>
      </c>
      <c r="E634">
        <v>48211090</v>
      </c>
      <c r="F634">
        <v>297276</v>
      </c>
      <c r="G634" t="s">
        <v>317</v>
      </c>
      <c r="H634" t="s">
        <v>60</v>
      </c>
      <c r="I634" t="s">
        <v>60</v>
      </c>
      <c r="J634" t="s">
        <v>60</v>
      </c>
      <c r="K634" t="s">
        <v>60</v>
      </c>
      <c r="L634" t="s">
        <v>12</v>
      </c>
      <c r="M634">
        <v>35</v>
      </c>
      <c r="P634">
        <v>40</v>
      </c>
      <c r="Q634" t="s">
        <v>80</v>
      </c>
      <c r="R634" t="s">
        <v>415</v>
      </c>
      <c r="S634" t="s">
        <v>363</v>
      </c>
      <c r="T634" t="s">
        <v>333</v>
      </c>
      <c r="V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Q634">
        <v>182380</v>
      </c>
      <c r="AR634" t="b">
        <v>1</v>
      </c>
      <c r="AS634" t="b">
        <v>1</v>
      </c>
      <c r="AT634" t="b">
        <v>1</v>
      </c>
      <c r="AU634" t="b">
        <v>1</v>
      </c>
      <c r="AV634" t="b">
        <v>1</v>
      </c>
      <c r="AW634" t="b">
        <v>1</v>
      </c>
      <c r="AX634" t="b">
        <v>1</v>
      </c>
      <c r="BA634" t="s">
        <v>441</v>
      </c>
    </row>
    <row r="635" spans="1:53" x14ac:dyDescent="0.25">
      <c r="A635" t="s">
        <v>386</v>
      </c>
      <c r="B635">
        <v>11</v>
      </c>
      <c r="C635">
        <v>18</v>
      </c>
      <c r="D635">
        <v>1</v>
      </c>
      <c r="E635">
        <v>48211090</v>
      </c>
      <c r="F635">
        <v>297277</v>
      </c>
      <c r="G635" t="s">
        <v>318</v>
      </c>
      <c r="H635" t="s">
        <v>60</v>
      </c>
      <c r="I635" t="s">
        <v>60</v>
      </c>
      <c r="J635" t="s">
        <v>60</v>
      </c>
      <c r="K635" t="s">
        <v>60</v>
      </c>
      <c r="L635" t="s">
        <v>12</v>
      </c>
      <c r="M635">
        <v>25</v>
      </c>
      <c r="P635">
        <v>40</v>
      </c>
      <c r="Q635" t="s">
        <v>80</v>
      </c>
      <c r="R635" t="s">
        <v>415</v>
      </c>
      <c r="S635" t="s">
        <v>363</v>
      </c>
      <c r="T635" t="s">
        <v>333</v>
      </c>
      <c r="V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Q635">
        <v>182380</v>
      </c>
      <c r="AR635" t="b">
        <v>1</v>
      </c>
      <c r="AS635" t="b">
        <v>1</v>
      </c>
      <c r="AT635" t="b">
        <v>1</v>
      </c>
      <c r="AU635" t="b">
        <v>1</v>
      </c>
      <c r="AV635" t="b">
        <v>1</v>
      </c>
      <c r="AW635" t="b">
        <v>1</v>
      </c>
      <c r="AX635" t="b">
        <v>1</v>
      </c>
      <c r="BA635" t="s">
        <v>441</v>
      </c>
    </row>
    <row r="636" spans="1:53" x14ac:dyDescent="0.25">
      <c r="A636" t="s">
        <v>386</v>
      </c>
      <c r="B636">
        <v>11</v>
      </c>
      <c r="C636">
        <v>19</v>
      </c>
      <c r="D636">
        <v>1</v>
      </c>
      <c r="E636">
        <v>48211090</v>
      </c>
      <c r="F636">
        <v>297278</v>
      </c>
      <c r="G636" t="s">
        <v>319</v>
      </c>
      <c r="H636" t="s">
        <v>60</v>
      </c>
      <c r="I636" t="s">
        <v>60</v>
      </c>
      <c r="J636" t="s">
        <v>60</v>
      </c>
      <c r="K636" t="s">
        <v>60</v>
      </c>
      <c r="L636" t="s">
        <v>12</v>
      </c>
      <c r="M636">
        <v>25</v>
      </c>
      <c r="P636">
        <v>40</v>
      </c>
      <c r="Q636" t="s">
        <v>80</v>
      </c>
      <c r="R636" t="s">
        <v>415</v>
      </c>
      <c r="S636" t="s">
        <v>363</v>
      </c>
      <c r="T636" t="s">
        <v>333</v>
      </c>
      <c r="V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Q636">
        <v>182380</v>
      </c>
      <c r="AR636" t="b">
        <v>1</v>
      </c>
      <c r="AS636" t="b">
        <v>1</v>
      </c>
      <c r="AT636" t="b">
        <v>1</v>
      </c>
      <c r="AU636" t="b">
        <v>1</v>
      </c>
      <c r="AV636" t="b">
        <v>1</v>
      </c>
      <c r="AW636" t="b">
        <v>1</v>
      </c>
      <c r="AX636" t="b">
        <v>1</v>
      </c>
      <c r="BA636" t="s">
        <v>441</v>
      </c>
    </row>
    <row r="637" spans="1:53" x14ac:dyDescent="0.25">
      <c r="A637" t="s">
        <v>386</v>
      </c>
      <c r="B637">
        <v>11</v>
      </c>
      <c r="C637">
        <v>20</v>
      </c>
      <c r="D637">
        <v>1</v>
      </c>
      <c r="E637">
        <v>96062100</v>
      </c>
      <c r="F637">
        <v>297279</v>
      </c>
      <c r="G637" t="s">
        <v>326</v>
      </c>
      <c r="H637" t="s">
        <v>60</v>
      </c>
      <c r="I637" t="s">
        <v>60</v>
      </c>
      <c r="J637" t="s">
        <v>60</v>
      </c>
      <c r="K637" t="s">
        <v>60</v>
      </c>
      <c r="L637" t="s">
        <v>12</v>
      </c>
      <c r="M637">
        <v>400</v>
      </c>
      <c r="P637">
        <v>40</v>
      </c>
      <c r="Q637" t="s">
        <v>80</v>
      </c>
      <c r="R637" t="s">
        <v>415</v>
      </c>
      <c r="S637" t="s">
        <v>363</v>
      </c>
      <c r="T637" t="s">
        <v>333</v>
      </c>
      <c r="V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Q637">
        <v>182380</v>
      </c>
      <c r="AR637" t="b">
        <v>1</v>
      </c>
      <c r="AS637" t="b">
        <v>1</v>
      </c>
      <c r="AT637" t="b">
        <v>1</v>
      </c>
      <c r="AU637" t="b">
        <v>1</v>
      </c>
      <c r="AV637" t="b">
        <v>1</v>
      </c>
      <c r="AW637" t="b">
        <v>1</v>
      </c>
      <c r="AX637" t="b">
        <v>1</v>
      </c>
      <c r="BA637" t="s">
        <v>441</v>
      </c>
    </row>
    <row r="638" spans="1:53" x14ac:dyDescent="0.25">
      <c r="A638" t="s">
        <v>386</v>
      </c>
      <c r="B638">
        <v>11</v>
      </c>
      <c r="C638">
        <v>21</v>
      </c>
      <c r="D638">
        <v>1</v>
      </c>
      <c r="E638">
        <v>52081900</v>
      </c>
      <c r="F638">
        <v>274799</v>
      </c>
      <c r="G638" t="s">
        <v>311</v>
      </c>
      <c r="H638" t="s">
        <v>60</v>
      </c>
      <c r="I638" t="s">
        <v>60</v>
      </c>
      <c r="J638" t="s">
        <v>60</v>
      </c>
      <c r="K638" t="s">
        <v>60</v>
      </c>
      <c r="L638" t="s">
        <v>27</v>
      </c>
      <c r="M638">
        <v>4.8</v>
      </c>
      <c r="P638">
        <v>40</v>
      </c>
      <c r="Q638" t="s">
        <v>80</v>
      </c>
      <c r="R638" t="s">
        <v>409</v>
      </c>
      <c r="S638" t="s">
        <v>358</v>
      </c>
      <c r="T638" t="s">
        <v>327</v>
      </c>
      <c r="V638">
        <v>0</v>
      </c>
      <c r="Y638">
        <v>0</v>
      </c>
      <c r="Z638">
        <v>0</v>
      </c>
      <c r="AA638">
        <v>0</v>
      </c>
      <c r="AB638">
        <v>2303241.2200000002</v>
      </c>
      <c r="AC638">
        <v>0</v>
      </c>
      <c r="AD638">
        <v>0</v>
      </c>
      <c r="AE638">
        <v>0</v>
      </c>
      <c r="AQ638">
        <v>182380</v>
      </c>
      <c r="AR638" t="b">
        <v>1</v>
      </c>
      <c r="AS638" t="b">
        <v>1</v>
      </c>
      <c r="AT638" t="b">
        <v>1</v>
      </c>
      <c r="AU638" t="b">
        <v>1</v>
      </c>
      <c r="AV638" t="b">
        <v>1</v>
      </c>
      <c r="AW638" t="b">
        <v>1</v>
      </c>
      <c r="AX638" t="b">
        <v>1</v>
      </c>
      <c r="BA638" t="s">
        <v>441</v>
      </c>
    </row>
    <row r="639" spans="1:53" x14ac:dyDescent="0.25">
      <c r="A639" t="s">
        <v>386</v>
      </c>
      <c r="B639">
        <v>11</v>
      </c>
      <c r="C639">
        <v>22</v>
      </c>
      <c r="D639">
        <v>1</v>
      </c>
      <c r="E639">
        <v>52081900</v>
      </c>
      <c r="F639">
        <v>275340</v>
      </c>
      <c r="G639" t="s">
        <v>312</v>
      </c>
      <c r="H639" t="s">
        <v>60</v>
      </c>
      <c r="I639" t="s">
        <v>60</v>
      </c>
      <c r="J639" t="s">
        <v>60</v>
      </c>
      <c r="K639" t="s">
        <v>60</v>
      </c>
      <c r="L639" t="s">
        <v>27</v>
      </c>
      <c r="M639">
        <v>4.8</v>
      </c>
      <c r="P639">
        <v>40</v>
      </c>
      <c r="Q639" t="s">
        <v>80</v>
      </c>
      <c r="R639" t="s">
        <v>435</v>
      </c>
      <c r="S639" t="s">
        <v>382</v>
      </c>
      <c r="T639" t="s">
        <v>353</v>
      </c>
      <c r="V639">
        <v>0</v>
      </c>
      <c r="Y639">
        <v>0</v>
      </c>
      <c r="Z639">
        <v>0</v>
      </c>
      <c r="AA639">
        <v>0</v>
      </c>
      <c r="AB639">
        <v>2303241.2200000002</v>
      </c>
      <c r="AC639">
        <v>0</v>
      </c>
      <c r="AD639">
        <v>0</v>
      </c>
      <c r="AE639">
        <v>0</v>
      </c>
      <c r="AQ639">
        <v>182380</v>
      </c>
      <c r="AR639" t="b">
        <v>1</v>
      </c>
      <c r="AS639" t="b">
        <v>1</v>
      </c>
      <c r="AT639" t="b">
        <v>1</v>
      </c>
      <c r="AU639" t="b">
        <v>1</v>
      </c>
      <c r="AV639" t="b">
        <v>1</v>
      </c>
      <c r="AW639" t="b">
        <v>1</v>
      </c>
      <c r="AX639" t="b">
        <v>1</v>
      </c>
      <c r="BA639" t="s">
        <v>441</v>
      </c>
    </row>
    <row r="640" spans="1:53" x14ac:dyDescent="0.25">
      <c r="A640" t="s">
        <v>386</v>
      </c>
      <c r="B640">
        <v>11</v>
      </c>
      <c r="C640">
        <v>23</v>
      </c>
      <c r="D640">
        <v>1</v>
      </c>
      <c r="E640">
        <v>56039200</v>
      </c>
      <c r="F640">
        <v>267890</v>
      </c>
      <c r="G640" t="s">
        <v>323</v>
      </c>
      <c r="H640" t="s">
        <v>60</v>
      </c>
      <c r="I640" t="s">
        <v>60</v>
      </c>
      <c r="J640" t="s">
        <v>60</v>
      </c>
      <c r="K640" t="s">
        <v>60</v>
      </c>
      <c r="L640" t="s">
        <v>11</v>
      </c>
      <c r="M640">
        <v>2</v>
      </c>
      <c r="P640">
        <v>40</v>
      </c>
      <c r="Q640" t="s">
        <v>80</v>
      </c>
      <c r="R640" t="s">
        <v>430</v>
      </c>
      <c r="S640" t="s">
        <v>377</v>
      </c>
      <c r="T640" t="s">
        <v>348</v>
      </c>
      <c r="V640">
        <v>0</v>
      </c>
      <c r="Y640">
        <v>0</v>
      </c>
      <c r="Z640">
        <v>0</v>
      </c>
      <c r="AA640">
        <v>0</v>
      </c>
      <c r="AB640">
        <v>23649.68</v>
      </c>
      <c r="AC640">
        <v>0</v>
      </c>
      <c r="AD640">
        <v>0</v>
      </c>
      <c r="AE640">
        <v>0</v>
      </c>
      <c r="AQ640">
        <v>182380</v>
      </c>
      <c r="AR640" t="b">
        <v>1</v>
      </c>
      <c r="AS640" t="b">
        <v>1</v>
      </c>
      <c r="AT640" t="b">
        <v>1</v>
      </c>
      <c r="AU640" t="b">
        <v>1</v>
      </c>
      <c r="AV640" t="b">
        <v>1</v>
      </c>
      <c r="AW640" t="b">
        <v>1</v>
      </c>
      <c r="AX640" t="b">
        <v>1</v>
      </c>
      <c r="BA640" t="s">
        <v>441</v>
      </c>
    </row>
    <row r="641" spans="1:53" x14ac:dyDescent="0.25">
      <c r="A641" t="s">
        <v>386</v>
      </c>
      <c r="B641">
        <v>11</v>
      </c>
      <c r="C641">
        <v>24</v>
      </c>
      <c r="D641">
        <v>1</v>
      </c>
      <c r="E641">
        <v>39191020</v>
      </c>
      <c r="F641">
        <v>273158</v>
      </c>
      <c r="G641" t="s">
        <v>325</v>
      </c>
      <c r="H641" t="s">
        <v>60</v>
      </c>
      <c r="I641" t="s">
        <v>60</v>
      </c>
      <c r="J641" t="s">
        <v>60</v>
      </c>
      <c r="K641" t="s">
        <v>60</v>
      </c>
      <c r="L641" t="s">
        <v>27</v>
      </c>
      <c r="M641">
        <v>21.58</v>
      </c>
      <c r="P641">
        <v>40</v>
      </c>
      <c r="Q641" t="s">
        <v>80</v>
      </c>
      <c r="R641" t="s">
        <v>436</v>
      </c>
      <c r="S641" t="s">
        <v>383</v>
      </c>
      <c r="T641" t="s">
        <v>354</v>
      </c>
      <c r="V641">
        <v>0</v>
      </c>
      <c r="Y641">
        <v>0</v>
      </c>
      <c r="Z641">
        <v>0</v>
      </c>
      <c r="AA641">
        <v>0</v>
      </c>
      <c r="AB641">
        <v>12948000</v>
      </c>
      <c r="AC641">
        <v>0</v>
      </c>
      <c r="AD641">
        <v>0</v>
      </c>
      <c r="AE641">
        <v>0</v>
      </c>
      <c r="AQ641">
        <v>182380</v>
      </c>
      <c r="AR641" t="b">
        <v>1</v>
      </c>
      <c r="AS641" t="b">
        <v>1</v>
      </c>
      <c r="AT641" t="b">
        <v>1</v>
      </c>
      <c r="AU641" t="b">
        <v>1</v>
      </c>
      <c r="AV641" t="b">
        <v>1</v>
      </c>
      <c r="AW641" t="b">
        <v>1</v>
      </c>
      <c r="AX641" t="b">
        <v>1</v>
      </c>
      <c r="BA641" t="s">
        <v>441</v>
      </c>
    </row>
    <row r="642" spans="1:53" x14ac:dyDescent="0.25">
      <c r="A642" t="s">
        <v>386</v>
      </c>
      <c r="B642">
        <v>11</v>
      </c>
      <c r="C642">
        <v>25</v>
      </c>
      <c r="D642">
        <v>1</v>
      </c>
      <c r="E642">
        <v>48211090</v>
      </c>
      <c r="F642">
        <v>297274</v>
      </c>
      <c r="G642" t="s">
        <v>315</v>
      </c>
      <c r="H642" t="s">
        <v>60</v>
      </c>
      <c r="I642" t="s">
        <v>60</v>
      </c>
      <c r="J642" t="s">
        <v>60</v>
      </c>
      <c r="K642" t="s">
        <v>60</v>
      </c>
      <c r="L642" t="s">
        <v>12</v>
      </c>
      <c r="M642">
        <v>100</v>
      </c>
      <c r="P642">
        <v>40</v>
      </c>
      <c r="Q642" t="s">
        <v>80</v>
      </c>
      <c r="R642" t="s">
        <v>415</v>
      </c>
      <c r="S642" t="s">
        <v>363</v>
      </c>
      <c r="T642" t="s">
        <v>333</v>
      </c>
      <c r="V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Q642">
        <v>182380</v>
      </c>
      <c r="AR642" t="b">
        <v>1</v>
      </c>
      <c r="AS642" t="b">
        <v>1</v>
      </c>
      <c r="AT642" t="b">
        <v>1</v>
      </c>
      <c r="AU642" t="b">
        <v>1</v>
      </c>
      <c r="AV642" t="b">
        <v>1</v>
      </c>
      <c r="AW642" t="b">
        <v>1</v>
      </c>
      <c r="AX642" t="b">
        <v>1</v>
      </c>
      <c r="BA642" t="s">
        <v>441</v>
      </c>
    </row>
    <row r="643" spans="1:53" x14ac:dyDescent="0.25">
      <c r="A643" t="s">
        <v>386</v>
      </c>
      <c r="B643">
        <v>11</v>
      </c>
      <c r="C643">
        <v>26</v>
      </c>
      <c r="D643">
        <v>1</v>
      </c>
      <c r="E643">
        <v>48211090</v>
      </c>
      <c r="F643">
        <v>297275</v>
      </c>
      <c r="G643" t="s">
        <v>316</v>
      </c>
      <c r="H643" t="s">
        <v>60</v>
      </c>
      <c r="I643" t="s">
        <v>60</v>
      </c>
      <c r="J643" t="s">
        <v>60</v>
      </c>
      <c r="K643" t="s">
        <v>60</v>
      </c>
      <c r="L643" t="s">
        <v>12</v>
      </c>
      <c r="M643">
        <v>15</v>
      </c>
      <c r="P643">
        <v>40</v>
      </c>
      <c r="Q643" t="s">
        <v>80</v>
      </c>
      <c r="R643" t="s">
        <v>415</v>
      </c>
      <c r="S643" t="s">
        <v>363</v>
      </c>
      <c r="T643" t="s">
        <v>333</v>
      </c>
      <c r="V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Q643">
        <v>182380</v>
      </c>
      <c r="AR643" t="b">
        <v>1</v>
      </c>
      <c r="AS643" t="b">
        <v>1</v>
      </c>
      <c r="AT643" t="b">
        <v>1</v>
      </c>
      <c r="AU643" t="b">
        <v>1</v>
      </c>
      <c r="AV643" t="b">
        <v>1</v>
      </c>
      <c r="AW643" t="b">
        <v>1</v>
      </c>
      <c r="AX643" t="b">
        <v>1</v>
      </c>
      <c r="BA643" t="s">
        <v>441</v>
      </c>
    </row>
    <row r="644" spans="1:53" x14ac:dyDescent="0.25">
      <c r="A644" t="s">
        <v>386</v>
      </c>
      <c r="B644">
        <v>11</v>
      </c>
      <c r="C644">
        <v>27</v>
      </c>
      <c r="D644">
        <v>1</v>
      </c>
      <c r="E644">
        <v>48211090</v>
      </c>
      <c r="F644">
        <v>297276</v>
      </c>
      <c r="G644" t="s">
        <v>317</v>
      </c>
      <c r="H644" t="s">
        <v>60</v>
      </c>
      <c r="I644" t="s">
        <v>60</v>
      </c>
      <c r="J644" t="s">
        <v>60</v>
      </c>
      <c r="K644" t="s">
        <v>60</v>
      </c>
      <c r="L644" t="s">
        <v>12</v>
      </c>
      <c r="M644">
        <v>35</v>
      </c>
      <c r="P644">
        <v>40</v>
      </c>
      <c r="Q644" t="s">
        <v>80</v>
      </c>
      <c r="R644" t="s">
        <v>415</v>
      </c>
      <c r="S644" t="s">
        <v>363</v>
      </c>
      <c r="T644" t="s">
        <v>333</v>
      </c>
      <c r="V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Q644">
        <v>182380</v>
      </c>
      <c r="AR644" t="b">
        <v>1</v>
      </c>
      <c r="AS644" t="b">
        <v>1</v>
      </c>
      <c r="AT644" t="b">
        <v>1</v>
      </c>
      <c r="AU644" t="b">
        <v>1</v>
      </c>
      <c r="AV644" t="b">
        <v>1</v>
      </c>
      <c r="AW644" t="b">
        <v>1</v>
      </c>
      <c r="AX644" t="b">
        <v>1</v>
      </c>
      <c r="BA644" t="s">
        <v>441</v>
      </c>
    </row>
    <row r="645" spans="1:53" x14ac:dyDescent="0.25">
      <c r="A645" t="s">
        <v>386</v>
      </c>
      <c r="B645">
        <v>11</v>
      </c>
      <c r="C645">
        <v>28</v>
      </c>
      <c r="D645">
        <v>1</v>
      </c>
      <c r="E645">
        <v>48211090</v>
      </c>
      <c r="F645">
        <v>297277</v>
      </c>
      <c r="G645" t="s">
        <v>318</v>
      </c>
      <c r="H645" t="s">
        <v>60</v>
      </c>
      <c r="I645" t="s">
        <v>60</v>
      </c>
      <c r="J645" t="s">
        <v>60</v>
      </c>
      <c r="K645" t="s">
        <v>60</v>
      </c>
      <c r="L645" t="s">
        <v>12</v>
      </c>
      <c r="M645">
        <v>25</v>
      </c>
      <c r="P645">
        <v>40</v>
      </c>
      <c r="Q645" t="s">
        <v>80</v>
      </c>
      <c r="R645" t="s">
        <v>415</v>
      </c>
      <c r="S645" t="s">
        <v>363</v>
      </c>
      <c r="T645" t="s">
        <v>333</v>
      </c>
      <c r="V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Q645">
        <v>182380</v>
      </c>
      <c r="AR645" t="b">
        <v>1</v>
      </c>
      <c r="AS645" t="b">
        <v>1</v>
      </c>
      <c r="AT645" t="b">
        <v>1</v>
      </c>
      <c r="AU645" t="b">
        <v>1</v>
      </c>
      <c r="AV645" t="b">
        <v>1</v>
      </c>
      <c r="AW645" t="b">
        <v>1</v>
      </c>
      <c r="AX645" t="b">
        <v>1</v>
      </c>
      <c r="BA645" t="s">
        <v>441</v>
      </c>
    </row>
    <row r="646" spans="1:53" x14ac:dyDescent="0.25">
      <c r="A646" t="s">
        <v>386</v>
      </c>
      <c r="B646">
        <v>11</v>
      </c>
      <c r="C646">
        <v>29</v>
      </c>
      <c r="D646">
        <v>1</v>
      </c>
      <c r="E646">
        <v>48211090</v>
      </c>
      <c r="F646">
        <v>297278</v>
      </c>
      <c r="G646" t="s">
        <v>319</v>
      </c>
      <c r="H646" t="s">
        <v>60</v>
      </c>
      <c r="I646" t="s">
        <v>60</v>
      </c>
      <c r="J646" t="s">
        <v>60</v>
      </c>
      <c r="K646" t="s">
        <v>60</v>
      </c>
      <c r="L646" t="s">
        <v>12</v>
      </c>
      <c r="M646">
        <v>25</v>
      </c>
      <c r="P646">
        <v>40</v>
      </c>
      <c r="Q646" t="s">
        <v>80</v>
      </c>
      <c r="R646" t="s">
        <v>415</v>
      </c>
      <c r="S646" t="s">
        <v>363</v>
      </c>
      <c r="T646" t="s">
        <v>333</v>
      </c>
      <c r="V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Q646">
        <v>182380</v>
      </c>
      <c r="AR646" t="b">
        <v>1</v>
      </c>
      <c r="AS646" t="b">
        <v>1</v>
      </c>
      <c r="AT646" t="b">
        <v>1</v>
      </c>
      <c r="AU646" t="b">
        <v>1</v>
      </c>
      <c r="AV646" t="b">
        <v>1</v>
      </c>
      <c r="AW646" t="b">
        <v>1</v>
      </c>
      <c r="AX646" t="b">
        <v>1</v>
      </c>
      <c r="BA646" t="s">
        <v>441</v>
      </c>
    </row>
    <row r="647" spans="1:53" x14ac:dyDescent="0.25">
      <c r="A647" t="s">
        <v>386</v>
      </c>
      <c r="B647">
        <v>11</v>
      </c>
      <c r="C647">
        <v>30</v>
      </c>
      <c r="D647">
        <v>1</v>
      </c>
      <c r="E647">
        <v>96062100</v>
      </c>
      <c r="F647">
        <v>297279</v>
      </c>
      <c r="G647" t="s">
        <v>326</v>
      </c>
      <c r="H647" t="s">
        <v>60</v>
      </c>
      <c r="I647" t="s">
        <v>60</v>
      </c>
      <c r="J647" t="s">
        <v>60</v>
      </c>
      <c r="K647" t="s">
        <v>60</v>
      </c>
      <c r="L647" t="s">
        <v>12</v>
      </c>
      <c r="M647">
        <v>400</v>
      </c>
      <c r="P647">
        <v>40</v>
      </c>
      <c r="Q647" t="s">
        <v>80</v>
      </c>
      <c r="R647" t="s">
        <v>415</v>
      </c>
      <c r="S647" t="s">
        <v>363</v>
      </c>
      <c r="T647" t="s">
        <v>333</v>
      </c>
      <c r="V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Q647">
        <v>182380</v>
      </c>
      <c r="AR647" t="b">
        <v>1</v>
      </c>
      <c r="AS647" t="b">
        <v>1</v>
      </c>
      <c r="AT647" t="b">
        <v>1</v>
      </c>
      <c r="AU647" t="b">
        <v>1</v>
      </c>
      <c r="AV647" t="b">
        <v>1</v>
      </c>
      <c r="AW647" t="b">
        <v>1</v>
      </c>
      <c r="AX647" t="b">
        <v>1</v>
      </c>
      <c r="BA647" t="s">
        <v>441</v>
      </c>
    </row>
    <row r="648" spans="1:53" x14ac:dyDescent="0.25">
      <c r="A648" t="s">
        <v>386</v>
      </c>
      <c r="B648">
        <v>11</v>
      </c>
      <c r="C648">
        <v>31</v>
      </c>
      <c r="D648">
        <v>1</v>
      </c>
      <c r="E648">
        <v>52081900</v>
      </c>
      <c r="F648">
        <v>274799</v>
      </c>
      <c r="G648" t="s">
        <v>311</v>
      </c>
      <c r="H648" t="s">
        <v>60</v>
      </c>
      <c r="I648" t="s">
        <v>60</v>
      </c>
      <c r="J648" t="s">
        <v>60</v>
      </c>
      <c r="K648" t="s">
        <v>60</v>
      </c>
      <c r="L648" t="s">
        <v>27</v>
      </c>
      <c r="M648">
        <v>2.4</v>
      </c>
      <c r="P648">
        <v>40</v>
      </c>
      <c r="Q648" t="s">
        <v>80</v>
      </c>
      <c r="R648" t="s">
        <v>409</v>
      </c>
      <c r="S648" t="s">
        <v>358</v>
      </c>
      <c r="T648" t="s">
        <v>327</v>
      </c>
      <c r="V648">
        <v>0</v>
      </c>
      <c r="Y648">
        <v>0</v>
      </c>
      <c r="Z648">
        <v>0</v>
      </c>
      <c r="AA648">
        <v>0</v>
      </c>
      <c r="AB648">
        <v>2303241.2200000002</v>
      </c>
      <c r="AC648">
        <v>0</v>
      </c>
      <c r="AD648">
        <v>0</v>
      </c>
      <c r="AE648">
        <v>0</v>
      </c>
      <c r="AQ648">
        <v>182380</v>
      </c>
      <c r="AR648" t="b">
        <v>1</v>
      </c>
      <c r="AS648" t="b">
        <v>1</v>
      </c>
      <c r="AT648" t="b">
        <v>1</v>
      </c>
      <c r="AU648" t="b">
        <v>1</v>
      </c>
      <c r="AV648" t="b">
        <v>1</v>
      </c>
      <c r="AW648" t="b">
        <v>1</v>
      </c>
      <c r="AX648" t="b">
        <v>1</v>
      </c>
      <c r="BA648" t="s">
        <v>441</v>
      </c>
    </row>
    <row r="649" spans="1:53" x14ac:dyDescent="0.25">
      <c r="A649" t="s">
        <v>386</v>
      </c>
      <c r="B649">
        <v>11</v>
      </c>
      <c r="C649">
        <v>32</v>
      </c>
      <c r="D649">
        <v>1</v>
      </c>
      <c r="E649">
        <v>52081900</v>
      </c>
      <c r="F649">
        <v>275340</v>
      </c>
      <c r="G649" t="s">
        <v>312</v>
      </c>
      <c r="H649" t="s">
        <v>60</v>
      </c>
      <c r="I649" t="s">
        <v>60</v>
      </c>
      <c r="J649" t="s">
        <v>60</v>
      </c>
      <c r="K649" t="s">
        <v>60</v>
      </c>
      <c r="L649" t="s">
        <v>27</v>
      </c>
      <c r="M649">
        <v>2.4</v>
      </c>
      <c r="P649">
        <v>40</v>
      </c>
      <c r="Q649" t="s">
        <v>80</v>
      </c>
      <c r="R649" t="s">
        <v>435</v>
      </c>
      <c r="S649" t="s">
        <v>382</v>
      </c>
      <c r="T649" t="s">
        <v>353</v>
      </c>
      <c r="V649">
        <v>0</v>
      </c>
      <c r="Y649">
        <v>0</v>
      </c>
      <c r="Z649">
        <v>0</v>
      </c>
      <c r="AA649">
        <v>0</v>
      </c>
      <c r="AB649">
        <v>2303241.2200000002</v>
      </c>
      <c r="AC649">
        <v>0</v>
      </c>
      <c r="AD649">
        <v>0</v>
      </c>
      <c r="AE649">
        <v>0</v>
      </c>
      <c r="AQ649">
        <v>182380</v>
      </c>
      <c r="AR649" t="b">
        <v>1</v>
      </c>
      <c r="AS649" t="b">
        <v>1</v>
      </c>
      <c r="AT649" t="b">
        <v>1</v>
      </c>
      <c r="AU649" t="b">
        <v>1</v>
      </c>
      <c r="AV649" t="b">
        <v>1</v>
      </c>
      <c r="AW649" t="b">
        <v>1</v>
      </c>
      <c r="AX649" t="b">
        <v>1</v>
      </c>
      <c r="BA649" t="s">
        <v>441</v>
      </c>
    </row>
    <row r="650" spans="1:53" x14ac:dyDescent="0.25">
      <c r="A650" t="s">
        <v>386</v>
      </c>
      <c r="B650">
        <v>11</v>
      </c>
      <c r="C650">
        <v>33</v>
      </c>
      <c r="D650">
        <v>1</v>
      </c>
      <c r="E650">
        <v>56039200</v>
      </c>
      <c r="F650">
        <v>267890</v>
      </c>
      <c r="G650" t="s">
        <v>323</v>
      </c>
      <c r="H650" t="s">
        <v>60</v>
      </c>
      <c r="I650" t="s">
        <v>60</v>
      </c>
      <c r="J650" t="s">
        <v>60</v>
      </c>
      <c r="K650" t="s">
        <v>60</v>
      </c>
      <c r="L650" t="s">
        <v>11</v>
      </c>
      <c r="M650">
        <v>1</v>
      </c>
      <c r="P650">
        <v>40</v>
      </c>
      <c r="Q650" t="s">
        <v>80</v>
      </c>
      <c r="R650" t="s">
        <v>430</v>
      </c>
      <c r="S650" t="s">
        <v>377</v>
      </c>
      <c r="T650" t="s">
        <v>348</v>
      </c>
      <c r="V650">
        <v>0</v>
      </c>
      <c r="Y650">
        <v>0</v>
      </c>
      <c r="Z650">
        <v>0</v>
      </c>
      <c r="AA650">
        <v>0</v>
      </c>
      <c r="AB650">
        <v>23649.68</v>
      </c>
      <c r="AC650">
        <v>0</v>
      </c>
      <c r="AD650">
        <v>0</v>
      </c>
      <c r="AE650">
        <v>0</v>
      </c>
      <c r="AQ650">
        <v>182380</v>
      </c>
      <c r="AR650" t="b">
        <v>1</v>
      </c>
      <c r="AS650" t="b">
        <v>1</v>
      </c>
      <c r="AT650" t="b">
        <v>1</v>
      </c>
      <c r="AU650" t="b">
        <v>1</v>
      </c>
      <c r="AV650" t="b">
        <v>1</v>
      </c>
      <c r="AW650" t="b">
        <v>1</v>
      </c>
      <c r="AX650" t="b">
        <v>1</v>
      </c>
      <c r="BA650" t="s">
        <v>441</v>
      </c>
    </row>
    <row r="651" spans="1:53" x14ac:dyDescent="0.25">
      <c r="A651" t="s">
        <v>386</v>
      </c>
      <c r="B651">
        <v>11</v>
      </c>
      <c r="C651">
        <v>34</v>
      </c>
      <c r="D651">
        <v>1</v>
      </c>
      <c r="E651">
        <v>39191020</v>
      </c>
      <c r="F651">
        <v>273158</v>
      </c>
      <c r="G651" t="s">
        <v>325</v>
      </c>
      <c r="H651" t="s">
        <v>60</v>
      </c>
      <c r="I651" t="s">
        <v>60</v>
      </c>
      <c r="J651" t="s">
        <v>60</v>
      </c>
      <c r="K651" t="s">
        <v>60</v>
      </c>
      <c r="L651" t="s">
        <v>27</v>
      </c>
      <c r="M651">
        <v>10.79</v>
      </c>
      <c r="P651">
        <v>40</v>
      </c>
      <c r="Q651" t="s">
        <v>80</v>
      </c>
      <c r="R651" t="s">
        <v>436</v>
      </c>
      <c r="S651" t="s">
        <v>383</v>
      </c>
      <c r="T651" t="s">
        <v>354</v>
      </c>
      <c r="V651">
        <v>0</v>
      </c>
      <c r="Y651">
        <v>0</v>
      </c>
      <c r="Z651">
        <v>0</v>
      </c>
      <c r="AA651">
        <v>0</v>
      </c>
      <c r="AB651">
        <v>12948000</v>
      </c>
      <c r="AC651">
        <v>0</v>
      </c>
      <c r="AD651">
        <v>0</v>
      </c>
      <c r="AE651">
        <v>0</v>
      </c>
      <c r="AQ651">
        <v>182380</v>
      </c>
      <c r="AR651" t="b">
        <v>1</v>
      </c>
      <c r="AS651" t="b">
        <v>1</v>
      </c>
      <c r="AT651" t="b">
        <v>1</v>
      </c>
      <c r="AU651" t="b">
        <v>1</v>
      </c>
      <c r="AV651" t="b">
        <v>1</v>
      </c>
      <c r="AW651" t="b">
        <v>1</v>
      </c>
      <c r="AX651" t="b">
        <v>1</v>
      </c>
      <c r="BA651" t="s">
        <v>441</v>
      </c>
    </row>
    <row r="652" spans="1:53" x14ac:dyDescent="0.25">
      <c r="A652" t="s">
        <v>386</v>
      </c>
      <c r="B652">
        <v>11</v>
      </c>
      <c r="C652">
        <v>35</v>
      </c>
      <c r="D652">
        <v>1</v>
      </c>
      <c r="E652">
        <v>48211090</v>
      </c>
      <c r="F652">
        <v>297274</v>
      </c>
      <c r="G652" t="s">
        <v>315</v>
      </c>
      <c r="H652" t="s">
        <v>60</v>
      </c>
      <c r="I652" t="s">
        <v>60</v>
      </c>
      <c r="J652" t="s">
        <v>60</v>
      </c>
      <c r="K652" t="s">
        <v>60</v>
      </c>
      <c r="L652" t="s">
        <v>12</v>
      </c>
      <c r="M652">
        <v>50</v>
      </c>
      <c r="P652">
        <v>40</v>
      </c>
      <c r="Q652" t="s">
        <v>80</v>
      </c>
      <c r="R652" t="s">
        <v>415</v>
      </c>
      <c r="S652" t="s">
        <v>363</v>
      </c>
      <c r="T652" t="s">
        <v>333</v>
      </c>
      <c r="V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Q652">
        <v>182380</v>
      </c>
      <c r="AR652" t="b">
        <v>1</v>
      </c>
      <c r="AS652" t="b">
        <v>1</v>
      </c>
      <c r="AT652" t="b">
        <v>1</v>
      </c>
      <c r="AU652" t="b">
        <v>1</v>
      </c>
      <c r="AV652" t="b">
        <v>1</v>
      </c>
      <c r="AW652" t="b">
        <v>1</v>
      </c>
      <c r="AX652" t="b">
        <v>1</v>
      </c>
      <c r="BA652" t="s">
        <v>441</v>
      </c>
    </row>
    <row r="653" spans="1:53" x14ac:dyDescent="0.25">
      <c r="A653" t="s">
        <v>386</v>
      </c>
      <c r="B653">
        <v>11</v>
      </c>
      <c r="C653">
        <v>36</v>
      </c>
      <c r="D653">
        <v>1</v>
      </c>
      <c r="E653">
        <v>48211090</v>
      </c>
      <c r="F653">
        <v>297275</v>
      </c>
      <c r="G653" t="s">
        <v>316</v>
      </c>
      <c r="H653" t="s">
        <v>60</v>
      </c>
      <c r="I653" t="s">
        <v>60</v>
      </c>
      <c r="J653" t="s">
        <v>60</v>
      </c>
      <c r="K653" t="s">
        <v>60</v>
      </c>
      <c r="L653" t="s">
        <v>12</v>
      </c>
      <c r="M653">
        <v>7.5</v>
      </c>
      <c r="P653">
        <v>40</v>
      </c>
      <c r="Q653" t="s">
        <v>80</v>
      </c>
      <c r="R653" t="s">
        <v>415</v>
      </c>
      <c r="S653" t="s">
        <v>363</v>
      </c>
      <c r="T653" t="s">
        <v>333</v>
      </c>
      <c r="V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Q653">
        <v>182380</v>
      </c>
      <c r="AR653" t="b">
        <v>1</v>
      </c>
      <c r="AS653" t="b">
        <v>1</v>
      </c>
      <c r="AT653" t="b">
        <v>1</v>
      </c>
      <c r="AU653" t="b">
        <v>1</v>
      </c>
      <c r="AV653" t="b">
        <v>1</v>
      </c>
      <c r="AW653" t="b">
        <v>1</v>
      </c>
      <c r="AX653" t="b">
        <v>1</v>
      </c>
      <c r="BA653" t="s">
        <v>441</v>
      </c>
    </row>
    <row r="654" spans="1:53" x14ac:dyDescent="0.25">
      <c r="A654" t="s">
        <v>386</v>
      </c>
      <c r="B654">
        <v>11</v>
      </c>
      <c r="C654">
        <v>37</v>
      </c>
      <c r="D654">
        <v>1</v>
      </c>
      <c r="E654">
        <v>48211090</v>
      </c>
      <c r="F654">
        <v>297276</v>
      </c>
      <c r="G654" t="s">
        <v>317</v>
      </c>
      <c r="H654" t="s">
        <v>60</v>
      </c>
      <c r="I654" t="s">
        <v>60</v>
      </c>
      <c r="J654" t="s">
        <v>60</v>
      </c>
      <c r="K654" t="s">
        <v>60</v>
      </c>
      <c r="L654" t="s">
        <v>12</v>
      </c>
      <c r="M654">
        <v>17.5</v>
      </c>
      <c r="P654">
        <v>40</v>
      </c>
      <c r="Q654" t="s">
        <v>80</v>
      </c>
      <c r="R654" t="s">
        <v>415</v>
      </c>
      <c r="S654" t="s">
        <v>363</v>
      </c>
      <c r="T654" t="s">
        <v>333</v>
      </c>
      <c r="V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Q654">
        <v>182380</v>
      </c>
      <c r="AR654" t="b">
        <v>1</v>
      </c>
      <c r="AS654" t="b">
        <v>1</v>
      </c>
      <c r="AT654" t="b">
        <v>1</v>
      </c>
      <c r="AU654" t="b">
        <v>1</v>
      </c>
      <c r="AV654" t="b">
        <v>1</v>
      </c>
      <c r="AW654" t="b">
        <v>1</v>
      </c>
      <c r="AX654" t="b">
        <v>1</v>
      </c>
      <c r="BA654" t="s">
        <v>441</v>
      </c>
    </row>
    <row r="655" spans="1:53" x14ac:dyDescent="0.25">
      <c r="A655" t="s">
        <v>386</v>
      </c>
      <c r="B655">
        <v>11</v>
      </c>
      <c r="C655">
        <v>38</v>
      </c>
      <c r="D655">
        <v>1</v>
      </c>
      <c r="E655">
        <v>48211090</v>
      </c>
      <c r="F655">
        <v>297277</v>
      </c>
      <c r="G655" t="s">
        <v>318</v>
      </c>
      <c r="H655" t="s">
        <v>60</v>
      </c>
      <c r="I655" t="s">
        <v>60</v>
      </c>
      <c r="J655" t="s">
        <v>60</v>
      </c>
      <c r="K655" t="s">
        <v>60</v>
      </c>
      <c r="L655" t="s">
        <v>12</v>
      </c>
      <c r="M655">
        <v>12.5</v>
      </c>
      <c r="P655">
        <v>40</v>
      </c>
      <c r="Q655" t="s">
        <v>80</v>
      </c>
      <c r="R655" t="s">
        <v>415</v>
      </c>
      <c r="S655" t="s">
        <v>363</v>
      </c>
      <c r="T655" t="s">
        <v>333</v>
      </c>
      <c r="V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Q655">
        <v>182380</v>
      </c>
      <c r="AR655" t="b">
        <v>1</v>
      </c>
      <c r="AS655" t="b">
        <v>1</v>
      </c>
      <c r="AT655" t="b">
        <v>1</v>
      </c>
      <c r="AU655" t="b">
        <v>1</v>
      </c>
      <c r="AV655" t="b">
        <v>1</v>
      </c>
      <c r="AW655" t="b">
        <v>1</v>
      </c>
      <c r="AX655" t="b">
        <v>1</v>
      </c>
      <c r="BA655" t="s">
        <v>441</v>
      </c>
    </row>
    <row r="656" spans="1:53" x14ac:dyDescent="0.25">
      <c r="A656" t="s">
        <v>386</v>
      </c>
      <c r="B656">
        <v>11</v>
      </c>
      <c r="C656">
        <v>39</v>
      </c>
      <c r="D656">
        <v>1</v>
      </c>
      <c r="E656">
        <v>48211090</v>
      </c>
      <c r="F656">
        <v>297278</v>
      </c>
      <c r="G656" t="s">
        <v>319</v>
      </c>
      <c r="H656" t="s">
        <v>60</v>
      </c>
      <c r="I656" t="s">
        <v>60</v>
      </c>
      <c r="J656" t="s">
        <v>60</v>
      </c>
      <c r="K656" t="s">
        <v>60</v>
      </c>
      <c r="L656" t="s">
        <v>12</v>
      </c>
      <c r="M656">
        <v>12.5</v>
      </c>
      <c r="P656">
        <v>40</v>
      </c>
      <c r="Q656" t="s">
        <v>80</v>
      </c>
      <c r="R656" t="s">
        <v>415</v>
      </c>
      <c r="S656" t="s">
        <v>363</v>
      </c>
      <c r="T656" t="s">
        <v>333</v>
      </c>
      <c r="V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Q656">
        <v>182380</v>
      </c>
      <c r="AR656" t="b">
        <v>1</v>
      </c>
      <c r="AS656" t="b">
        <v>1</v>
      </c>
      <c r="AT656" t="b">
        <v>1</v>
      </c>
      <c r="AU656" t="b">
        <v>1</v>
      </c>
      <c r="AV656" t="b">
        <v>1</v>
      </c>
      <c r="AW656" t="b">
        <v>1</v>
      </c>
      <c r="AX656" t="b">
        <v>1</v>
      </c>
      <c r="BA656" t="s">
        <v>441</v>
      </c>
    </row>
    <row r="657" spans="1:53" x14ac:dyDescent="0.25">
      <c r="A657" t="s">
        <v>386</v>
      </c>
      <c r="B657">
        <v>11</v>
      </c>
      <c r="C657">
        <v>40</v>
      </c>
      <c r="D657">
        <v>1</v>
      </c>
      <c r="E657">
        <v>96062100</v>
      </c>
      <c r="F657">
        <v>297279</v>
      </c>
      <c r="G657" t="s">
        <v>326</v>
      </c>
      <c r="H657" t="s">
        <v>60</v>
      </c>
      <c r="I657" t="s">
        <v>60</v>
      </c>
      <c r="J657" t="s">
        <v>60</v>
      </c>
      <c r="K657" t="s">
        <v>60</v>
      </c>
      <c r="L657" t="s">
        <v>12</v>
      </c>
      <c r="M657">
        <v>200</v>
      </c>
      <c r="P657">
        <v>40</v>
      </c>
      <c r="Q657" t="s">
        <v>80</v>
      </c>
      <c r="R657" t="s">
        <v>415</v>
      </c>
      <c r="S657" t="s">
        <v>363</v>
      </c>
      <c r="T657" t="s">
        <v>333</v>
      </c>
      <c r="V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Q657">
        <v>182380</v>
      </c>
      <c r="AR657" t="b">
        <v>1</v>
      </c>
      <c r="AS657" t="b">
        <v>1</v>
      </c>
      <c r="AT657" t="b">
        <v>1</v>
      </c>
      <c r="AU657" t="b">
        <v>1</v>
      </c>
      <c r="AV657" t="b">
        <v>1</v>
      </c>
      <c r="AW657" t="b">
        <v>1</v>
      </c>
      <c r="AX657" t="b">
        <v>1</v>
      </c>
      <c r="BA657" t="s">
        <v>441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1"/>
  <sheetViews>
    <sheetView workbookViewId="0"/>
  </sheetViews>
  <sheetFormatPr defaultRowHeight="15" x14ac:dyDescent="0.25"/>
  <cols>
    <col min="1" max="3" width="1.7109375" style="5" customWidth="1"/>
    <col min="4" max="4" width="22.140625" style="5" bestFit="1" customWidth="1"/>
    <col min="5" max="5" width="27" style="5" customWidth="1"/>
    <col min="6" max="8" width="1.7109375" style="5" customWidth="1"/>
    <col min="9" max="16384" width="9.140625" style="5"/>
  </cols>
  <sheetData>
    <row r="1" spans="1:8" ht="15.75" x14ac:dyDescent="0.25">
      <c r="A1" s="55" t="s">
        <v>171</v>
      </c>
      <c r="B1" s="55" t="s">
        <v>225</v>
      </c>
      <c r="C1" s="55" t="s">
        <v>52</v>
      </c>
      <c r="D1" s="65" t="s">
        <v>235</v>
      </c>
      <c r="E1" s="65" t="s">
        <v>236</v>
      </c>
      <c r="F1" s="55" t="s">
        <v>237</v>
      </c>
      <c r="G1" s="55" t="s">
        <v>238</v>
      </c>
      <c r="H1" s="55" t="s">
        <v>239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16.140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33.85546875" bestFit="1" customWidth="1"/>
    <col min="14" max="14" width="34.42578125" bestFit="1" customWidth="1"/>
    <col min="15" max="15" width="13.28515625" customWidth="1"/>
    <col min="16" max="30" width="1.7109375" hidden="1" customWidth="1"/>
    <col min="31" max="31" width="1" customWidth="1"/>
  </cols>
  <sheetData>
    <row r="1" spans="1:31" x14ac:dyDescent="0.25">
      <c r="A1" t="s">
        <v>295</v>
      </c>
    </row>
    <row r="2" spans="1:31" x14ac:dyDescent="0.25">
      <c r="A2" s="13"/>
    </row>
    <row r="3" spans="1:31" x14ac:dyDescent="0.25">
      <c r="C3" s="6"/>
      <c r="F3" s="6"/>
      <c r="I3" s="6"/>
      <c r="L3" s="6"/>
      <c r="O3" s="6"/>
      <c r="AE3" s="24" t="s">
        <v>124</v>
      </c>
    </row>
    <row r="4" spans="1:31" ht="15.75" customHeight="1" x14ac:dyDescent="0.25">
      <c r="A4" s="87"/>
      <c r="B4" s="86"/>
      <c r="C4" s="26"/>
      <c r="D4" s="87"/>
      <c r="E4" s="86"/>
      <c r="F4" s="26"/>
      <c r="G4" s="87"/>
      <c r="H4" s="86"/>
      <c r="I4" s="26"/>
      <c r="J4" s="88"/>
      <c r="K4" s="89"/>
      <c r="L4" s="26"/>
      <c r="M4" s="90"/>
      <c r="N4" s="91"/>
      <c r="O4" s="26"/>
      <c r="P4" s="90"/>
      <c r="Q4" s="91"/>
      <c r="R4" s="92"/>
      <c r="S4" s="90"/>
      <c r="T4" s="91"/>
      <c r="U4" s="92"/>
      <c r="V4" s="90"/>
      <c r="W4" s="91"/>
      <c r="X4" s="92"/>
      <c r="Y4" s="90"/>
      <c r="Z4" s="91"/>
      <c r="AA4" s="92"/>
      <c r="AB4" s="90"/>
      <c r="AC4" s="91"/>
      <c r="AD4" s="92"/>
      <c r="AE4" s="94"/>
    </row>
    <row r="5" spans="1:31" ht="15.75" x14ac:dyDescent="0.2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93"/>
      <c r="S5" s="22"/>
      <c r="T5" s="19"/>
      <c r="U5" s="93"/>
      <c r="V5" s="22"/>
      <c r="W5" s="19"/>
      <c r="X5" s="93"/>
      <c r="Y5" s="22"/>
      <c r="Z5" s="19"/>
      <c r="AA5" s="93"/>
      <c r="AB5" s="22"/>
      <c r="AC5" s="19"/>
      <c r="AD5" s="93"/>
      <c r="AE5" s="95"/>
    </row>
  </sheetData>
  <mergeCells count="16">
    <mergeCell ref="Y4:Z4"/>
    <mergeCell ref="AA4:AA5"/>
    <mergeCell ref="AB4:AC4"/>
    <mergeCell ref="AD4:AD5"/>
    <mergeCell ref="AE4:AE5"/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7" t="s">
        <v>131</v>
      </c>
      <c r="B1" s="97"/>
      <c r="C1" s="35">
        <f>COUNTIF($C$6:$C$1048576,TRUE)</f>
        <v>0</v>
      </c>
      <c r="D1" s="30"/>
      <c r="E1" s="31"/>
      <c r="F1" s="44"/>
    </row>
    <row r="2" spans="1:7" ht="15" customHeight="1" x14ac:dyDescent="0.25">
      <c r="A2" s="97"/>
      <c r="B2" s="97"/>
      <c r="C2" s="35"/>
      <c r="D2" s="30"/>
      <c r="E2" s="32"/>
      <c r="F2" s="44"/>
      <c r="G2" s="14" t="s">
        <v>95</v>
      </c>
    </row>
    <row r="3" spans="1:7" ht="28.5" customHeight="1" x14ac:dyDescent="0.25">
      <c r="A3" s="98"/>
      <c r="B3" s="98"/>
      <c r="C3" s="33"/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/>
      <c r="B5" s="39"/>
      <c r="C5" s="39"/>
      <c r="D5" s="40"/>
      <c r="E5" s="40"/>
      <c r="F5" s="44"/>
    </row>
    <row r="6" spans="1:7" x14ac:dyDescent="0.25">
      <c r="B6" s="4"/>
      <c r="C6" s="27"/>
      <c r="D6" s="29"/>
      <c r="E6" s="18"/>
      <c r="F6" s="17"/>
    </row>
    <row r="7" spans="1:7" x14ac:dyDescent="0.25">
      <c r="B7" s="4"/>
      <c r="C7" s="27"/>
      <c r="D7" s="29"/>
      <c r="E7" s="18"/>
      <c r="F7" s="17"/>
    </row>
    <row r="8" spans="1:7" x14ac:dyDescent="0.25">
      <c r="B8" s="4"/>
      <c r="C8" s="27"/>
      <c r="D8" s="29"/>
      <c r="E8" s="18"/>
      <c r="F8" s="17"/>
    </row>
    <row r="9" spans="1:7" x14ac:dyDescent="0.25">
      <c r="B9" s="4"/>
      <c r="C9" s="27"/>
      <c r="D9" s="29"/>
      <c r="E9" s="18"/>
      <c r="F9" s="17"/>
    </row>
    <row r="10" spans="1:7" x14ac:dyDescent="0.25">
      <c r="B10" s="4"/>
      <c r="C10" s="27"/>
      <c r="D10" s="29"/>
      <c r="E10" s="18"/>
      <c r="F10" s="17"/>
    </row>
    <row r="11" spans="1:7" x14ac:dyDescent="0.25">
      <c r="C11" s="18"/>
      <c r="D11" s="28"/>
      <c r="E11" s="16"/>
      <c r="F11" s="17"/>
    </row>
    <row r="12" spans="1:7" x14ac:dyDescent="0.25">
      <c r="C12" s="18"/>
      <c r="D12" s="28"/>
      <c r="E12" s="16"/>
      <c r="F12" s="17"/>
    </row>
    <row r="13" spans="1:7" x14ac:dyDescent="0.25">
      <c r="C13" s="18"/>
      <c r="D13" s="28"/>
      <c r="E13" s="16"/>
      <c r="F13" s="17"/>
    </row>
    <row r="14" spans="1:7" x14ac:dyDescent="0.25">
      <c r="C14" s="18"/>
      <c r="D14" s="28"/>
      <c r="E14" s="16"/>
      <c r="F14" s="17"/>
    </row>
    <row r="15" spans="1:7" x14ac:dyDescent="0.25">
      <c r="C15" s="18"/>
      <c r="D15" s="28"/>
      <c r="E15" s="16"/>
      <c r="F15" s="17"/>
    </row>
    <row r="16" spans="1:7" x14ac:dyDescent="0.25">
      <c r="C16" s="18"/>
      <c r="D16" s="28"/>
      <c r="E16" s="16"/>
      <c r="F16" s="17"/>
    </row>
    <row r="17" spans="1:7" x14ac:dyDescent="0.25">
      <c r="C17" s="18"/>
      <c r="D17" s="28"/>
      <c r="E17" s="16"/>
      <c r="F17" s="17"/>
    </row>
    <row r="18" spans="1:7" x14ac:dyDescent="0.25">
      <c r="C18" s="18"/>
      <c r="D18" s="28"/>
      <c r="E18" s="16"/>
      <c r="F18" s="17"/>
    </row>
    <row r="19" spans="1:7" x14ac:dyDescent="0.25">
      <c r="C19" s="18"/>
      <c r="D19" s="28"/>
      <c r="E19" s="16"/>
      <c r="F19" s="17"/>
    </row>
    <row r="20" spans="1:7" x14ac:dyDescent="0.25">
      <c r="C20" s="18"/>
      <c r="D20" s="28"/>
      <c r="E20" s="16"/>
      <c r="F20" s="17"/>
    </row>
    <row r="21" spans="1:7" x14ac:dyDescent="0.25">
      <c r="C21" s="18"/>
      <c r="D21" s="28"/>
      <c r="E21" s="16"/>
      <c r="F21" s="17"/>
    </row>
    <row r="22" spans="1:7" x14ac:dyDescent="0.25">
      <c r="C22" s="18"/>
      <c r="D22" s="28"/>
      <c r="E22" s="16"/>
      <c r="F22" s="17"/>
    </row>
    <row r="23" spans="1:7" x14ac:dyDescent="0.25">
      <c r="C23" s="18"/>
      <c r="D23" s="28"/>
      <c r="E23" s="16"/>
      <c r="F23" s="17"/>
    </row>
    <row r="24" spans="1:7" x14ac:dyDescent="0.25">
      <c r="C24" s="18"/>
      <c r="D24" s="28"/>
      <c r="E24" s="16"/>
      <c r="F24" s="17"/>
    </row>
    <row r="25" spans="1:7" x14ac:dyDescent="0.25">
      <c r="C25" s="18"/>
      <c r="D25" s="28"/>
      <c r="E25" s="16"/>
      <c r="F25" s="17"/>
    </row>
    <row r="26" spans="1:7" x14ac:dyDescent="0.25">
      <c r="C26" s="18"/>
      <c r="D26" s="28"/>
      <c r="E26" s="16"/>
      <c r="F26" s="17"/>
    </row>
    <row r="27" spans="1:7" x14ac:dyDescent="0.25">
      <c r="C27" s="18"/>
      <c r="D27" s="28"/>
      <c r="E27" s="16"/>
      <c r="F27" s="17"/>
    </row>
    <row r="28" spans="1:7" x14ac:dyDescent="0.25">
      <c r="C28" s="18"/>
      <c r="D28" s="28"/>
      <c r="E28" s="16"/>
      <c r="F28" s="17"/>
    </row>
    <row r="29" spans="1:7" s="14" customFormat="1" x14ac:dyDescent="0.25">
      <c r="A29" s="15"/>
      <c r="B29" s="6"/>
      <c r="C29" s="18"/>
      <c r="D29" s="28"/>
      <c r="E29" s="16"/>
      <c r="G29"/>
    </row>
    <row r="30" spans="1:7" s="14" customFormat="1" x14ac:dyDescent="0.25">
      <c r="A30" s="15"/>
      <c r="B30" s="6"/>
      <c r="C30" s="18"/>
      <c r="D30" s="28"/>
      <c r="E30" s="16"/>
      <c r="G30"/>
    </row>
    <row r="31" spans="1:7" s="14" customFormat="1" x14ac:dyDescent="0.25">
      <c r="A31" s="15"/>
      <c r="B31" s="6"/>
      <c r="C31" s="18"/>
      <c r="D31" s="28"/>
      <c r="E31" s="16"/>
      <c r="G31"/>
    </row>
    <row r="32" spans="1:7" s="14" customFormat="1" x14ac:dyDescent="0.25">
      <c r="A32" s="15"/>
      <c r="B32" s="6"/>
      <c r="C32" s="18"/>
      <c r="D32" s="28"/>
      <c r="E32" s="16"/>
      <c r="G32"/>
    </row>
    <row r="33" spans="1:7" s="14" customFormat="1" x14ac:dyDescent="0.25">
      <c r="A33" s="15"/>
      <c r="B33" s="6"/>
      <c r="C33" s="18"/>
      <c r="D33" s="28"/>
      <c r="E33" s="16"/>
      <c r="G33"/>
    </row>
    <row r="34" spans="1:7" s="14" customFormat="1" x14ac:dyDescent="0.25">
      <c r="A34" s="15"/>
      <c r="B34" s="6"/>
      <c r="C34" s="18"/>
      <c r="D34" s="28"/>
      <c r="E34" s="16"/>
      <c r="G34"/>
    </row>
    <row r="35" spans="1:7" s="14" customFormat="1" x14ac:dyDescent="0.25">
      <c r="A35" s="15"/>
      <c r="B35" s="6"/>
      <c r="C35" s="18"/>
      <c r="D35" s="28"/>
      <c r="E35" s="16"/>
      <c r="G35"/>
    </row>
    <row r="36" spans="1:7" s="14" customFormat="1" x14ac:dyDescent="0.25">
      <c r="A36" s="15"/>
      <c r="B36" s="6"/>
      <c r="C36" s="18"/>
      <c r="D36" s="28"/>
      <c r="E36" s="16"/>
      <c r="G36"/>
    </row>
    <row r="37" spans="1:7" s="14" customFormat="1" x14ac:dyDescent="0.25">
      <c r="A37" s="15"/>
      <c r="B37" s="6"/>
      <c r="C37" s="18"/>
      <c r="D37" s="28"/>
      <c r="E37" s="16"/>
      <c r="G37"/>
    </row>
    <row r="38" spans="1:7" s="14" customFormat="1" x14ac:dyDescent="0.25">
      <c r="A38" s="15"/>
      <c r="B38" s="6"/>
      <c r="C38" s="18"/>
      <c r="D38" s="28"/>
      <c r="E38" s="16"/>
      <c r="G38"/>
    </row>
    <row r="39" spans="1:7" s="14" customFormat="1" x14ac:dyDescent="0.25">
      <c r="A39" s="15"/>
      <c r="B39" s="6"/>
      <c r="C39" s="18"/>
      <c r="D39" s="28"/>
      <c r="E39" s="16"/>
      <c r="G39"/>
    </row>
    <row r="40" spans="1:7" s="14" customFormat="1" x14ac:dyDescent="0.25">
      <c r="A40" s="15"/>
      <c r="B40" s="6"/>
      <c r="C40" s="18"/>
      <c r="D40" s="28"/>
      <c r="E40" s="16"/>
      <c r="G40"/>
    </row>
    <row r="41" spans="1:7" s="14" customFormat="1" x14ac:dyDescent="0.25">
      <c r="A41" s="15"/>
      <c r="B41" s="6"/>
      <c r="C41" s="18"/>
      <c r="D41" s="28"/>
      <c r="E41" s="16"/>
      <c r="G41"/>
    </row>
    <row r="42" spans="1:7" s="14" customFormat="1" x14ac:dyDescent="0.25">
      <c r="A42" s="15"/>
      <c r="B42" s="6"/>
      <c r="C42" s="18"/>
      <c r="D42" s="28"/>
      <c r="E42" s="16"/>
      <c r="G42"/>
    </row>
    <row r="43" spans="1:7" s="14" customFormat="1" x14ac:dyDescent="0.25">
      <c r="A43" s="15"/>
      <c r="B43" s="6"/>
      <c r="C43" s="18"/>
      <c r="D43" s="28"/>
      <c r="E43" s="16"/>
      <c r="G43"/>
    </row>
    <row r="44" spans="1:7" s="14" customFormat="1" x14ac:dyDescent="0.25">
      <c r="A44" s="15"/>
      <c r="B44" s="6"/>
      <c r="C44" s="18"/>
      <c r="D44" s="28"/>
      <c r="E44" s="16"/>
      <c r="G44"/>
    </row>
    <row r="45" spans="1:7" s="14" customFormat="1" x14ac:dyDescent="0.25">
      <c r="A45" s="15"/>
      <c r="B45" s="6"/>
      <c r="C45" s="18"/>
      <c r="D45" s="28"/>
      <c r="E45" s="16"/>
      <c r="G45"/>
    </row>
    <row r="46" spans="1:7" s="14" customFormat="1" x14ac:dyDescent="0.25">
      <c r="A46" s="15"/>
      <c r="B46" s="6"/>
      <c r="C46" s="18"/>
      <c r="D46" s="28"/>
      <c r="E46" s="16"/>
      <c r="G46"/>
    </row>
    <row r="47" spans="1:7" s="14" customFormat="1" x14ac:dyDescent="0.25">
      <c r="A47" s="15"/>
      <c r="B47" s="6"/>
      <c r="C47" s="18"/>
      <c r="D47" s="28"/>
      <c r="E47" s="16"/>
      <c r="G47"/>
    </row>
    <row r="48" spans="1:7" s="14" customFormat="1" x14ac:dyDescent="0.25">
      <c r="A48" s="15"/>
      <c r="B48" s="6"/>
      <c r="C48" s="18"/>
      <c r="D48" s="28"/>
      <c r="E48" s="16"/>
      <c r="G48"/>
    </row>
    <row r="49" spans="1:7" s="14" customFormat="1" x14ac:dyDescent="0.25">
      <c r="A49" s="15"/>
      <c r="B49" s="6"/>
      <c r="C49" s="18"/>
      <c r="D49" s="28"/>
      <c r="E49" s="16"/>
      <c r="G49"/>
    </row>
    <row r="50" spans="1:7" s="14" customFormat="1" x14ac:dyDescent="0.25">
      <c r="A50" s="15"/>
      <c r="B50" s="6"/>
      <c r="C50" s="18"/>
      <c r="D50" s="28"/>
      <c r="E50" s="16"/>
      <c r="G50"/>
    </row>
    <row r="51" spans="1:7" s="14" customFormat="1" x14ac:dyDescent="0.25">
      <c r="A51" s="15"/>
      <c r="B51" s="6"/>
      <c r="C51" s="18"/>
      <c r="D51" s="28"/>
      <c r="E51" s="16"/>
      <c r="G51"/>
    </row>
    <row r="52" spans="1:7" s="14" customFormat="1" x14ac:dyDescent="0.25">
      <c r="A52" s="15"/>
      <c r="B52" s="6"/>
      <c r="C52" s="18"/>
      <c r="D52" s="28"/>
      <c r="E52" s="16"/>
      <c r="G52"/>
    </row>
    <row r="53" spans="1:7" s="14" customFormat="1" x14ac:dyDescent="0.25">
      <c r="A53" s="15"/>
      <c r="B53" s="6"/>
      <c r="C53" s="18"/>
      <c r="D53" s="28"/>
      <c r="E53" s="16"/>
      <c r="G53"/>
    </row>
    <row r="54" spans="1:7" s="14" customFormat="1" x14ac:dyDescent="0.25">
      <c r="A54" s="15"/>
      <c r="B54" s="6"/>
      <c r="C54" s="18"/>
      <c r="D54" s="28"/>
      <c r="E54" s="16"/>
      <c r="G54"/>
    </row>
    <row r="55" spans="1:7" s="14" customFormat="1" x14ac:dyDescent="0.25">
      <c r="A55" s="15"/>
      <c r="B55" s="6"/>
      <c r="C55" s="18"/>
      <c r="D55" s="28"/>
      <c r="E55" s="16"/>
      <c r="G55"/>
    </row>
    <row r="56" spans="1:7" s="14" customFormat="1" x14ac:dyDescent="0.25">
      <c r="A56" s="15"/>
      <c r="B56" s="6"/>
      <c r="C56" s="18"/>
      <c r="D56" s="28"/>
      <c r="E56" s="16"/>
      <c r="G56"/>
    </row>
    <row r="57" spans="1:7" s="14" customFormat="1" x14ac:dyDescent="0.25">
      <c r="A57" s="15"/>
      <c r="B57" s="6"/>
      <c r="C57" s="18"/>
      <c r="D57" s="28"/>
      <c r="E57" s="16"/>
      <c r="G57"/>
    </row>
    <row r="58" spans="1:7" s="14" customFormat="1" x14ac:dyDescent="0.25">
      <c r="A58" s="15"/>
      <c r="B58" s="6"/>
      <c r="C58" s="18"/>
      <c r="D58" s="28"/>
      <c r="E58" s="16"/>
      <c r="G58"/>
    </row>
    <row r="59" spans="1:7" s="14" customFormat="1" x14ac:dyDescent="0.25">
      <c r="A59" s="15"/>
      <c r="B59" s="6"/>
      <c r="C59" s="18"/>
      <c r="D59" s="28"/>
      <c r="E59" s="16"/>
      <c r="G59"/>
    </row>
    <row r="60" spans="1:7" s="14" customFormat="1" x14ac:dyDescent="0.25">
      <c r="A60" s="15"/>
      <c r="B60" s="6"/>
      <c r="C60" s="18"/>
      <c r="D60" s="28"/>
      <c r="E60" s="16"/>
      <c r="G60"/>
    </row>
    <row r="61" spans="1:7" s="14" customFormat="1" x14ac:dyDescent="0.25">
      <c r="A61" s="15"/>
      <c r="B61" s="6"/>
      <c r="C61" s="18"/>
      <c r="D61" s="28"/>
      <c r="E61" s="16"/>
      <c r="G61"/>
    </row>
    <row r="62" spans="1:7" s="14" customFormat="1" x14ac:dyDescent="0.25">
      <c r="A62" s="15"/>
      <c r="B62" s="6"/>
      <c r="C62" s="18"/>
      <c r="D62" s="28"/>
      <c r="E62" s="16"/>
      <c r="G62"/>
    </row>
    <row r="63" spans="1:7" s="14" customFormat="1" x14ac:dyDescent="0.25">
      <c r="A63" s="15"/>
      <c r="B63" s="6"/>
      <c r="C63" s="18"/>
      <c r="D63" s="28"/>
      <c r="E63" s="16"/>
      <c r="G63"/>
    </row>
    <row r="64" spans="1:7" s="14" customFormat="1" x14ac:dyDescent="0.25">
      <c r="A64" s="15"/>
      <c r="B64" s="6"/>
      <c r="C64" s="18"/>
      <c r="D64" s="28"/>
      <c r="E64" s="16"/>
      <c r="G64"/>
    </row>
    <row r="65" spans="1:7" s="14" customFormat="1" x14ac:dyDescent="0.25">
      <c r="A65" s="15"/>
      <c r="B65" s="6"/>
      <c r="C65" s="18"/>
      <c r="D65" s="28"/>
      <c r="E65" s="16"/>
      <c r="G65"/>
    </row>
    <row r="66" spans="1:7" s="14" customFormat="1" x14ac:dyDescent="0.25">
      <c r="A66" s="15"/>
      <c r="B66" s="6"/>
      <c r="C66" s="18"/>
      <c r="D66" s="28"/>
      <c r="E66" s="16"/>
      <c r="G66"/>
    </row>
    <row r="67" spans="1:7" s="14" customFormat="1" x14ac:dyDescent="0.25">
      <c r="A67" s="15"/>
      <c r="B67" s="6"/>
      <c r="C67" s="18"/>
      <c r="D67" s="28"/>
      <c r="E67" s="16"/>
      <c r="G67"/>
    </row>
    <row r="68" spans="1:7" s="14" customFormat="1" x14ac:dyDescent="0.25">
      <c r="A68" s="15"/>
      <c r="B68" s="6"/>
      <c r="C68" s="18"/>
      <c r="D68" s="28"/>
      <c r="E68" s="16"/>
      <c r="G68"/>
    </row>
    <row r="69" spans="1:7" s="14" customFormat="1" x14ac:dyDescent="0.25">
      <c r="A69" s="15"/>
      <c r="B69" s="6"/>
      <c r="C69" s="18"/>
      <c r="D69" s="28"/>
      <c r="E69" s="16"/>
      <c r="G69"/>
    </row>
    <row r="70" spans="1:7" s="14" customFormat="1" x14ac:dyDescent="0.25">
      <c r="A70" s="15"/>
      <c r="B70" s="6"/>
      <c r="C70" s="18"/>
      <c r="D70" s="28"/>
      <c r="E70" s="16"/>
      <c r="G70"/>
    </row>
    <row r="71" spans="1:7" s="14" customFormat="1" x14ac:dyDescent="0.25">
      <c r="A71" s="15"/>
      <c r="B71" s="6"/>
      <c r="C71" s="18"/>
      <c r="D71" s="28"/>
      <c r="E71" s="16"/>
      <c r="G71"/>
    </row>
    <row r="72" spans="1:7" s="14" customFormat="1" x14ac:dyDescent="0.25">
      <c r="A72" s="15"/>
      <c r="B72" s="6"/>
      <c r="C72" s="18"/>
      <c r="D72" s="28"/>
      <c r="E72" s="16"/>
      <c r="G72"/>
    </row>
    <row r="73" spans="1:7" s="14" customFormat="1" x14ac:dyDescent="0.25">
      <c r="A73" s="15"/>
      <c r="B73" s="6"/>
      <c r="C73" s="18"/>
      <c r="D73" s="28"/>
      <c r="E73" s="16"/>
      <c r="G73"/>
    </row>
    <row r="74" spans="1:7" s="14" customFormat="1" x14ac:dyDescent="0.25">
      <c r="A74" s="15"/>
      <c r="B74" s="6"/>
      <c r="C74" s="18"/>
      <c r="D74" s="28"/>
      <c r="E74" s="16"/>
      <c r="G74"/>
    </row>
    <row r="75" spans="1:7" s="14" customFormat="1" x14ac:dyDescent="0.25">
      <c r="A75" s="15"/>
      <c r="B75" s="6"/>
      <c r="C75" s="18"/>
      <c r="D75" s="28"/>
      <c r="E75" s="16"/>
      <c r="G75"/>
    </row>
    <row r="76" spans="1:7" s="14" customFormat="1" x14ac:dyDescent="0.25">
      <c r="A76" s="15"/>
      <c r="B76" s="6"/>
      <c r="C76" s="18"/>
      <c r="D76" s="28"/>
      <c r="E76" s="16"/>
      <c r="G76"/>
    </row>
    <row r="77" spans="1:7" s="14" customFormat="1" x14ac:dyDescent="0.25">
      <c r="A77" s="15"/>
      <c r="B77" s="6"/>
      <c r="C77" s="18"/>
      <c r="D77" s="28"/>
      <c r="E77" s="16"/>
      <c r="G77"/>
    </row>
    <row r="78" spans="1:7" s="14" customFormat="1" x14ac:dyDescent="0.25">
      <c r="A78" s="15"/>
      <c r="B78" s="6"/>
      <c r="C78" s="18"/>
      <c r="D78" s="28"/>
      <c r="E78" s="16"/>
      <c r="G78"/>
    </row>
    <row r="79" spans="1:7" s="14" customFormat="1" x14ac:dyDescent="0.25">
      <c r="A79" s="15"/>
      <c r="B79" s="6"/>
      <c r="C79" s="18"/>
      <c r="D79" s="28"/>
      <c r="E79" s="16"/>
      <c r="G79"/>
    </row>
    <row r="80" spans="1:7" s="14" customFormat="1" x14ac:dyDescent="0.25">
      <c r="A80" s="15"/>
      <c r="B80" s="6"/>
      <c r="C80" s="18"/>
      <c r="D80" s="28"/>
      <c r="E80" s="16"/>
      <c r="G80"/>
    </row>
    <row r="81" spans="1:7" s="14" customFormat="1" x14ac:dyDescent="0.25">
      <c r="A81" s="15"/>
      <c r="B81" s="6"/>
      <c r="C81" s="18"/>
      <c r="D81" s="28"/>
      <c r="E81" s="16"/>
      <c r="G81"/>
    </row>
    <row r="82" spans="1:7" s="14" customFormat="1" x14ac:dyDescent="0.25">
      <c r="A82" s="15"/>
      <c r="B82" s="6"/>
      <c r="C82" s="18"/>
      <c r="D82" s="28"/>
      <c r="E82" s="16"/>
      <c r="G82"/>
    </row>
    <row r="83" spans="1:7" s="14" customFormat="1" x14ac:dyDescent="0.25">
      <c r="A83" s="15"/>
      <c r="B83" s="6"/>
      <c r="C83" s="18"/>
      <c r="D83" s="28"/>
      <c r="E83" s="16"/>
      <c r="G83"/>
    </row>
    <row r="84" spans="1:7" s="14" customFormat="1" x14ac:dyDescent="0.25">
      <c r="A84" s="15"/>
      <c r="B84" s="6"/>
      <c r="C84" s="18"/>
      <c r="D84" s="28"/>
      <c r="E84" s="16"/>
      <c r="G84"/>
    </row>
    <row r="85" spans="1:7" s="14" customFormat="1" x14ac:dyDescent="0.25">
      <c r="A85" s="15"/>
      <c r="B85" s="6"/>
      <c r="C85" s="18"/>
      <c r="D85" s="28"/>
      <c r="E85" s="16"/>
      <c r="G85"/>
    </row>
    <row r="86" spans="1:7" s="14" customFormat="1" x14ac:dyDescent="0.25">
      <c r="A86" s="15"/>
      <c r="B86" s="6"/>
      <c r="C86" s="18"/>
      <c r="D86" s="28"/>
      <c r="E86" s="16"/>
      <c r="G86"/>
    </row>
    <row r="87" spans="1:7" s="14" customFormat="1" x14ac:dyDescent="0.25">
      <c r="A87" s="15"/>
      <c r="B87" s="6"/>
      <c r="C87" s="18"/>
      <c r="D87" s="28"/>
      <c r="E87" s="16"/>
      <c r="G87"/>
    </row>
    <row r="88" spans="1:7" s="14" customFormat="1" x14ac:dyDescent="0.25">
      <c r="A88" s="15"/>
      <c r="B88" s="6"/>
      <c r="C88" s="18"/>
      <c r="D88" s="28"/>
      <c r="E88" s="16"/>
      <c r="G88"/>
    </row>
    <row r="89" spans="1:7" s="14" customFormat="1" x14ac:dyDescent="0.25">
      <c r="A89" s="15"/>
      <c r="B89" s="6"/>
      <c r="C89" s="18"/>
      <c r="D89" s="28"/>
      <c r="E89" s="16"/>
      <c r="G89"/>
    </row>
    <row r="90" spans="1:7" s="14" customFormat="1" x14ac:dyDescent="0.25">
      <c r="A90" s="15"/>
      <c r="B90" s="6"/>
      <c r="C90" s="18"/>
      <c r="D90" s="28"/>
      <c r="E90" s="16"/>
      <c r="G90"/>
    </row>
    <row r="91" spans="1:7" s="14" customFormat="1" x14ac:dyDescent="0.25">
      <c r="A91" s="15"/>
      <c r="B91" s="6"/>
      <c r="C91" s="18"/>
      <c r="D91" s="28"/>
      <c r="E91" s="16"/>
      <c r="G91"/>
    </row>
    <row r="92" spans="1:7" s="14" customFormat="1" x14ac:dyDescent="0.25">
      <c r="A92" s="15"/>
      <c r="B92" s="6"/>
      <c r="C92" s="18"/>
      <c r="D92" s="28"/>
      <c r="E92" s="16"/>
      <c r="G92"/>
    </row>
    <row r="93" spans="1:7" s="14" customFormat="1" x14ac:dyDescent="0.25">
      <c r="A93" s="15"/>
      <c r="B93" s="6"/>
      <c r="C93" s="18"/>
      <c r="D93" s="28"/>
      <c r="E93" s="16"/>
      <c r="G93"/>
    </row>
    <row r="94" spans="1:7" s="14" customFormat="1" x14ac:dyDescent="0.25">
      <c r="A94" s="15"/>
      <c r="B94" s="6"/>
      <c r="C94" s="18"/>
      <c r="D94" s="28"/>
      <c r="E94" s="16"/>
      <c r="G94"/>
    </row>
    <row r="95" spans="1:7" s="14" customFormat="1" x14ac:dyDescent="0.25">
      <c r="A95" s="15"/>
      <c r="B95" s="6"/>
      <c r="C95" s="18"/>
      <c r="D95" s="28"/>
      <c r="E95" s="16"/>
      <c r="G95"/>
    </row>
    <row r="96" spans="1:7" s="14" customFormat="1" x14ac:dyDescent="0.25">
      <c r="A96" s="15"/>
      <c r="B96" s="6"/>
      <c r="C96" s="18"/>
      <c r="D96" s="28"/>
      <c r="E96" s="16"/>
      <c r="G96"/>
    </row>
    <row r="97" spans="1:7" s="14" customFormat="1" x14ac:dyDescent="0.25">
      <c r="A97" s="15"/>
      <c r="B97" s="6"/>
      <c r="C97" s="18"/>
      <c r="D97" s="28"/>
      <c r="E97" s="16"/>
      <c r="G97"/>
    </row>
    <row r="98" spans="1:7" s="14" customFormat="1" x14ac:dyDescent="0.25">
      <c r="A98" s="15"/>
      <c r="B98" s="6"/>
      <c r="C98" s="18"/>
      <c r="D98" s="28"/>
      <c r="E98" s="16"/>
      <c r="G98"/>
    </row>
    <row r="99" spans="1:7" s="14" customFormat="1" x14ac:dyDescent="0.25">
      <c r="A99" s="15"/>
      <c r="B99" s="6"/>
      <c r="C99" s="18"/>
      <c r="D99" s="28"/>
      <c r="E99" s="16"/>
      <c r="G99"/>
    </row>
    <row r="100" spans="1:7" s="14" customFormat="1" x14ac:dyDescent="0.25">
      <c r="A100" s="15"/>
      <c r="B100" s="6"/>
      <c r="C100" s="18"/>
      <c r="D100" s="28"/>
      <c r="E100" s="16"/>
      <c r="G100"/>
    </row>
    <row r="101" spans="1:7" s="14" customFormat="1" x14ac:dyDescent="0.25">
      <c r="A101" s="15"/>
      <c r="B101" s="6"/>
      <c r="C101" s="18"/>
      <c r="D101" s="28"/>
      <c r="E101" s="16"/>
      <c r="G101"/>
    </row>
    <row r="102" spans="1:7" s="14" customFormat="1" x14ac:dyDescent="0.25">
      <c r="A102" s="15"/>
      <c r="B102" s="6"/>
      <c r="C102" s="18"/>
      <c r="D102" s="28"/>
      <c r="E102" s="16"/>
      <c r="G102"/>
    </row>
    <row r="103" spans="1:7" s="14" customFormat="1" x14ac:dyDescent="0.25">
      <c r="A103" s="15"/>
      <c r="B103" s="6"/>
      <c r="C103" s="18"/>
      <c r="D103" s="28"/>
      <c r="E103" s="16"/>
      <c r="G103"/>
    </row>
    <row r="104" spans="1:7" s="14" customFormat="1" x14ac:dyDescent="0.25">
      <c r="A104" s="15"/>
      <c r="B104" s="6"/>
      <c r="C104" s="18"/>
      <c r="D104" s="28"/>
      <c r="E104" s="16"/>
      <c r="G104"/>
    </row>
    <row r="105" spans="1:7" s="14" customFormat="1" x14ac:dyDescent="0.25">
      <c r="A105" s="15"/>
      <c r="B105" s="6"/>
      <c r="C105" s="18"/>
      <c r="D105" s="28"/>
      <c r="E105" s="16"/>
      <c r="G105"/>
    </row>
    <row r="106" spans="1:7" s="14" customFormat="1" x14ac:dyDescent="0.25">
      <c r="A106" s="15"/>
      <c r="B106" s="6"/>
      <c r="C106" s="18"/>
      <c r="D106" s="28"/>
      <c r="E106" s="16"/>
      <c r="G106"/>
    </row>
    <row r="107" spans="1:7" s="14" customFormat="1" x14ac:dyDescent="0.25">
      <c r="A107" s="15"/>
      <c r="B107" s="6"/>
      <c r="C107" s="18"/>
      <c r="D107" s="28"/>
      <c r="E107" s="16"/>
      <c r="G107"/>
    </row>
    <row r="108" spans="1:7" s="14" customFormat="1" x14ac:dyDescent="0.25">
      <c r="A108" s="15"/>
      <c r="B108" s="6"/>
      <c r="C108" s="18"/>
      <c r="D108" s="28"/>
      <c r="E108" s="16"/>
      <c r="G108"/>
    </row>
    <row r="109" spans="1:7" s="14" customFormat="1" x14ac:dyDescent="0.25">
      <c r="A109" s="15"/>
      <c r="B109" s="6"/>
      <c r="C109" s="18"/>
      <c r="D109" s="28"/>
      <c r="E109" s="16"/>
      <c r="G109"/>
    </row>
    <row r="110" spans="1:7" s="14" customFormat="1" x14ac:dyDescent="0.25">
      <c r="A110" s="15"/>
      <c r="B110" s="6"/>
      <c r="C110" s="18"/>
      <c r="D110" s="28"/>
      <c r="E110" s="16"/>
      <c r="G110"/>
    </row>
    <row r="111" spans="1:7" s="14" customFormat="1" x14ac:dyDescent="0.25">
      <c r="A111" s="15"/>
      <c r="B111" s="6"/>
      <c r="C111" s="18"/>
      <c r="D111" s="28"/>
      <c r="E111" s="16"/>
      <c r="G111"/>
    </row>
    <row r="112" spans="1:7" s="14" customFormat="1" x14ac:dyDescent="0.25">
      <c r="A112" s="15"/>
      <c r="B112" s="6"/>
      <c r="C112" s="18"/>
      <c r="D112" s="28"/>
      <c r="E112" s="16"/>
      <c r="G112"/>
    </row>
    <row r="113" spans="1:7" s="14" customFormat="1" x14ac:dyDescent="0.25">
      <c r="A113" s="15"/>
      <c r="B113" s="6"/>
      <c r="C113" s="18"/>
      <c r="D113" s="28"/>
      <c r="E113" s="16"/>
      <c r="G113"/>
    </row>
    <row r="114" spans="1:7" s="14" customFormat="1" x14ac:dyDescent="0.25">
      <c r="A114" s="15"/>
      <c r="B114" s="6"/>
      <c r="C114" s="18"/>
      <c r="D114" s="28"/>
      <c r="E114" s="16"/>
      <c r="G114"/>
    </row>
    <row r="115" spans="1:7" s="14" customFormat="1" x14ac:dyDescent="0.25">
      <c r="A115" s="15"/>
      <c r="B115" s="6"/>
      <c r="C115" s="18"/>
      <c r="D115" s="28"/>
      <c r="E115" s="16"/>
      <c r="G115"/>
    </row>
    <row r="116" spans="1:7" s="14" customFormat="1" x14ac:dyDescent="0.25">
      <c r="A116" s="15"/>
      <c r="B116" s="6"/>
      <c r="C116" s="18"/>
      <c r="D116" s="28"/>
      <c r="E116" s="16"/>
      <c r="G116"/>
    </row>
    <row r="117" spans="1:7" s="14" customFormat="1" x14ac:dyDescent="0.25">
      <c r="A117" s="15"/>
      <c r="B117" s="6"/>
      <c r="C117" s="18"/>
      <c r="D117" s="28"/>
      <c r="E117" s="16"/>
      <c r="G117"/>
    </row>
    <row r="118" spans="1:7" s="14" customFormat="1" x14ac:dyDescent="0.25">
      <c r="A118" s="15"/>
      <c r="B118" s="6"/>
      <c r="C118" s="18"/>
      <c r="D118" s="28"/>
      <c r="E118" s="16"/>
      <c r="G118"/>
    </row>
    <row r="119" spans="1:7" s="14" customFormat="1" x14ac:dyDescent="0.25">
      <c r="A119" s="15"/>
      <c r="B119" s="6"/>
      <c r="C119" s="18"/>
      <c r="D119" s="28"/>
      <c r="E119" s="16"/>
      <c r="G119"/>
    </row>
    <row r="120" spans="1:7" s="14" customFormat="1" x14ac:dyDescent="0.25">
      <c r="A120" s="15"/>
      <c r="B120" s="6"/>
      <c r="C120" s="18"/>
      <c r="D120" s="28"/>
      <c r="E120" s="16"/>
      <c r="G120"/>
    </row>
    <row r="121" spans="1:7" s="14" customFormat="1" x14ac:dyDescent="0.25">
      <c r="A121" s="15"/>
      <c r="B121" s="6"/>
      <c r="C121" s="18"/>
      <c r="D121" s="28"/>
      <c r="E121" s="16"/>
      <c r="G121"/>
    </row>
    <row r="122" spans="1:7" s="14" customFormat="1" x14ac:dyDescent="0.25">
      <c r="A122" s="15"/>
      <c r="B122" s="6"/>
      <c r="C122" s="18"/>
      <c r="D122" s="28"/>
      <c r="E122" s="16"/>
      <c r="G122"/>
    </row>
    <row r="123" spans="1:7" s="14" customFormat="1" x14ac:dyDescent="0.25">
      <c r="A123" s="15"/>
      <c r="B123" s="6"/>
      <c r="C123" s="18"/>
      <c r="D123" s="28"/>
      <c r="E123" s="16"/>
      <c r="G123"/>
    </row>
    <row r="124" spans="1:7" s="14" customFormat="1" x14ac:dyDescent="0.25">
      <c r="A124" s="15"/>
      <c r="B124" s="6"/>
      <c r="C124" s="18"/>
      <c r="D124" s="28"/>
      <c r="E124" s="16"/>
      <c r="G124"/>
    </row>
    <row r="125" spans="1:7" s="14" customFormat="1" x14ac:dyDescent="0.25">
      <c r="A125" s="15"/>
      <c r="B125" s="6"/>
      <c r="C125" s="18"/>
      <c r="D125" s="28"/>
      <c r="E125" s="16"/>
      <c r="G125"/>
    </row>
    <row r="126" spans="1:7" s="14" customFormat="1" x14ac:dyDescent="0.25">
      <c r="A126" s="15"/>
      <c r="B126" s="6"/>
      <c r="C126" s="18"/>
      <c r="D126" s="28"/>
      <c r="E126" s="16"/>
      <c r="G126"/>
    </row>
    <row r="127" spans="1:7" s="14" customFormat="1" x14ac:dyDescent="0.25">
      <c r="A127" s="15"/>
      <c r="B127" s="6"/>
      <c r="C127" s="18"/>
      <c r="D127" s="28"/>
      <c r="E127" s="16"/>
      <c r="G127"/>
    </row>
    <row r="128" spans="1:7" s="14" customFormat="1" x14ac:dyDescent="0.25">
      <c r="A128" s="15"/>
      <c r="B128" s="6"/>
      <c r="C128" s="18"/>
      <c r="D128" s="28"/>
      <c r="E128" s="16"/>
      <c r="G128"/>
    </row>
    <row r="129" spans="1:7" s="14" customFormat="1" x14ac:dyDescent="0.25">
      <c r="A129" s="15"/>
      <c r="B129" s="6"/>
      <c r="C129" s="18"/>
      <c r="D129" s="28"/>
      <c r="E129" s="16"/>
      <c r="G129"/>
    </row>
    <row r="130" spans="1:7" s="14" customFormat="1" x14ac:dyDescent="0.25">
      <c r="A130" s="15"/>
      <c r="B130" s="6"/>
      <c r="C130" s="18"/>
      <c r="D130" s="28"/>
      <c r="E130" s="16"/>
      <c r="G130"/>
    </row>
    <row r="131" spans="1:7" s="14" customFormat="1" x14ac:dyDescent="0.25">
      <c r="A131" s="15"/>
      <c r="B131" s="6"/>
      <c r="C131" s="18"/>
      <c r="D131" s="28"/>
      <c r="E131" s="16"/>
      <c r="G131"/>
    </row>
    <row r="132" spans="1:7" s="14" customFormat="1" x14ac:dyDescent="0.25">
      <c r="A132" s="15"/>
      <c r="B132" s="6"/>
      <c r="C132" s="18"/>
      <c r="D132" s="28"/>
      <c r="E132" s="16"/>
      <c r="G132"/>
    </row>
    <row r="133" spans="1:7" s="14" customFormat="1" x14ac:dyDescent="0.25">
      <c r="A133" s="15"/>
      <c r="B133" s="6"/>
      <c r="C133" s="18"/>
      <c r="D133" s="28"/>
      <c r="E133" s="16"/>
      <c r="G133"/>
    </row>
    <row r="134" spans="1:7" s="14" customFormat="1" x14ac:dyDescent="0.25">
      <c r="A134" s="15"/>
      <c r="B134" s="6"/>
      <c r="C134" s="18"/>
      <c r="D134" s="28"/>
      <c r="E134" s="16"/>
      <c r="G134"/>
    </row>
    <row r="135" spans="1:7" s="14" customFormat="1" x14ac:dyDescent="0.25">
      <c r="A135" s="15"/>
      <c r="B135" s="6"/>
      <c r="C135" s="18"/>
      <c r="D135" s="28"/>
      <c r="E135" s="16"/>
      <c r="G135"/>
    </row>
    <row r="136" spans="1:7" s="14" customFormat="1" x14ac:dyDescent="0.25">
      <c r="A136" s="15"/>
      <c r="B136" s="6"/>
      <c r="C136" s="18"/>
      <c r="D136" s="28"/>
      <c r="E136" s="16"/>
      <c r="G136"/>
    </row>
    <row r="137" spans="1:7" s="14" customFormat="1" x14ac:dyDescent="0.25">
      <c r="A137" s="15"/>
      <c r="B137" s="6"/>
      <c r="C137" s="18"/>
      <c r="D137" s="28"/>
      <c r="E137" s="16"/>
      <c r="G137"/>
    </row>
    <row r="138" spans="1:7" s="14" customFormat="1" x14ac:dyDescent="0.25">
      <c r="A138" s="15"/>
      <c r="B138" s="6"/>
      <c r="C138" s="18"/>
      <c r="D138" s="28"/>
      <c r="E138" s="16"/>
      <c r="G138"/>
    </row>
    <row r="139" spans="1:7" s="14" customFormat="1" x14ac:dyDescent="0.25">
      <c r="A139" s="15"/>
      <c r="B139" s="6"/>
      <c r="C139" s="18"/>
      <c r="D139" s="28"/>
      <c r="E139" s="16"/>
      <c r="G139"/>
    </row>
    <row r="140" spans="1:7" s="14" customFormat="1" x14ac:dyDescent="0.25">
      <c r="A140" s="15"/>
      <c r="B140" s="6"/>
      <c r="C140" s="18"/>
      <c r="D140" s="28"/>
      <c r="E140" s="16"/>
      <c r="G140"/>
    </row>
    <row r="141" spans="1:7" s="14" customFormat="1" x14ac:dyDescent="0.25">
      <c r="A141" s="15"/>
      <c r="B141" s="6"/>
      <c r="C141" s="18"/>
      <c r="D141" s="28"/>
      <c r="E141" s="16"/>
      <c r="G141"/>
    </row>
    <row r="142" spans="1:7" s="14" customFormat="1" x14ac:dyDescent="0.25">
      <c r="A142" s="15"/>
      <c r="B142" s="6"/>
      <c r="C142" s="18"/>
      <c r="D142" s="28"/>
      <c r="E142" s="16"/>
      <c r="G142"/>
    </row>
    <row r="143" spans="1:7" s="14" customFormat="1" x14ac:dyDescent="0.25">
      <c r="A143" s="15"/>
      <c r="B143" s="6"/>
      <c r="C143" s="18"/>
      <c r="D143" s="28"/>
      <c r="E143" s="16"/>
      <c r="G143"/>
    </row>
    <row r="144" spans="1:7" s="14" customFormat="1" x14ac:dyDescent="0.25">
      <c r="A144" s="15"/>
      <c r="B144" s="6"/>
      <c r="C144" s="18"/>
      <c r="D144" s="28"/>
      <c r="E144" s="16"/>
      <c r="G144"/>
    </row>
    <row r="145" spans="1:7" s="14" customFormat="1" x14ac:dyDescent="0.25">
      <c r="A145" s="15"/>
      <c r="B145" s="6"/>
      <c r="C145" s="18"/>
      <c r="D145" s="28"/>
      <c r="E145" s="16"/>
      <c r="G145"/>
    </row>
    <row r="146" spans="1:7" s="14" customFormat="1" x14ac:dyDescent="0.25">
      <c r="A146" s="15"/>
      <c r="B146" s="6"/>
      <c r="C146" s="18"/>
      <c r="D146" s="28"/>
      <c r="E146" s="16"/>
      <c r="G146"/>
    </row>
    <row r="147" spans="1:7" s="14" customFormat="1" x14ac:dyDescent="0.25">
      <c r="A147" s="15"/>
      <c r="B147" s="6"/>
      <c r="C147" s="18"/>
      <c r="D147" s="28"/>
      <c r="E147" s="16"/>
      <c r="G147"/>
    </row>
    <row r="148" spans="1:7" s="14" customFormat="1" x14ac:dyDescent="0.25">
      <c r="A148" s="15"/>
      <c r="B148" s="6"/>
      <c r="C148" s="18"/>
      <c r="D148" s="28"/>
      <c r="E148" s="16"/>
      <c r="G148"/>
    </row>
    <row r="149" spans="1:7" s="14" customFormat="1" x14ac:dyDescent="0.25">
      <c r="A149" s="15"/>
      <c r="B149" s="6"/>
      <c r="C149" s="18"/>
      <c r="D149" s="28"/>
      <c r="E149" s="16"/>
      <c r="G149"/>
    </row>
    <row r="150" spans="1:7" s="14" customFormat="1" x14ac:dyDescent="0.25">
      <c r="A150" s="15"/>
      <c r="B150" s="6"/>
      <c r="C150" s="18"/>
      <c r="D150" s="28"/>
      <c r="E150" s="16"/>
      <c r="G150"/>
    </row>
    <row r="151" spans="1:7" s="14" customFormat="1" x14ac:dyDescent="0.25">
      <c r="A151" s="15"/>
      <c r="B151" s="6"/>
      <c r="C151" s="18"/>
      <c r="D151" s="28"/>
      <c r="E151" s="16"/>
      <c r="G151"/>
    </row>
    <row r="152" spans="1:7" s="14" customFormat="1" x14ac:dyDescent="0.25">
      <c r="A152" s="15"/>
      <c r="B152" s="6"/>
      <c r="C152" s="18"/>
      <c r="D152" s="28"/>
      <c r="E152" s="16"/>
      <c r="G152"/>
    </row>
    <row r="153" spans="1:7" s="14" customFormat="1" x14ac:dyDescent="0.25">
      <c r="A153" s="15"/>
      <c r="B153" s="6"/>
      <c r="C153" s="18"/>
      <c r="D153" s="28"/>
      <c r="E153" s="16"/>
      <c r="G153"/>
    </row>
    <row r="154" spans="1:7" s="14" customFormat="1" x14ac:dyDescent="0.25">
      <c r="A154" s="15"/>
      <c r="B154" s="6"/>
      <c r="C154" s="18"/>
      <c r="D154" s="28"/>
      <c r="E154" s="16"/>
      <c r="G154"/>
    </row>
    <row r="155" spans="1:7" s="14" customFormat="1" x14ac:dyDescent="0.25">
      <c r="A155" s="15"/>
      <c r="B155" s="6"/>
      <c r="C155" s="18"/>
      <c r="D155" s="28"/>
      <c r="E155" s="16"/>
      <c r="G155"/>
    </row>
    <row r="156" spans="1:7" s="14" customFormat="1" x14ac:dyDescent="0.25">
      <c r="A156" s="15"/>
      <c r="B156" s="6"/>
      <c r="C156" s="18"/>
      <c r="D156" s="28"/>
      <c r="E156" s="16"/>
      <c r="G156"/>
    </row>
    <row r="157" spans="1:7" s="14" customFormat="1" x14ac:dyDescent="0.25">
      <c r="A157" s="15"/>
      <c r="B157" s="6"/>
      <c r="C157" s="18"/>
      <c r="D157" s="28"/>
      <c r="E157" s="16"/>
      <c r="G157"/>
    </row>
    <row r="158" spans="1:7" s="14" customFormat="1" x14ac:dyDescent="0.25">
      <c r="A158" s="15"/>
      <c r="B158" s="6"/>
      <c r="C158" s="18"/>
      <c r="D158" s="28"/>
      <c r="E158" s="16"/>
      <c r="G158"/>
    </row>
    <row r="159" spans="1:7" s="14" customFormat="1" x14ac:dyDescent="0.25">
      <c r="A159" s="15"/>
      <c r="B159" s="6"/>
      <c r="C159" s="18"/>
      <c r="D159" s="28"/>
      <c r="E159" s="16"/>
      <c r="G159"/>
    </row>
    <row r="160" spans="1:7" s="14" customFormat="1" x14ac:dyDescent="0.25">
      <c r="A160" s="15"/>
      <c r="B160" s="6"/>
      <c r="C160" s="18"/>
      <c r="D160" s="28"/>
      <c r="E160" s="16"/>
      <c r="G160"/>
    </row>
    <row r="161" spans="1:7" s="14" customFormat="1" x14ac:dyDescent="0.25">
      <c r="A161" s="15"/>
      <c r="B161" s="6"/>
      <c r="C161" s="18"/>
      <c r="D161" s="28"/>
      <c r="E161" s="16"/>
      <c r="G161"/>
    </row>
    <row r="162" spans="1:7" s="14" customFormat="1" x14ac:dyDescent="0.25">
      <c r="A162" s="15"/>
      <c r="B162" s="6"/>
      <c r="C162" s="18"/>
      <c r="D162" s="28"/>
      <c r="E162" s="16"/>
      <c r="G162"/>
    </row>
    <row r="163" spans="1:7" s="14" customFormat="1" x14ac:dyDescent="0.25">
      <c r="A163" s="15"/>
      <c r="B163" s="6"/>
      <c r="C163" s="18"/>
      <c r="D163" s="28"/>
      <c r="E163" s="16"/>
      <c r="G163"/>
    </row>
    <row r="164" spans="1:7" s="14" customFormat="1" x14ac:dyDescent="0.25">
      <c r="A164" s="15"/>
      <c r="B164" s="6"/>
      <c r="C164" s="18"/>
      <c r="D164" s="28"/>
      <c r="E164" s="16"/>
      <c r="G164"/>
    </row>
    <row r="165" spans="1:7" s="14" customFormat="1" x14ac:dyDescent="0.25">
      <c r="A165" s="15"/>
      <c r="B165" s="6"/>
      <c r="C165" s="18"/>
      <c r="D165" s="28"/>
      <c r="E165" s="16"/>
      <c r="G165"/>
    </row>
    <row r="166" spans="1:7" s="14" customFormat="1" x14ac:dyDescent="0.25">
      <c r="A166" s="15"/>
      <c r="B166" s="6"/>
      <c r="C166" s="18"/>
      <c r="D166" s="28"/>
      <c r="E166" s="16"/>
      <c r="G166"/>
    </row>
    <row r="167" spans="1:7" s="14" customFormat="1" x14ac:dyDescent="0.25">
      <c r="A167" s="15"/>
      <c r="B167" s="6"/>
      <c r="C167" s="18"/>
      <c r="D167" s="28"/>
      <c r="E167" s="16"/>
      <c r="G167"/>
    </row>
    <row r="168" spans="1:7" s="14" customFormat="1" x14ac:dyDescent="0.25">
      <c r="A168" s="15"/>
      <c r="B168" s="6"/>
      <c r="C168" s="18"/>
      <c r="D168" s="28"/>
      <c r="E168" s="16"/>
      <c r="G168"/>
    </row>
    <row r="169" spans="1:7" s="14" customFormat="1" x14ac:dyDescent="0.25">
      <c r="A169" s="15"/>
      <c r="B169" s="6"/>
      <c r="C169" s="18"/>
      <c r="D169" s="28"/>
      <c r="E169" s="16"/>
      <c r="G169"/>
    </row>
    <row r="170" spans="1:7" s="14" customFormat="1" x14ac:dyDescent="0.25">
      <c r="A170" s="15"/>
      <c r="B170" s="6"/>
      <c r="C170" s="18"/>
      <c r="D170" s="28"/>
      <c r="E170" s="16"/>
      <c r="G170"/>
    </row>
    <row r="171" spans="1:7" s="14" customFormat="1" x14ac:dyDescent="0.25">
      <c r="A171" s="15"/>
      <c r="B171" s="6"/>
      <c r="C171" s="18"/>
      <c r="D171" s="28"/>
      <c r="E171" s="16"/>
      <c r="G171"/>
    </row>
    <row r="172" spans="1:7" s="14" customFormat="1" x14ac:dyDescent="0.25">
      <c r="A172" s="15"/>
      <c r="B172" s="6"/>
      <c r="C172" s="18"/>
      <c r="D172" s="28"/>
      <c r="E172" s="16"/>
      <c r="G172"/>
    </row>
    <row r="173" spans="1:7" s="14" customFormat="1" x14ac:dyDescent="0.25">
      <c r="A173" s="15"/>
      <c r="B173" s="6"/>
      <c r="C173" s="18"/>
      <c r="D173" s="28"/>
      <c r="E173" s="16"/>
      <c r="G173"/>
    </row>
    <row r="174" spans="1:7" s="14" customFormat="1" x14ac:dyDescent="0.25">
      <c r="A174" s="15"/>
      <c r="B174" s="6"/>
      <c r="C174" s="18"/>
      <c r="D174" s="28"/>
      <c r="E174" s="16"/>
      <c r="G174"/>
    </row>
    <row r="175" spans="1:7" s="14" customFormat="1" x14ac:dyDescent="0.25">
      <c r="A175" s="15"/>
      <c r="B175" s="6"/>
      <c r="C175" s="18"/>
      <c r="D175" s="28"/>
      <c r="E175" s="16"/>
      <c r="G175"/>
    </row>
    <row r="176" spans="1:7" s="14" customFormat="1" x14ac:dyDescent="0.25">
      <c r="A176" s="15"/>
      <c r="B176" s="6"/>
      <c r="C176" s="18"/>
      <c r="D176" s="28"/>
      <c r="E176" s="16"/>
      <c r="G176"/>
    </row>
    <row r="177" spans="1:7" s="14" customFormat="1" x14ac:dyDescent="0.25">
      <c r="A177" s="15"/>
      <c r="B177" s="6"/>
      <c r="C177" s="18"/>
      <c r="D177" s="28"/>
      <c r="E177" s="16"/>
      <c r="G177"/>
    </row>
    <row r="178" spans="1:7" s="14" customFormat="1" x14ac:dyDescent="0.25">
      <c r="A178" s="15"/>
      <c r="B178" s="6"/>
      <c r="C178" s="18"/>
      <c r="D178" s="28"/>
      <c r="E178" s="16"/>
      <c r="G178"/>
    </row>
    <row r="179" spans="1:7" s="14" customFormat="1" x14ac:dyDescent="0.25">
      <c r="A179" s="15"/>
      <c r="B179" s="6"/>
      <c r="C179" s="18"/>
      <c r="D179" s="28"/>
      <c r="E179" s="16"/>
      <c r="G179"/>
    </row>
    <row r="180" spans="1:7" s="14" customFormat="1" x14ac:dyDescent="0.25">
      <c r="A180" s="15"/>
      <c r="B180" s="6"/>
      <c r="C180" s="18"/>
      <c r="D180" s="28"/>
      <c r="E180" s="16"/>
      <c r="G180"/>
    </row>
    <row r="181" spans="1:7" s="14" customFormat="1" x14ac:dyDescent="0.25">
      <c r="A181" s="15"/>
      <c r="B181" s="6"/>
      <c r="C181" s="18"/>
      <c r="D181" s="28"/>
      <c r="E181" s="16"/>
      <c r="G181"/>
    </row>
    <row r="182" spans="1:7" s="14" customFormat="1" x14ac:dyDescent="0.25">
      <c r="A182" s="15"/>
      <c r="B182" s="6"/>
      <c r="C182" s="18"/>
      <c r="D182" s="28"/>
      <c r="E182" s="16"/>
      <c r="G182"/>
    </row>
    <row r="183" spans="1:7" s="14" customFormat="1" x14ac:dyDescent="0.25">
      <c r="A183" s="15"/>
      <c r="B183" s="6"/>
      <c r="C183" s="18"/>
      <c r="D183" s="28"/>
      <c r="E183" s="16"/>
      <c r="G183"/>
    </row>
    <row r="184" spans="1:7" s="14" customFormat="1" x14ac:dyDescent="0.25">
      <c r="A184" s="15"/>
      <c r="B184" s="6"/>
      <c r="C184" s="18"/>
      <c r="D184" s="28"/>
      <c r="E184" s="16"/>
      <c r="G184"/>
    </row>
    <row r="185" spans="1:7" s="14" customFormat="1" x14ac:dyDescent="0.25">
      <c r="A185" s="15"/>
      <c r="B185" s="6"/>
      <c r="C185" s="18"/>
      <c r="D185" s="28"/>
      <c r="E185" s="16"/>
      <c r="G185"/>
    </row>
    <row r="186" spans="1:7" s="14" customFormat="1" x14ac:dyDescent="0.25">
      <c r="A186" s="15"/>
      <c r="B186" s="6"/>
      <c r="C186" s="18"/>
      <c r="D186" s="28"/>
      <c r="E186" s="16"/>
      <c r="G186"/>
    </row>
    <row r="187" spans="1:7" s="14" customFormat="1" x14ac:dyDescent="0.25">
      <c r="A187" s="15"/>
      <c r="B187" s="6"/>
      <c r="C187" s="18"/>
      <c r="D187" s="28"/>
      <c r="E187" s="16"/>
      <c r="G187"/>
    </row>
    <row r="188" spans="1:7" s="14" customFormat="1" x14ac:dyDescent="0.25">
      <c r="A188" s="15"/>
      <c r="B188" s="6"/>
      <c r="C188" s="18"/>
      <c r="D188" s="28"/>
      <c r="E188" s="16"/>
      <c r="G188"/>
    </row>
    <row r="189" spans="1:7" s="14" customFormat="1" x14ac:dyDescent="0.25">
      <c r="A189" s="15"/>
      <c r="B189" s="6"/>
      <c r="C189" s="18"/>
      <c r="D189" s="28"/>
      <c r="E189" s="16"/>
      <c r="G189"/>
    </row>
    <row r="190" spans="1:7" s="14" customFormat="1" x14ac:dyDescent="0.25">
      <c r="A190" s="15"/>
      <c r="B190" s="6"/>
      <c r="C190" s="18"/>
      <c r="D190" s="28"/>
      <c r="E190" s="16"/>
      <c r="G190"/>
    </row>
    <row r="191" spans="1:7" s="14" customFormat="1" x14ac:dyDescent="0.25">
      <c r="A191" s="15"/>
      <c r="B191" s="6"/>
      <c r="C191" s="18"/>
      <c r="D191" s="28"/>
      <c r="E191" s="16"/>
      <c r="G191"/>
    </row>
    <row r="192" spans="1:7" s="14" customFormat="1" x14ac:dyDescent="0.25">
      <c r="A192" s="15"/>
      <c r="B192" s="6"/>
      <c r="C192" s="18"/>
      <c r="D192" s="28"/>
      <c r="E192" s="16"/>
      <c r="G192"/>
    </row>
    <row r="193" spans="1:7" s="14" customFormat="1" x14ac:dyDescent="0.25">
      <c r="A193" s="15"/>
      <c r="B193" s="6"/>
      <c r="C193" s="18"/>
      <c r="D193" s="28"/>
      <c r="E193" s="16"/>
      <c r="G193"/>
    </row>
    <row r="194" spans="1:7" s="14" customFormat="1" x14ac:dyDescent="0.25">
      <c r="A194" s="15"/>
      <c r="B194" s="6"/>
      <c r="C194" s="18"/>
      <c r="D194" s="28"/>
      <c r="E194" s="16"/>
      <c r="G194"/>
    </row>
    <row r="195" spans="1:7" s="14" customFormat="1" x14ac:dyDescent="0.25">
      <c r="A195" s="15"/>
      <c r="B195" s="6"/>
      <c r="C195" s="18"/>
      <c r="D195" s="28"/>
      <c r="E195" s="16"/>
      <c r="G195"/>
    </row>
    <row r="196" spans="1:7" s="14" customFormat="1" x14ac:dyDescent="0.25">
      <c r="A196" s="15"/>
      <c r="B196" s="6"/>
      <c r="C196" s="18"/>
      <c r="D196" s="28"/>
      <c r="E196" s="16"/>
      <c r="G196"/>
    </row>
    <row r="197" spans="1:7" s="14" customFormat="1" x14ac:dyDescent="0.25">
      <c r="A197" s="15"/>
      <c r="B197" s="6"/>
      <c r="C197" s="18"/>
      <c r="D197" s="28"/>
      <c r="E197" s="16"/>
      <c r="G197"/>
    </row>
    <row r="198" spans="1:7" s="14" customFormat="1" x14ac:dyDescent="0.25">
      <c r="A198" s="15"/>
      <c r="B198" s="6"/>
      <c r="C198" s="18"/>
      <c r="D198" s="28"/>
      <c r="E198" s="16"/>
      <c r="G198"/>
    </row>
    <row r="199" spans="1:7" s="14" customFormat="1" x14ac:dyDescent="0.25">
      <c r="A199" s="15"/>
      <c r="B199" s="6"/>
      <c r="C199" s="18"/>
      <c r="D199" s="28"/>
      <c r="E199" s="16"/>
      <c r="G199"/>
    </row>
    <row r="200" spans="1:7" s="14" customFormat="1" x14ac:dyDescent="0.25">
      <c r="A200" s="15"/>
      <c r="B200" s="6"/>
      <c r="C200" s="18"/>
      <c r="D200" s="28"/>
      <c r="E200" s="16"/>
      <c r="G200"/>
    </row>
    <row r="201" spans="1:7" s="14" customFormat="1" x14ac:dyDescent="0.25">
      <c r="A201" s="15"/>
      <c r="B201" s="6"/>
      <c r="C201" s="18"/>
      <c r="D201" s="28"/>
      <c r="E201" s="16"/>
      <c r="G201"/>
    </row>
    <row r="202" spans="1:7" s="14" customFormat="1" x14ac:dyDescent="0.25">
      <c r="A202" s="15"/>
      <c r="B202" s="6"/>
      <c r="C202" s="18"/>
      <c r="D202" s="28"/>
      <c r="E202" s="16"/>
      <c r="G202"/>
    </row>
    <row r="203" spans="1:7" s="14" customFormat="1" x14ac:dyDescent="0.25">
      <c r="A203" s="15"/>
      <c r="B203" s="6"/>
      <c r="C203" s="18"/>
      <c r="D203" s="28"/>
      <c r="E203" s="16"/>
      <c r="G203"/>
    </row>
    <row r="204" spans="1:7" s="14" customFormat="1" x14ac:dyDescent="0.25">
      <c r="A204" s="15"/>
      <c r="B204" s="6"/>
      <c r="C204" s="18"/>
      <c r="D204" s="28"/>
      <c r="E204" s="16"/>
      <c r="G204"/>
    </row>
    <row r="205" spans="1:7" s="14" customFormat="1" x14ac:dyDescent="0.25">
      <c r="A205" s="15"/>
      <c r="B205" s="6"/>
      <c r="C205" s="18"/>
      <c r="D205" s="28"/>
      <c r="E205" s="16"/>
      <c r="G205"/>
    </row>
    <row r="206" spans="1:7" s="14" customFormat="1" x14ac:dyDescent="0.25">
      <c r="A206" s="15"/>
      <c r="B206" s="6"/>
      <c r="C206" s="18"/>
      <c r="D206" s="28"/>
      <c r="E206" s="16"/>
      <c r="G206"/>
    </row>
    <row r="207" spans="1:7" s="14" customFormat="1" x14ac:dyDescent="0.25">
      <c r="A207" s="15"/>
      <c r="B207" s="6"/>
      <c r="C207" s="18"/>
      <c r="D207" s="28"/>
      <c r="E207" s="16"/>
      <c r="G207"/>
    </row>
    <row r="208" spans="1:7" s="14" customFormat="1" x14ac:dyDescent="0.25">
      <c r="A208" s="15"/>
      <c r="B208" s="6"/>
      <c r="C208" s="18"/>
      <c r="D208" s="28"/>
      <c r="E208" s="16"/>
      <c r="G208"/>
    </row>
    <row r="209" spans="1:7" s="14" customFormat="1" x14ac:dyDescent="0.25">
      <c r="A209" s="15"/>
      <c r="B209" s="6"/>
      <c r="C209" s="18"/>
      <c r="D209" s="28"/>
      <c r="E209" s="16"/>
      <c r="G209"/>
    </row>
    <row r="210" spans="1:7" s="14" customFormat="1" x14ac:dyDescent="0.25">
      <c r="A210" s="15"/>
      <c r="B210" s="6"/>
      <c r="C210" s="18"/>
      <c r="D210" s="28"/>
      <c r="E210" s="16"/>
      <c r="G210"/>
    </row>
    <row r="211" spans="1:7" s="14" customFormat="1" x14ac:dyDescent="0.25">
      <c r="A211" s="15"/>
      <c r="B211" s="6"/>
      <c r="C211" s="18"/>
      <c r="D211" s="28"/>
      <c r="E211" s="16"/>
      <c r="G211"/>
    </row>
    <row r="212" spans="1:7" s="14" customFormat="1" x14ac:dyDescent="0.25">
      <c r="A212" s="15"/>
      <c r="B212" s="6"/>
      <c r="C212" s="18"/>
      <c r="D212" s="28"/>
      <c r="E212" s="16"/>
      <c r="G212"/>
    </row>
    <row r="213" spans="1:7" s="14" customFormat="1" x14ac:dyDescent="0.25">
      <c r="A213" s="15"/>
      <c r="B213" s="6"/>
      <c r="C213" s="18"/>
      <c r="D213" s="28"/>
      <c r="E213" s="16"/>
      <c r="G213"/>
    </row>
    <row r="214" spans="1:7" s="14" customFormat="1" x14ac:dyDescent="0.25">
      <c r="A214" s="15"/>
      <c r="B214" s="6"/>
      <c r="C214" s="18"/>
      <c r="D214" s="28"/>
      <c r="E214" s="16"/>
      <c r="G214"/>
    </row>
    <row r="215" spans="1:7" s="14" customFormat="1" x14ac:dyDescent="0.25">
      <c r="A215" s="15"/>
      <c r="B215" s="6"/>
      <c r="C215" s="18"/>
      <c r="D215" s="28"/>
      <c r="E215" s="16"/>
      <c r="G215"/>
    </row>
    <row r="216" spans="1:7" s="14" customFormat="1" x14ac:dyDescent="0.25">
      <c r="A216" s="15"/>
      <c r="B216" s="6"/>
      <c r="C216" s="18"/>
      <c r="D216" s="28"/>
      <c r="E216" s="16"/>
      <c r="G216"/>
    </row>
    <row r="217" spans="1:7" s="14" customFormat="1" x14ac:dyDescent="0.25">
      <c r="A217" s="15"/>
      <c r="B217" s="6"/>
      <c r="C217" s="18"/>
      <c r="D217" s="28"/>
      <c r="E217" s="16"/>
      <c r="G217"/>
    </row>
    <row r="218" spans="1:7" s="14" customFormat="1" x14ac:dyDescent="0.25">
      <c r="A218" s="15"/>
      <c r="B218" s="6"/>
      <c r="C218" s="18"/>
      <c r="D218" s="28"/>
      <c r="E218" s="16"/>
      <c r="G218"/>
    </row>
    <row r="219" spans="1:7" s="14" customFormat="1" x14ac:dyDescent="0.25">
      <c r="A219" s="15"/>
      <c r="B219" s="6"/>
      <c r="C219" s="18"/>
      <c r="D219" s="28"/>
      <c r="E219" s="16"/>
      <c r="G219"/>
    </row>
    <row r="220" spans="1:7" s="14" customFormat="1" x14ac:dyDescent="0.25">
      <c r="A220" s="15"/>
      <c r="B220" s="6"/>
      <c r="C220" s="18"/>
      <c r="D220" s="28"/>
      <c r="E220" s="16"/>
      <c r="G220"/>
    </row>
    <row r="221" spans="1:7" s="14" customFormat="1" x14ac:dyDescent="0.25">
      <c r="A221" s="15"/>
      <c r="B221" s="6"/>
      <c r="C221" s="18"/>
      <c r="D221" s="28"/>
      <c r="E221" s="16"/>
      <c r="G221"/>
    </row>
    <row r="222" spans="1:7" s="14" customFormat="1" x14ac:dyDescent="0.25">
      <c r="A222" s="15"/>
      <c r="B222" s="6"/>
      <c r="C222" s="18"/>
      <c r="D222" s="28"/>
      <c r="E222" s="16"/>
      <c r="G222"/>
    </row>
    <row r="223" spans="1:7" s="14" customFormat="1" x14ac:dyDescent="0.25">
      <c r="A223" s="15"/>
      <c r="B223" s="6"/>
      <c r="C223" s="18"/>
      <c r="D223" s="28"/>
      <c r="E223" s="16"/>
      <c r="G223"/>
    </row>
    <row r="224" spans="1:7" s="14" customFormat="1" x14ac:dyDescent="0.25">
      <c r="A224" s="15"/>
      <c r="B224" s="6"/>
      <c r="C224" s="18"/>
      <c r="D224" s="28"/>
      <c r="E224" s="16"/>
      <c r="G224"/>
    </row>
    <row r="225" spans="1:7" s="14" customFormat="1" x14ac:dyDescent="0.25">
      <c r="A225" s="15"/>
      <c r="B225" s="6"/>
      <c r="C225" s="18"/>
      <c r="D225" s="28"/>
      <c r="E225" s="16"/>
      <c r="G225"/>
    </row>
    <row r="226" spans="1:7" s="14" customFormat="1" x14ac:dyDescent="0.25">
      <c r="A226" s="15"/>
      <c r="B226" s="6"/>
      <c r="C226" s="18"/>
      <c r="D226" s="28"/>
      <c r="E226" s="16"/>
      <c r="G226"/>
    </row>
    <row r="227" spans="1:7" s="14" customFormat="1" x14ac:dyDescent="0.25">
      <c r="A227" s="15"/>
      <c r="B227" s="6"/>
      <c r="C227" s="18"/>
      <c r="D227" s="28"/>
      <c r="E227" s="16"/>
      <c r="G227"/>
    </row>
    <row r="228" spans="1:7" s="14" customFormat="1" x14ac:dyDescent="0.25">
      <c r="A228" s="15"/>
      <c r="B228" s="6"/>
      <c r="C228" s="18"/>
      <c r="D228" s="28"/>
      <c r="E228" s="16"/>
      <c r="G228"/>
    </row>
    <row r="229" spans="1:7" s="14" customFormat="1" x14ac:dyDescent="0.25">
      <c r="A229" s="15"/>
      <c r="B229" s="6"/>
      <c r="C229" s="18"/>
      <c r="D229" s="28"/>
      <c r="E229" s="16"/>
      <c r="G229"/>
    </row>
    <row r="230" spans="1:7" s="14" customFormat="1" x14ac:dyDescent="0.25">
      <c r="A230" s="15"/>
      <c r="B230" s="6"/>
      <c r="C230" s="18"/>
      <c r="D230" s="28"/>
      <c r="E230" s="16"/>
      <c r="G230"/>
    </row>
    <row r="231" spans="1:7" s="14" customFormat="1" x14ac:dyDescent="0.25">
      <c r="A231" s="15"/>
      <c r="B231" s="6"/>
      <c r="C231" s="18"/>
      <c r="D231" s="28"/>
      <c r="E231" s="16"/>
      <c r="G231"/>
    </row>
    <row r="232" spans="1:7" s="14" customFormat="1" x14ac:dyDescent="0.25">
      <c r="A232" s="15"/>
      <c r="B232" s="6"/>
      <c r="C232" s="18"/>
      <c r="D232" s="28"/>
      <c r="E232" s="16"/>
      <c r="G232"/>
    </row>
    <row r="233" spans="1:7" s="14" customFormat="1" x14ac:dyDescent="0.25">
      <c r="A233" s="15"/>
      <c r="B233" s="6"/>
      <c r="C233" s="18"/>
      <c r="D233" s="28"/>
      <c r="E233" s="16"/>
      <c r="G233"/>
    </row>
    <row r="234" spans="1:7" s="14" customFormat="1" x14ac:dyDescent="0.25">
      <c r="A234" s="15"/>
      <c r="B234" s="6"/>
      <c r="C234" s="18"/>
      <c r="D234" s="28"/>
      <c r="E234" s="16"/>
      <c r="G234"/>
    </row>
    <row r="235" spans="1:7" s="14" customFormat="1" x14ac:dyDescent="0.25">
      <c r="A235" s="15"/>
      <c r="B235" s="6"/>
      <c r="C235" s="18"/>
      <c r="D235" s="28"/>
      <c r="E235" s="16"/>
      <c r="G235"/>
    </row>
    <row r="236" spans="1:7" s="14" customFormat="1" x14ac:dyDescent="0.25">
      <c r="A236" s="15"/>
      <c r="B236" s="6"/>
      <c r="C236" s="18"/>
      <c r="D236" s="28"/>
      <c r="E236" s="16"/>
      <c r="G236"/>
    </row>
    <row r="237" spans="1:7" s="14" customFormat="1" x14ac:dyDescent="0.25">
      <c r="A237" s="15"/>
      <c r="B237" s="6"/>
      <c r="C237" s="18"/>
      <c r="D237" s="28"/>
      <c r="E237" s="16"/>
      <c r="G237"/>
    </row>
    <row r="238" spans="1:7" s="14" customFormat="1" x14ac:dyDescent="0.25">
      <c r="A238" s="15"/>
      <c r="B238" s="6"/>
      <c r="C238" s="18"/>
      <c r="D238" s="28"/>
      <c r="E238" s="16"/>
      <c r="G238"/>
    </row>
    <row r="239" spans="1:7" s="14" customFormat="1" x14ac:dyDescent="0.25">
      <c r="A239" s="15"/>
      <c r="B239" s="6"/>
      <c r="C239" s="18"/>
      <c r="D239" s="28"/>
      <c r="E239" s="16"/>
      <c r="G239"/>
    </row>
    <row r="240" spans="1:7" s="14" customFormat="1" x14ac:dyDescent="0.25">
      <c r="A240" s="15"/>
      <c r="B240" s="6"/>
      <c r="C240" s="18"/>
      <c r="D240" s="28"/>
      <c r="E240" s="16"/>
      <c r="G240"/>
    </row>
    <row r="241" spans="1:7" s="14" customFormat="1" x14ac:dyDescent="0.25">
      <c r="A241" s="15"/>
      <c r="B241" s="6"/>
      <c r="C241" s="18"/>
      <c r="D241" s="28"/>
      <c r="E241" s="16"/>
      <c r="G241"/>
    </row>
    <row r="242" spans="1:7" s="14" customFormat="1" x14ac:dyDescent="0.25">
      <c r="A242" s="15"/>
      <c r="B242" s="6"/>
      <c r="C242" s="18"/>
      <c r="D242" s="28"/>
      <c r="E242" s="16"/>
      <c r="G242"/>
    </row>
    <row r="243" spans="1:7" s="14" customFormat="1" x14ac:dyDescent="0.25">
      <c r="A243" s="15"/>
      <c r="B243" s="6"/>
      <c r="C243" s="18"/>
      <c r="D243" s="28"/>
      <c r="E243" s="16"/>
      <c r="G243"/>
    </row>
    <row r="244" spans="1:7" s="14" customFormat="1" x14ac:dyDescent="0.25">
      <c r="A244" s="15"/>
      <c r="B244" s="6"/>
      <c r="C244" s="18"/>
      <c r="D244" s="28"/>
      <c r="E244" s="16"/>
      <c r="G244"/>
    </row>
    <row r="245" spans="1:7" s="14" customFormat="1" x14ac:dyDescent="0.25">
      <c r="A245" s="15"/>
      <c r="B245" s="6"/>
      <c r="C245" s="18"/>
      <c r="D245" s="28"/>
      <c r="E245" s="16"/>
      <c r="G245"/>
    </row>
    <row r="246" spans="1:7" s="14" customFormat="1" x14ac:dyDescent="0.25">
      <c r="A246" s="15"/>
      <c r="B246" s="6"/>
      <c r="C246" s="18"/>
      <c r="D246" s="28"/>
      <c r="E246" s="16"/>
      <c r="G246"/>
    </row>
    <row r="247" spans="1:7" s="14" customFormat="1" x14ac:dyDescent="0.25">
      <c r="A247" s="15"/>
      <c r="B247" s="6"/>
      <c r="C247" s="18"/>
      <c r="D247" s="28"/>
      <c r="E247" s="16"/>
      <c r="G247"/>
    </row>
    <row r="248" spans="1:7" s="14" customFormat="1" x14ac:dyDescent="0.25">
      <c r="A248" s="15"/>
      <c r="B248" s="6"/>
      <c r="C248" s="18"/>
      <c r="D248" s="28"/>
      <c r="E248" s="16"/>
      <c r="G248"/>
    </row>
    <row r="249" spans="1:7" s="14" customFormat="1" x14ac:dyDescent="0.25">
      <c r="A249" s="15"/>
      <c r="B249" s="6"/>
      <c r="C249" s="18"/>
      <c r="D249" s="28"/>
      <c r="E249" s="16"/>
      <c r="G249"/>
    </row>
    <row r="250" spans="1:7" s="14" customFormat="1" x14ac:dyDescent="0.25">
      <c r="A250" s="15"/>
      <c r="B250" s="6"/>
      <c r="C250" s="18"/>
      <c r="D250" s="28"/>
      <c r="E250" s="16"/>
      <c r="G250"/>
    </row>
    <row r="251" spans="1:7" s="14" customFormat="1" x14ac:dyDescent="0.25">
      <c r="A251" s="15"/>
      <c r="B251" s="6"/>
      <c r="C251" s="18"/>
      <c r="D251" s="28"/>
      <c r="E251" s="16"/>
      <c r="G251"/>
    </row>
    <row r="252" spans="1:7" s="14" customFormat="1" x14ac:dyDescent="0.25">
      <c r="A252" s="15"/>
      <c r="B252" s="6"/>
      <c r="C252" s="18"/>
      <c r="D252" s="28"/>
      <c r="E252" s="16"/>
      <c r="G252"/>
    </row>
    <row r="253" spans="1:7" s="14" customFormat="1" x14ac:dyDescent="0.25">
      <c r="A253" s="15"/>
      <c r="B253" s="6"/>
      <c r="C253" s="18"/>
      <c r="D253" s="28"/>
      <c r="E253" s="16"/>
      <c r="G253"/>
    </row>
    <row r="254" spans="1:7" s="14" customFormat="1" x14ac:dyDescent="0.25">
      <c r="A254" s="15"/>
      <c r="B254" s="6"/>
      <c r="C254" s="18"/>
      <c r="D254" s="28"/>
      <c r="E254" s="16"/>
      <c r="G254"/>
    </row>
    <row r="255" spans="1:7" s="14" customFormat="1" x14ac:dyDescent="0.25">
      <c r="A255" s="15"/>
      <c r="B255" s="6"/>
      <c r="C255" s="18"/>
      <c r="D255" s="28"/>
      <c r="E255" s="16"/>
      <c r="G255"/>
    </row>
    <row r="256" spans="1:7" s="14" customFormat="1" x14ac:dyDescent="0.25">
      <c r="A256" s="15"/>
      <c r="B256" s="6"/>
      <c r="C256" s="18"/>
      <c r="D256" s="28"/>
      <c r="E256" s="16"/>
      <c r="G256"/>
    </row>
    <row r="257" spans="1:7" s="14" customFormat="1" x14ac:dyDescent="0.25">
      <c r="A257" s="15"/>
      <c r="B257" s="6"/>
      <c r="C257" s="18"/>
      <c r="D257" s="28"/>
      <c r="E257" s="16"/>
      <c r="G257"/>
    </row>
    <row r="258" spans="1:7" s="14" customFormat="1" x14ac:dyDescent="0.25">
      <c r="A258" s="15"/>
      <c r="B258" s="6"/>
      <c r="C258" s="18"/>
      <c r="D258" s="28"/>
      <c r="E258" s="16"/>
      <c r="G258"/>
    </row>
    <row r="259" spans="1:7" s="14" customFormat="1" x14ac:dyDescent="0.25">
      <c r="A259" s="15"/>
      <c r="B259" s="6"/>
      <c r="C259" s="18"/>
      <c r="D259" s="28"/>
      <c r="E259" s="16"/>
      <c r="G259"/>
    </row>
    <row r="260" spans="1:7" s="14" customFormat="1" x14ac:dyDescent="0.25">
      <c r="A260" s="15"/>
      <c r="B260" s="6"/>
      <c r="C260" s="18"/>
      <c r="D260" s="28"/>
      <c r="E260" s="16"/>
      <c r="G260"/>
    </row>
    <row r="261" spans="1:7" s="14" customFormat="1" x14ac:dyDescent="0.25">
      <c r="A261" s="15"/>
      <c r="B261" s="6"/>
      <c r="C261" s="18"/>
      <c r="D261" s="28"/>
      <c r="E261" s="16"/>
      <c r="G261"/>
    </row>
    <row r="262" spans="1:7" s="14" customFormat="1" x14ac:dyDescent="0.25">
      <c r="A262" s="15"/>
      <c r="B262" s="6"/>
      <c r="C262" s="18"/>
      <c r="D262" s="28"/>
      <c r="E262" s="16"/>
      <c r="G262"/>
    </row>
    <row r="263" spans="1:7" s="14" customFormat="1" x14ac:dyDescent="0.25">
      <c r="A263" s="15"/>
      <c r="B263" s="6"/>
      <c r="C263" s="18"/>
      <c r="D263" s="28"/>
      <c r="E263" s="16"/>
      <c r="G263"/>
    </row>
    <row r="264" spans="1:7" s="14" customFormat="1" x14ac:dyDescent="0.25">
      <c r="A264" s="15"/>
      <c r="B264" s="6"/>
      <c r="C264" s="18"/>
      <c r="D264" s="28"/>
      <c r="E264" s="16"/>
      <c r="G264"/>
    </row>
    <row r="265" spans="1:7" s="14" customFormat="1" x14ac:dyDescent="0.25">
      <c r="A265" s="15"/>
      <c r="B265" s="6"/>
      <c r="C265" s="18"/>
      <c r="D265" s="28"/>
      <c r="E265" s="16"/>
      <c r="G265"/>
    </row>
    <row r="266" spans="1:7" s="14" customFormat="1" x14ac:dyDescent="0.25">
      <c r="A266" s="15"/>
      <c r="B266" s="6"/>
      <c r="C266" s="18"/>
      <c r="D266" s="28"/>
      <c r="E266" s="16"/>
      <c r="G266"/>
    </row>
    <row r="267" spans="1:7" s="14" customFormat="1" x14ac:dyDescent="0.25">
      <c r="A267" s="15"/>
      <c r="B267" s="6"/>
      <c r="C267" s="18"/>
      <c r="D267" s="28"/>
      <c r="E267" s="16"/>
      <c r="G267"/>
    </row>
    <row r="268" spans="1:7" s="14" customFormat="1" x14ac:dyDescent="0.25">
      <c r="A268" s="15"/>
      <c r="B268" s="6"/>
      <c r="C268" s="18"/>
      <c r="D268" s="28"/>
      <c r="E268" s="16"/>
      <c r="G268"/>
    </row>
    <row r="269" spans="1:7" s="14" customFormat="1" x14ac:dyDescent="0.25">
      <c r="A269" s="15"/>
      <c r="B269" s="6"/>
      <c r="C269" s="18"/>
      <c r="D269" s="28"/>
      <c r="E269" s="16"/>
      <c r="G269"/>
    </row>
    <row r="270" spans="1:7" s="14" customFormat="1" x14ac:dyDescent="0.25">
      <c r="A270" s="15"/>
      <c r="B270" s="6"/>
      <c r="C270" s="18"/>
      <c r="D270" s="28"/>
      <c r="E270" s="16"/>
      <c r="G270"/>
    </row>
    <row r="271" spans="1:7" s="14" customFormat="1" x14ac:dyDescent="0.25">
      <c r="A271" s="15"/>
      <c r="B271" s="6"/>
      <c r="C271" s="18"/>
      <c r="D271" s="28"/>
      <c r="E271" s="16"/>
      <c r="G271"/>
    </row>
    <row r="272" spans="1:7" s="14" customFormat="1" x14ac:dyDescent="0.25">
      <c r="A272" s="15"/>
      <c r="B272" s="6"/>
      <c r="C272" s="18"/>
      <c r="D272" s="28"/>
      <c r="E272" s="16"/>
      <c r="G272"/>
    </row>
    <row r="273" spans="1:7" s="14" customFormat="1" x14ac:dyDescent="0.25">
      <c r="A273" s="15"/>
      <c r="B273" s="6"/>
      <c r="C273" s="18"/>
      <c r="D273" s="28"/>
      <c r="E273" s="16"/>
      <c r="G273"/>
    </row>
    <row r="274" spans="1:7" s="14" customFormat="1" x14ac:dyDescent="0.25">
      <c r="A274" s="15"/>
      <c r="B274" s="6"/>
      <c r="C274" s="18"/>
      <c r="D274" s="28"/>
      <c r="E274" s="16"/>
      <c r="G274"/>
    </row>
    <row r="275" spans="1:7" s="14" customFormat="1" x14ac:dyDescent="0.25">
      <c r="A275" s="15"/>
      <c r="B275" s="6"/>
      <c r="C275" s="18"/>
      <c r="D275" s="28"/>
      <c r="E275" s="16"/>
      <c r="G275"/>
    </row>
    <row r="276" spans="1:7" s="14" customFormat="1" x14ac:dyDescent="0.25">
      <c r="A276" s="15"/>
      <c r="B276" s="6"/>
      <c r="C276" s="18"/>
      <c r="D276" s="28"/>
      <c r="E276" s="16"/>
      <c r="G276"/>
    </row>
    <row r="277" spans="1:7" s="14" customFormat="1" x14ac:dyDescent="0.25">
      <c r="A277" s="15"/>
      <c r="B277" s="6"/>
      <c r="C277" s="18"/>
      <c r="D277" s="28"/>
      <c r="E277" s="16"/>
      <c r="G277"/>
    </row>
    <row r="278" spans="1:7" s="14" customFormat="1" x14ac:dyDescent="0.25">
      <c r="A278" s="15"/>
      <c r="B278" s="6"/>
      <c r="C278" s="18"/>
      <c r="D278" s="28"/>
      <c r="E278" s="16"/>
      <c r="G278"/>
    </row>
    <row r="279" spans="1:7" s="14" customFormat="1" x14ac:dyDescent="0.25">
      <c r="A279" s="15"/>
      <c r="B279" s="6"/>
      <c r="C279" s="18"/>
      <c r="D279" s="28"/>
      <c r="E279" s="16"/>
      <c r="G279"/>
    </row>
    <row r="280" spans="1:7" s="14" customFormat="1" x14ac:dyDescent="0.25">
      <c r="A280" s="15"/>
      <c r="B280" s="6"/>
      <c r="C280" s="18"/>
      <c r="D280" s="28"/>
      <c r="E280" s="16"/>
      <c r="G280"/>
    </row>
    <row r="281" spans="1:7" s="14" customFormat="1" x14ac:dyDescent="0.25">
      <c r="A281" s="15"/>
      <c r="B281" s="6"/>
      <c r="C281" s="18"/>
      <c r="D281" s="28"/>
      <c r="E281" s="16"/>
      <c r="G281"/>
    </row>
    <row r="282" spans="1:7" s="14" customFormat="1" x14ac:dyDescent="0.25">
      <c r="A282" s="15"/>
      <c r="B282" s="6"/>
      <c r="C282" s="18"/>
      <c r="D282" s="28"/>
      <c r="E282" s="16"/>
      <c r="G282"/>
    </row>
    <row r="283" spans="1:7" s="14" customFormat="1" x14ac:dyDescent="0.25">
      <c r="A283" s="15"/>
      <c r="B283" s="6"/>
      <c r="C283" s="18"/>
      <c r="D283" s="28"/>
      <c r="E283" s="16"/>
      <c r="G283"/>
    </row>
    <row r="284" spans="1:7" s="14" customFormat="1" x14ac:dyDescent="0.25">
      <c r="A284" s="15"/>
      <c r="B284" s="6"/>
      <c r="C284" s="18"/>
      <c r="D284" s="28"/>
      <c r="E284" s="16"/>
      <c r="G284"/>
    </row>
    <row r="285" spans="1:7" s="14" customFormat="1" x14ac:dyDescent="0.25">
      <c r="A285" s="15"/>
      <c r="B285" s="6"/>
      <c r="C285" s="18"/>
      <c r="D285" s="28"/>
      <c r="E285" s="16"/>
      <c r="G285"/>
    </row>
    <row r="286" spans="1:7" s="14" customFormat="1" x14ac:dyDescent="0.25">
      <c r="A286" s="15"/>
      <c r="B286" s="6"/>
      <c r="C286" s="18"/>
      <c r="D286" s="28"/>
      <c r="E286" s="16"/>
      <c r="G286"/>
    </row>
    <row r="287" spans="1:7" s="14" customFormat="1" x14ac:dyDescent="0.25">
      <c r="A287" s="15"/>
      <c r="B287" s="6"/>
      <c r="C287" s="18"/>
      <c r="D287" s="28"/>
      <c r="E287" s="16"/>
      <c r="G287"/>
    </row>
    <row r="288" spans="1:7" s="14" customFormat="1" x14ac:dyDescent="0.25">
      <c r="A288" s="15"/>
      <c r="B288" s="6"/>
      <c r="C288" s="18"/>
      <c r="D288" s="28"/>
      <c r="E288" s="16"/>
      <c r="G288"/>
    </row>
    <row r="289" spans="1:7" s="14" customFormat="1" x14ac:dyDescent="0.25">
      <c r="A289" s="15"/>
      <c r="B289" s="6"/>
      <c r="C289" s="18"/>
      <c r="D289" s="28"/>
      <c r="E289" s="16"/>
      <c r="G289"/>
    </row>
    <row r="290" spans="1:7" s="14" customFormat="1" x14ac:dyDescent="0.25">
      <c r="A290" s="15"/>
      <c r="B290" s="6"/>
      <c r="C290" s="18"/>
      <c r="D290" s="28"/>
      <c r="E290" s="16"/>
      <c r="G290"/>
    </row>
    <row r="291" spans="1:7" s="14" customFormat="1" x14ac:dyDescent="0.25">
      <c r="A291" s="15"/>
      <c r="B291" s="6"/>
      <c r="C291" s="18"/>
      <c r="D291" s="28"/>
      <c r="E291" s="16"/>
      <c r="G291"/>
    </row>
    <row r="292" spans="1:7" s="14" customFormat="1" x14ac:dyDescent="0.25">
      <c r="A292" s="15"/>
      <c r="B292" s="6"/>
      <c r="C292" s="18"/>
      <c r="D292" s="28"/>
      <c r="E292" s="16"/>
      <c r="G292"/>
    </row>
    <row r="293" spans="1:7" s="14" customFormat="1" x14ac:dyDescent="0.25">
      <c r="A293" s="15"/>
      <c r="B293" s="6"/>
      <c r="C293" s="18"/>
      <c r="D293" s="28"/>
      <c r="E293" s="16"/>
      <c r="G293"/>
    </row>
    <row r="294" spans="1:7" s="14" customFormat="1" x14ac:dyDescent="0.25">
      <c r="A294" s="15"/>
      <c r="B294" s="6"/>
      <c r="C294" s="18"/>
      <c r="D294" s="28"/>
      <c r="E294" s="16"/>
      <c r="G294"/>
    </row>
    <row r="295" spans="1:7" s="14" customFormat="1" x14ac:dyDescent="0.25">
      <c r="A295" s="15"/>
      <c r="B295" s="6"/>
      <c r="C295" s="18"/>
      <c r="D295" s="28"/>
      <c r="E295" s="16"/>
      <c r="G295"/>
    </row>
    <row r="296" spans="1:7" s="14" customFormat="1" x14ac:dyDescent="0.25">
      <c r="A296" s="15"/>
      <c r="B296" s="6"/>
      <c r="C296" s="18"/>
      <c r="D296" s="28"/>
      <c r="E296" s="16"/>
      <c r="G296"/>
    </row>
    <row r="297" spans="1:7" s="14" customFormat="1" x14ac:dyDescent="0.25">
      <c r="A297" s="15"/>
      <c r="B297" s="6"/>
      <c r="C297" s="18"/>
      <c r="D297" s="28"/>
      <c r="E297" s="16"/>
      <c r="G297"/>
    </row>
    <row r="298" spans="1:7" s="14" customFormat="1" x14ac:dyDescent="0.25">
      <c r="A298" s="15"/>
      <c r="B298" s="6"/>
      <c r="C298" s="18"/>
      <c r="D298" s="28"/>
      <c r="E298" s="16"/>
      <c r="G298"/>
    </row>
    <row r="299" spans="1:7" s="14" customFormat="1" x14ac:dyDescent="0.25">
      <c r="A299" s="15"/>
      <c r="B299" s="6"/>
      <c r="C299" s="18"/>
      <c r="D299" s="28"/>
      <c r="E299" s="16"/>
      <c r="G299"/>
    </row>
    <row r="300" spans="1:7" s="14" customFormat="1" x14ac:dyDescent="0.25">
      <c r="A300" s="15"/>
      <c r="B300" s="6"/>
      <c r="C300" s="18"/>
      <c r="D300" s="28"/>
      <c r="E300" s="16"/>
      <c r="G300"/>
    </row>
    <row r="301" spans="1:7" s="14" customFormat="1" x14ac:dyDescent="0.25">
      <c r="A301" s="15"/>
      <c r="B301" s="6"/>
      <c r="C301" s="18"/>
      <c r="D301" s="28"/>
      <c r="E301" s="16"/>
      <c r="G301"/>
    </row>
    <row r="302" spans="1:7" s="14" customFormat="1" x14ac:dyDescent="0.25">
      <c r="A302" s="15"/>
      <c r="B302" s="6"/>
      <c r="C302" s="18"/>
      <c r="D302" s="28"/>
      <c r="E302" s="16"/>
      <c r="G302"/>
    </row>
    <row r="303" spans="1:7" s="14" customFormat="1" x14ac:dyDescent="0.25">
      <c r="A303" s="15"/>
      <c r="B303" s="6"/>
      <c r="C303" s="18"/>
      <c r="D303" s="28"/>
      <c r="E303" s="16"/>
      <c r="G303"/>
    </row>
    <row r="304" spans="1:7" s="14" customFormat="1" x14ac:dyDescent="0.25">
      <c r="A304" s="15"/>
      <c r="B304" s="6"/>
      <c r="C304" s="18"/>
      <c r="D304" s="28"/>
      <c r="E304" s="16"/>
      <c r="G304"/>
    </row>
    <row r="305" spans="1:7" s="14" customFormat="1" x14ac:dyDescent="0.25">
      <c r="A305" s="15"/>
      <c r="B305" s="6"/>
      <c r="C305" s="18"/>
      <c r="D305" s="28"/>
      <c r="E305" s="16"/>
      <c r="G305"/>
    </row>
    <row r="306" spans="1:7" s="14" customFormat="1" x14ac:dyDescent="0.25">
      <c r="A306" s="15"/>
      <c r="B306" s="6"/>
      <c r="C306" s="18"/>
      <c r="D306" s="28"/>
      <c r="E306" s="16"/>
      <c r="G306"/>
    </row>
    <row r="307" spans="1:7" s="14" customFormat="1" x14ac:dyDescent="0.25">
      <c r="A307" s="15"/>
      <c r="B307" s="6"/>
      <c r="C307" s="18"/>
      <c r="D307" s="28"/>
      <c r="E307" s="16"/>
      <c r="G307"/>
    </row>
    <row r="308" spans="1:7" s="14" customFormat="1" x14ac:dyDescent="0.25">
      <c r="A308" s="15"/>
      <c r="B308" s="6"/>
      <c r="C308" s="18"/>
      <c r="D308" s="28"/>
      <c r="E308" s="16"/>
      <c r="G308"/>
    </row>
    <row r="309" spans="1:7" s="14" customFormat="1" x14ac:dyDescent="0.25">
      <c r="A309" s="15"/>
      <c r="B309" s="6"/>
      <c r="C309" s="18"/>
      <c r="D309" s="28"/>
      <c r="E309" s="16"/>
      <c r="G309"/>
    </row>
    <row r="310" spans="1:7" s="14" customFormat="1" x14ac:dyDescent="0.25">
      <c r="A310" s="15"/>
      <c r="B310" s="6"/>
      <c r="C310" s="18"/>
      <c r="D310" s="28"/>
      <c r="E310" s="16"/>
      <c r="G310"/>
    </row>
    <row r="311" spans="1:7" s="14" customFormat="1" x14ac:dyDescent="0.25">
      <c r="A311" s="15"/>
      <c r="B311" s="6"/>
      <c r="C311" s="18"/>
      <c r="D311" s="28"/>
      <c r="E311" s="16"/>
      <c r="G311"/>
    </row>
    <row r="312" spans="1:7" s="14" customFormat="1" x14ac:dyDescent="0.25">
      <c r="A312" s="15"/>
      <c r="B312" s="6"/>
      <c r="C312" s="18"/>
      <c r="D312" s="28"/>
      <c r="E312" s="16"/>
      <c r="G312"/>
    </row>
    <row r="313" spans="1:7" s="14" customFormat="1" x14ac:dyDescent="0.25">
      <c r="A313" s="15"/>
      <c r="B313" s="6"/>
      <c r="C313" s="18"/>
      <c r="D313" s="28"/>
      <c r="E313" s="16"/>
      <c r="G313"/>
    </row>
    <row r="314" spans="1:7" s="14" customFormat="1" x14ac:dyDescent="0.25">
      <c r="A314" s="15"/>
      <c r="B314" s="6"/>
      <c r="C314" s="18"/>
      <c r="D314" s="28"/>
      <c r="E314" s="16"/>
      <c r="G314"/>
    </row>
    <row r="315" spans="1:7" s="14" customFormat="1" x14ac:dyDescent="0.25">
      <c r="A315" s="15"/>
      <c r="B315" s="6"/>
      <c r="C315" s="18"/>
      <c r="D315" s="28"/>
      <c r="E315" s="16"/>
      <c r="G315"/>
    </row>
    <row r="316" spans="1:7" s="14" customFormat="1" x14ac:dyDescent="0.25">
      <c r="A316" s="15"/>
      <c r="B316" s="6"/>
      <c r="C316" s="18"/>
      <c r="D316" s="28"/>
      <c r="E316" s="16"/>
      <c r="G316"/>
    </row>
    <row r="317" spans="1:7" s="14" customFormat="1" x14ac:dyDescent="0.25">
      <c r="A317" s="15"/>
      <c r="B317" s="6"/>
      <c r="C317" s="18"/>
      <c r="D317" s="28"/>
      <c r="E317" s="16"/>
      <c r="G317"/>
    </row>
    <row r="318" spans="1:7" s="14" customFormat="1" x14ac:dyDescent="0.25">
      <c r="A318" s="15"/>
      <c r="B318" s="6"/>
      <c r="C318" s="18"/>
      <c r="D318" s="28"/>
      <c r="E318" s="16"/>
      <c r="G318"/>
    </row>
    <row r="319" spans="1:7" s="14" customFormat="1" x14ac:dyDescent="0.25">
      <c r="A319" s="15"/>
      <c r="B319" s="6"/>
      <c r="C319" s="18"/>
      <c r="D319" s="28"/>
      <c r="E319" s="16"/>
      <c r="G319"/>
    </row>
    <row r="320" spans="1:7" s="14" customFormat="1" x14ac:dyDescent="0.25">
      <c r="A320" s="15"/>
      <c r="B320" s="6"/>
      <c r="C320" s="18"/>
      <c r="D320" s="28"/>
      <c r="E320" s="16"/>
      <c r="G320"/>
    </row>
    <row r="321" spans="1:7" s="14" customFormat="1" x14ac:dyDescent="0.25">
      <c r="A321" s="15"/>
      <c r="B321" s="6"/>
      <c r="C321" s="18"/>
      <c r="D321" s="28"/>
      <c r="E321" s="16"/>
      <c r="G321"/>
    </row>
    <row r="322" spans="1:7" s="14" customFormat="1" x14ac:dyDescent="0.25">
      <c r="A322" s="15"/>
      <c r="B322" s="6"/>
      <c r="C322" s="18"/>
      <c r="D322" s="28"/>
      <c r="E322" s="16"/>
      <c r="G322"/>
    </row>
    <row r="323" spans="1:7" s="14" customFormat="1" x14ac:dyDescent="0.25">
      <c r="A323" s="15"/>
      <c r="B323" s="6"/>
      <c r="C323" s="18"/>
      <c r="D323" s="28"/>
      <c r="E323" s="16"/>
      <c r="G323"/>
    </row>
    <row r="324" spans="1:7" s="14" customFormat="1" x14ac:dyDescent="0.25">
      <c r="A324" s="15"/>
      <c r="B324" s="6"/>
      <c r="C324" s="18"/>
      <c r="D324" s="28"/>
      <c r="E324" s="16"/>
      <c r="G324"/>
    </row>
    <row r="325" spans="1:7" s="14" customFormat="1" x14ac:dyDescent="0.25">
      <c r="A325" s="15"/>
      <c r="B325" s="6"/>
      <c r="C325" s="18"/>
      <c r="D325" s="28"/>
      <c r="E325" s="16"/>
      <c r="G325"/>
    </row>
    <row r="326" spans="1:7" s="14" customFormat="1" x14ac:dyDescent="0.25">
      <c r="A326" s="15"/>
      <c r="B326" s="6"/>
      <c r="C326" s="18"/>
      <c r="D326" s="28"/>
      <c r="E326" s="16"/>
      <c r="G326"/>
    </row>
    <row r="327" spans="1:7" s="14" customFormat="1" x14ac:dyDescent="0.25">
      <c r="A327" s="15"/>
      <c r="B327" s="6"/>
      <c r="C327" s="18"/>
      <c r="D327" s="28"/>
      <c r="E327" s="16"/>
      <c r="G327"/>
    </row>
    <row r="328" spans="1:7" s="14" customFormat="1" x14ac:dyDescent="0.25">
      <c r="A328" s="15"/>
      <c r="B328" s="6"/>
      <c r="C328" s="18"/>
      <c r="D328" s="28"/>
      <c r="E328" s="16"/>
      <c r="G328"/>
    </row>
    <row r="329" spans="1:7" s="14" customFormat="1" x14ac:dyDescent="0.25">
      <c r="A329" s="15"/>
      <c r="B329" s="6"/>
      <c r="C329" s="18"/>
      <c r="D329" s="28"/>
      <c r="E329" s="16"/>
      <c r="G329"/>
    </row>
    <row r="330" spans="1:7" s="14" customFormat="1" x14ac:dyDescent="0.25">
      <c r="A330" s="15"/>
      <c r="B330" s="6"/>
      <c r="C330" s="18"/>
      <c r="D330" s="28"/>
      <c r="E330" s="16"/>
      <c r="G330"/>
    </row>
    <row r="331" spans="1:7" s="14" customFormat="1" x14ac:dyDescent="0.25">
      <c r="A331" s="15"/>
      <c r="B331" s="6"/>
      <c r="C331" s="18"/>
      <c r="D331" s="28"/>
      <c r="E331" s="16"/>
      <c r="G331"/>
    </row>
    <row r="332" spans="1:7" s="14" customFormat="1" x14ac:dyDescent="0.25">
      <c r="A332" s="15"/>
      <c r="B332" s="6"/>
      <c r="C332" s="18"/>
      <c r="D332" s="28"/>
      <c r="E332" s="16"/>
      <c r="G332"/>
    </row>
    <row r="333" spans="1:7" s="14" customFormat="1" x14ac:dyDescent="0.25">
      <c r="A333" s="15"/>
      <c r="B333" s="6"/>
      <c r="C333" s="18"/>
      <c r="D333" s="28"/>
      <c r="E333" s="16"/>
      <c r="G333"/>
    </row>
    <row r="334" spans="1:7" s="14" customFormat="1" x14ac:dyDescent="0.25">
      <c r="A334" s="15"/>
      <c r="B334" s="6"/>
      <c r="C334" s="18"/>
      <c r="D334" s="28"/>
      <c r="E334" s="16"/>
      <c r="G334"/>
    </row>
    <row r="335" spans="1:7" s="14" customFormat="1" x14ac:dyDescent="0.25">
      <c r="A335" s="15"/>
      <c r="B335" s="6"/>
      <c r="C335" s="18"/>
      <c r="D335" s="28"/>
      <c r="E335" s="16"/>
      <c r="G335"/>
    </row>
    <row r="336" spans="1:7" s="14" customFormat="1" x14ac:dyDescent="0.25">
      <c r="A336" s="15"/>
      <c r="B336" s="6"/>
      <c r="C336" s="18"/>
      <c r="D336" s="28"/>
      <c r="E336" s="16"/>
      <c r="G336"/>
    </row>
    <row r="337" spans="1:7" s="14" customFormat="1" x14ac:dyDescent="0.25">
      <c r="A337" s="15"/>
      <c r="B337" s="6"/>
      <c r="C337" s="18"/>
      <c r="D337" s="28"/>
      <c r="E337" s="16"/>
      <c r="G337"/>
    </row>
    <row r="338" spans="1:7" s="14" customFormat="1" x14ac:dyDescent="0.25">
      <c r="A338" s="15"/>
      <c r="B338" s="6"/>
      <c r="C338" s="18"/>
      <c r="D338" s="28"/>
      <c r="E338" s="16"/>
      <c r="G338"/>
    </row>
    <row r="339" spans="1:7" s="14" customFormat="1" x14ac:dyDescent="0.25">
      <c r="A339" s="15"/>
      <c r="B339" s="6"/>
      <c r="C339" s="18"/>
      <c r="D339" s="28"/>
      <c r="E339" s="16"/>
      <c r="G339"/>
    </row>
    <row r="340" spans="1:7" s="14" customFormat="1" x14ac:dyDescent="0.25">
      <c r="A340" s="15"/>
      <c r="B340" s="6"/>
      <c r="C340" s="18"/>
      <c r="D340" s="28"/>
      <c r="E340" s="16"/>
      <c r="G340"/>
    </row>
    <row r="341" spans="1:7" s="14" customFormat="1" x14ac:dyDescent="0.25">
      <c r="A341" s="15"/>
      <c r="B341" s="6"/>
      <c r="C341" s="18"/>
      <c r="D341" s="28"/>
      <c r="E341" s="16"/>
      <c r="G341"/>
    </row>
    <row r="342" spans="1:7" s="14" customFormat="1" x14ac:dyDescent="0.25">
      <c r="A342" s="15"/>
      <c r="B342" s="6"/>
      <c r="C342" s="18"/>
      <c r="D342" s="28"/>
      <c r="E342" s="16"/>
      <c r="G342"/>
    </row>
    <row r="343" spans="1:7" s="14" customFormat="1" x14ac:dyDescent="0.25">
      <c r="A343" s="15"/>
      <c r="B343" s="6"/>
      <c r="C343" s="18"/>
      <c r="D343" s="28"/>
      <c r="E343" s="16"/>
      <c r="G343"/>
    </row>
    <row r="344" spans="1:7" s="14" customFormat="1" x14ac:dyDescent="0.25">
      <c r="A344" s="15"/>
      <c r="B344" s="6"/>
      <c r="C344" s="18"/>
      <c r="D344" s="28"/>
      <c r="E344" s="16"/>
      <c r="G344"/>
    </row>
    <row r="345" spans="1:7" s="14" customFormat="1" x14ac:dyDescent="0.25">
      <c r="A345" s="15"/>
      <c r="B345" s="6"/>
      <c r="C345" s="18"/>
      <c r="D345" s="28"/>
      <c r="E345" s="16"/>
      <c r="G345"/>
    </row>
    <row r="346" spans="1:7" s="14" customFormat="1" x14ac:dyDescent="0.25">
      <c r="A346" s="15"/>
      <c r="B346" s="6"/>
      <c r="C346" s="18"/>
      <c r="D346" s="28"/>
      <c r="E346" s="16"/>
      <c r="G346"/>
    </row>
    <row r="347" spans="1:7" s="14" customFormat="1" x14ac:dyDescent="0.25">
      <c r="A347" s="15"/>
      <c r="B347" s="6"/>
      <c r="C347" s="18"/>
      <c r="D347" s="28"/>
      <c r="E347" s="16"/>
      <c r="G347"/>
    </row>
    <row r="348" spans="1:7" s="14" customFormat="1" x14ac:dyDescent="0.25">
      <c r="A348" s="15"/>
      <c r="B348" s="6"/>
      <c r="C348" s="18"/>
      <c r="D348" s="28"/>
      <c r="E348" s="16"/>
      <c r="G348"/>
    </row>
    <row r="349" spans="1:7" s="14" customFormat="1" x14ac:dyDescent="0.25">
      <c r="A349" s="15"/>
      <c r="B349" s="6"/>
      <c r="C349" s="18"/>
      <c r="D349" s="28"/>
      <c r="E349" s="16"/>
      <c r="G349"/>
    </row>
    <row r="350" spans="1:7" s="14" customFormat="1" x14ac:dyDescent="0.25">
      <c r="A350" s="15"/>
      <c r="B350" s="6"/>
      <c r="C350" s="18"/>
      <c r="D350" s="28"/>
      <c r="E350" s="16"/>
      <c r="G350"/>
    </row>
    <row r="351" spans="1:7" s="14" customFormat="1" x14ac:dyDescent="0.25">
      <c r="A351" s="15"/>
      <c r="B351" s="6"/>
      <c r="C351" s="18"/>
      <c r="D351" s="28"/>
      <c r="E351" s="16"/>
      <c r="G351"/>
    </row>
    <row r="352" spans="1:7" s="14" customFormat="1" x14ac:dyDescent="0.25">
      <c r="A352" s="15"/>
      <c r="B352" s="6"/>
      <c r="C352" s="18"/>
      <c r="D352" s="28"/>
      <c r="E352" s="16"/>
      <c r="G352"/>
    </row>
    <row r="353" spans="1:7" s="14" customFormat="1" x14ac:dyDescent="0.25">
      <c r="A353" s="15"/>
      <c r="B353" s="6"/>
      <c r="C353" s="18"/>
      <c r="D353" s="28"/>
      <c r="E353" s="16"/>
      <c r="G353"/>
    </row>
    <row r="354" spans="1:7" s="14" customFormat="1" x14ac:dyDescent="0.25">
      <c r="A354" s="15"/>
      <c r="B354" s="6"/>
      <c r="C354" s="18"/>
      <c r="D354" s="28"/>
      <c r="E354" s="16"/>
      <c r="G354"/>
    </row>
    <row r="355" spans="1:7" s="14" customFormat="1" x14ac:dyDescent="0.25">
      <c r="A355" s="15"/>
      <c r="B355" s="6"/>
      <c r="C355" s="18"/>
      <c r="D355" s="28"/>
      <c r="E355" s="16"/>
      <c r="G355"/>
    </row>
    <row r="356" spans="1:7" s="14" customFormat="1" x14ac:dyDescent="0.25">
      <c r="A356" s="15"/>
      <c r="B356" s="6"/>
      <c r="C356" s="18"/>
      <c r="D356" s="28"/>
      <c r="E356" s="16"/>
      <c r="G356"/>
    </row>
    <row r="357" spans="1:7" s="14" customFormat="1" x14ac:dyDescent="0.25">
      <c r="A357" s="15"/>
      <c r="B357" s="6"/>
      <c r="C357" s="18"/>
      <c r="D357" s="28"/>
      <c r="E357" s="16"/>
      <c r="G357"/>
    </row>
    <row r="358" spans="1:7" s="14" customFormat="1" x14ac:dyDescent="0.25">
      <c r="A358" s="15"/>
      <c r="B358" s="6"/>
      <c r="C358" s="18"/>
      <c r="D358" s="28"/>
      <c r="E358" s="16"/>
      <c r="G358"/>
    </row>
    <row r="359" spans="1:7" s="14" customFormat="1" x14ac:dyDescent="0.25">
      <c r="A359" s="15"/>
      <c r="B359" s="6"/>
      <c r="C359" s="18"/>
      <c r="D359" s="28"/>
      <c r="E359" s="16"/>
      <c r="G359"/>
    </row>
    <row r="360" spans="1:7" s="14" customFormat="1" x14ac:dyDescent="0.25">
      <c r="A360" s="15"/>
      <c r="B360" s="6"/>
      <c r="C360" s="18"/>
      <c r="D360" s="28"/>
      <c r="E360" s="16"/>
      <c r="G360"/>
    </row>
    <row r="361" spans="1:7" s="14" customFormat="1" x14ac:dyDescent="0.25">
      <c r="A361" s="15"/>
      <c r="B361" s="6"/>
      <c r="C361" s="18"/>
      <c r="D361" s="28"/>
      <c r="E361" s="16"/>
      <c r="G361"/>
    </row>
    <row r="362" spans="1:7" s="14" customFormat="1" x14ac:dyDescent="0.25">
      <c r="A362" s="15"/>
      <c r="B362" s="6"/>
      <c r="C362" s="18"/>
      <c r="D362" s="28"/>
      <c r="E362" s="16"/>
      <c r="G362"/>
    </row>
    <row r="363" spans="1:7" s="14" customFormat="1" x14ac:dyDescent="0.25">
      <c r="A363" s="15"/>
      <c r="B363" s="6"/>
      <c r="C363" s="18"/>
      <c r="D363" s="28"/>
      <c r="E363" s="16"/>
      <c r="G363"/>
    </row>
    <row r="364" spans="1:7" s="14" customFormat="1" x14ac:dyDescent="0.25">
      <c r="A364" s="15"/>
      <c r="B364" s="6"/>
      <c r="C364" s="18"/>
      <c r="D364" s="28"/>
      <c r="E364" s="16"/>
      <c r="G364"/>
    </row>
    <row r="365" spans="1:7" s="14" customFormat="1" x14ac:dyDescent="0.25">
      <c r="A365" s="15"/>
      <c r="B365" s="6"/>
      <c r="C365" s="18"/>
      <c r="D365" s="28"/>
      <c r="E365" s="16"/>
      <c r="G365"/>
    </row>
    <row r="366" spans="1:7" s="14" customFormat="1" x14ac:dyDescent="0.25">
      <c r="A366" s="15"/>
      <c r="B366" s="6"/>
      <c r="C366" s="18"/>
      <c r="D366" s="28"/>
      <c r="E366" s="16"/>
      <c r="G366"/>
    </row>
    <row r="367" spans="1:7" s="14" customFormat="1" x14ac:dyDescent="0.25">
      <c r="A367" s="15"/>
      <c r="B367" s="6"/>
      <c r="C367" s="18"/>
      <c r="D367" s="28"/>
      <c r="E367" s="16"/>
      <c r="G367"/>
    </row>
    <row r="368" spans="1:7" s="14" customFormat="1" x14ac:dyDescent="0.25">
      <c r="A368" s="15"/>
      <c r="B368" s="6"/>
      <c r="C368" s="18"/>
      <c r="D368" s="28"/>
      <c r="E368" s="16"/>
      <c r="G368"/>
    </row>
    <row r="369" spans="1:7" s="14" customFormat="1" x14ac:dyDescent="0.25">
      <c r="A369" s="15"/>
      <c r="B369" s="6"/>
      <c r="C369" s="18"/>
      <c r="D369" s="28"/>
      <c r="E369" s="16"/>
      <c r="G369"/>
    </row>
    <row r="370" spans="1:7" s="14" customFormat="1" x14ac:dyDescent="0.25">
      <c r="A370" s="15"/>
      <c r="B370" s="6"/>
      <c r="C370" s="18"/>
      <c r="D370" s="28"/>
      <c r="E370" s="16"/>
      <c r="G370"/>
    </row>
    <row r="371" spans="1:7" s="14" customFormat="1" x14ac:dyDescent="0.25">
      <c r="A371" s="15"/>
      <c r="B371" s="6"/>
      <c r="C371" s="18"/>
      <c r="D371" s="28"/>
      <c r="E371" s="16"/>
      <c r="G371"/>
    </row>
    <row r="372" spans="1:7" s="14" customFormat="1" x14ac:dyDescent="0.25">
      <c r="A372" s="15"/>
      <c r="B372" s="6"/>
      <c r="C372" s="18"/>
      <c r="D372" s="28"/>
      <c r="E372" s="16"/>
      <c r="G372"/>
    </row>
    <row r="373" spans="1:7" s="14" customFormat="1" x14ac:dyDescent="0.25">
      <c r="A373" s="15"/>
      <c r="B373" s="6"/>
      <c r="C373" s="18"/>
      <c r="D373" s="28"/>
      <c r="E373" s="16"/>
      <c r="G373"/>
    </row>
    <row r="374" spans="1:7" s="14" customFormat="1" x14ac:dyDescent="0.25">
      <c r="A374" s="15"/>
      <c r="B374" s="6"/>
      <c r="C374" s="18"/>
      <c r="D374" s="28"/>
      <c r="E374" s="16"/>
      <c r="G374"/>
    </row>
    <row r="375" spans="1:7" s="14" customFormat="1" x14ac:dyDescent="0.25">
      <c r="A375" s="15"/>
      <c r="B375" s="6"/>
      <c r="C375" s="18"/>
      <c r="D375" s="28"/>
      <c r="E375" s="16"/>
      <c r="G375"/>
    </row>
    <row r="376" spans="1:7" s="14" customFormat="1" x14ac:dyDescent="0.25">
      <c r="A376" s="15"/>
      <c r="B376" s="6"/>
      <c r="C376" s="18"/>
      <c r="D376" s="28"/>
      <c r="E376" s="16"/>
      <c r="G376"/>
    </row>
    <row r="377" spans="1:7" s="14" customFormat="1" x14ac:dyDescent="0.25">
      <c r="A377" s="15"/>
      <c r="B377" s="6"/>
      <c r="C377" s="18"/>
      <c r="D377" s="28"/>
      <c r="E377" s="16"/>
      <c r="G377"/>
    </row>
    <row r="378" spans="1:7" s="14" customFormat="1" x14ac:dyDescent="0.25">
      <c r="A378" s="15"/>
      <c r="B378" s="6"/>
      <c r="C378" s="18"/>
      <c r="D378" s="28"/>
      <c r="E378" s="16"/>
      <c r="G378"/>
    </row>
    <row r="379" spans="1:7" s="14" customFormat="1" x14ac:dyDescent="0.25">
      <c r="A379" s="15"/>
      <c r="B379" s="6"/>
      <c r="C379" s="18"/>
      <c r="D379" s="28"/>
      <c r="E379" s="16"/>
      <c r="G379"/>
    </row>
    <row r="380" spans="1:7" s="14" customFormat="1" x14ac:dyDescent="0.25">
      <c r="A380" s="15"/>
      <c r="B380" s="6"/>
      <c r="C380" s="18"/>
      <c r="D380" s="28"/>
      <c r="E380" s="16"/>
      <c r="G380"/>
    </row>
    <row r="381" spans="1:7" s="14" customFormat="1" x14ac:dyDescent="0.25">
      <c r="A381" s="15"/>
      <c r="B381" s="6"/>
      <c r="C381" s="18"/>
      <c r="D381" s="28"/>
      <c r="E381" s="16"/>
      <c r="G381"/>
    </row>
    <row r="382" spans="1:7" s="14" customFormat="1" x14ac:dyDescent="0.25">
      <c r="A382" s="15"/>
      <c r="B382" s="6"/>
      <c r="C382" s="18"/>
      <c r="D382" s="28"/>
      <c r="E382" s="16"/>
      <c r="G382"/>
    </row>
    <row r="383" spans="1:7" s="14" customFormat="1" x14ac:dyDescent="0.25">
      <c r="A383" s="15"/>
      <c r="B383" s="6"/>
      <c r="C383" s="18"/>
      <c r="D383" s="28"/>
      <c r="E383" s="16"/>
      <c r="G383"/>
    </row>
    <row r="384" spans="1:7" s="14" customFormat="1" x14ac:dyDescent="0.25">
      <c r="A384" s="15"/>
      <c r="B384" s="6"/>
      <c r="C384" s="18"/>
      <c r="D384" s="28"/>
      <c r="E384" s="16"/>
      <c r="G384"/>
    </row>
    <row r="385" spans="1:7" s="14" customFormat="1" x14ac:dyDescent="0.25">
      <c r="A385" s="15"/>
      <c r="B385" s="6"/>
      <c r="C385" s="18"/>
      <c r="D385" s="28"/>
      <c r="E385" s="16"/>
      <c r="G385"/>
    </row>
    <row r="386" spans="1:7" s="14" customFormat="1" x14ac:dyDescent="0.25">
      <c r="A386" s="15"/>
      <c r="B386" s="6"/>
      <c r="C386" s="18"/>
      <c r="D386" s="28"/>
      <c r="E386" s="16"/>
      <c r="G386"/>
    </row>
    <row r="387" spans="1:7" s="14" customFormat="1" x14ac:dyDescent="0.25">
      <c r="A387" s="15"/>
      <c r="B387" s="6"/>
      <c r="C387" s="18"/>
      <c r="D387" s="28"/>
      <c r="E387" s="16"/>
      <c r="G387"/>
    </row>
    <row r="388" spans="1:7" s="14" customFormat="1" x14ac:dyDescent="0.25">
      <c r="A388" s="15"/>
      <c r="B388" s="6"/>
      <c r="C388" s="18"/>
      <c r="D388" s="28"/>
      <c r="E388" s="16"/>
      <c r="G388"/>
    </row>
    <row r="389" spans="1:7" s="14" customFormat="1" x14ac:dyDescent="0.25">
      <c r="A389" s="15"/>
      <c r="B389" s="6"/>
      <c r="C389" s="18"/>
      <c r="D389" s="28"/>
      <c r="E389" s="16"/>
      <c r="G389"/>
    </row>
    <row r="390" spans="1:7" s="14" customFormat="1" x14ac:dyDescent="0.25">
      <c r="A390" s="15"/>
      <c r="B390" s="6"/>
      <c r="C390" s="18"/>
      <c r="D390" s="28"/>
      <c r="E390" s="16"/>
      <c r="G390"/>
    </row>
    <row r="391" spans="1:7" s="14" customFormat="1" x14ac:dyDescent="0.25">
      <c r="A391" s="15"/>
      <c r="B391" s="6"/>
      <c r="C391" s="18"/>
      <c r="D391" s="28"/>
      <c r="E391" s="16"/>
      <c r="G391"/>
    </row>
    <row r="392" spans="1:7" s="14" customFormat="1" x14ac:dyDescent="0.25">
      <c r="A392" s="15"/>
      <c r="B392" s="6"/>
      <c r="C392" s="18"/>
      <c r="D392" s="28"/>
      <c r="E392" s="16"/>
      <c r="G392"/>
    </row>
    <row r="393" spans="1:7" s="14" customFormat="1" x14ac:dyDescent="0.25">
      <c r="A393" s="15"/>
      <c r="B393" s="6"/>
      <c r="C393" s="18"/>
      <c r="D393" s="28"/>
      <c r="E393" s="16"/>
      <c r="G393"/>
    </row>
    <row r="394" spans="1:7" s="14" customFormat="1" x14ac:dyDescent="0.25">
      <c r="A394" s="15"/>
      <c r="B394" s="6"/>
      <c r="C394" s="18"/>
      <c r="D394" s="28"/>
      <c r="E394" s="16"/>
      <c r="G394"/>
    </row>
    <row r="395" spans="1:7" s="14" customFormat="1" x14ac:dyDescent="0.25">
      <c r="A395" s="15"/>
      <c r="B395" s="6"/>
      <c r="C395" s="18"/>
      <c r="D395" s="28"/>
      <c r="E395" s="16"/>
      <c r="G395"/>
    </row>
    <row r="396" spans="1:7" s="14" customFormat="1" x14ac:dyDescent="0.25">
      <c r="A396" s="15"/>
      <c r="B396" s="6"/>
      <c r="C396" s="18"/>
      <c r="D396" s="28"/>
      <c r="E396" s="16"/>
      <c r="G396"/>
    </row>
    <row r="397" spans="1:7" s="14" customFormat="1" x14ac:dyDescent="0.25">
      <c r="A397" s="15"/>
      <c r="B397" s="6"/>
      <c r="C397" s="18"/>
      <c r="D397" s="28"/>
      <c r="E397" s="16"/>
      <c r="G397"/>
    </row>
    <row r="398" spans="1:7" s="14" customFormat="1" x14ac:dyDescent="0.25">
      <c r="A398" s="15"/>
      <c r="B398" s="6"/>
      <c r="C398" s="18"/>
      <c r="D398" s="28"/>
      <c r="E398" s="16"/>
      <c r="G398"/>
    </row>
    <row r="399" spans="1:7" s="14" customFormat="1" x14ac:dyDescent="0.25">
      <c r="A399" s="15"/>
      <c r="B399" s="6"/>
      <c r="C399" s="18"/>
      <c r="D399" s="28"/>
      <c r="E399" s="16"/>
      <c r="G399"/>
    </row>
    <row r="400" spans="1:7" s="14" customFormat="1" x14ac:dyDescent="0.25">
      <c r="A400" s="15"/>
      <c r="B400" s="6"/>
      <c r="C400" s="18"/>
      <c r="D400" s="28"/>
      <c r="E400" s="16"/>
      <c r="G400"/>
    </row>
    <row r="401" spans="1:7" s="14" customFormat="1" x14ac:dyDescent="0.25">
      <c r="A401" s="15"/>
      <c r="B401" s="6"/>
      <c r="C401" s="18"/>
      <c r="D401" s="28"/>
      <c r="E401" s="16"/>
      <c r="G401"/>
    </row>
    <row r="402" spans="1:7" s="14" customFormat="1" x14ac:dyDescent="0.25">
      <c r="A402" s="15"/>
      <c r="B402" s="6"/>
      <c r="C402" s="18"/>
      <c r="D402" s="28"/>
      <c r="E402" s="16"/>
      <c r="G402"/>
    </row>
    <row r="403" spans="1:7" s="14" customFormat="1" x14ac:dyDescent="0.25">
      <c r="A403" s="15"/>
      <c r="B403" s="6"/>
      <c r="C403" s="18"/>
      <c r="D403" s="28"/>
      <c r="E403" s="16"/>
      <c r="G403"/>
    </row>
    <row r="404" spans="1:7" s="14" customFormat="1" x14ac:dyDescent="0.25">
      <c r="A404" s="15"/>
      <c r="B404" s="6"/>
      <c r="C404" s="18"/>
      <c r="D404" s="28"/>
      <c r="E404" s="16"/>
      <c r="G404"/>
    </row>
    <row r="405" spans="1:7" s="14" customFormat="1" x14ac:dyDescent="0.25">
      <c r="A405" s="15"/>
      <c r="B405" s="6"/>
      <c r="C405" s="18"/>
      <c r="D405" s="28"/>
      <c r="E405" s="16"/>
      <c r="G405"/>
    </row>
    <row r="406" spans="1:7" s="14" customFormat="1" x14ac:dyDescent="0.25">
      <c r="A406" s="15"/>
      <c r="B406" s="6"/>
      <c r="C406" s="18"/>
      <c r="D406" s="28"/>
      <c r="E406" s="16"/>
      <c r="G406"/>
    </row>
    <row r="407" spans="1:7" s="14" customFormat="1" x14ac:dyDescent="0.25">
      <c r="A407" s="15"/>
      <c r="B407" s="6"/>
      <c r="C407" s="18"/>
      <c r="D407" s="28"/>
      <c r="E407" s="16"/>
      <c r="G407"/>
    </row>
    <row r="408" spans="1:7" s="14" customFormat="1" x14ac:dyDescent="0.25">
      <c r="A408" s="15"/>
      <c r="B408" s="6"/>
      <c r="C408" s="18"/>
      <c r="D408" s="28"/>
      <c r="E408" s="16"/>
      <c r="G408"/>
    </row>
    <row r="409" spans="1:7" s="14" customFormat="1" x14ac:dyDescent="0.25">
      <c r="A409" s="15"/>
      <c r="B409" s="6"/>
      <c r="C409" s="18"/>
      <c r="D409" s="28"/>
      <c r="E409" s="16"/>
      <c r="G409"/>
    </row>
    <row r="410" spans="1:7" s="14" customFormat="1" x14ac:dyDescent="0.25">
      <c r="A410" s="15"/>
      <c r="B410" s="6"/>
      <c r="C410" s="18"/>
      <c r="D410" s="28"/>
      <c r="E410" s="16"/>
      <c r="G410"/>
    </row>
    <row r="411" spans="1:7" s="14" customFormat="1" x14ac:dyDescent="0.25">
      <c r="A411" s="15"/>
      <c r="B411" s="6"/>
      <c r="C411" s="18"/>
      <c r="D411" s="28"/>
      <c r="E411" s="16"/>
      <c r="G411"/>
    </row>
    <row r="412" spans="1:7" s="14" customFormat="1" x14ac:dyDescent="0.25">
      <c r="A412" s="15"/>
      <c r="B412" s="6"/>
      <c r="C412" s="18"/>
      <c r="D412" s="28"/>
      <c r="E412" s="16"/>
      <c r="G412"/>
    </row>
    <row r="413" spans="1:7" s="14" customFormat="1" x14ac:dyDescent="0.25">
      <c r="A413" s="15"/>
      <c r="B413" s="6"/>
      <c r="C413" s="18"/>
      <c r="D413" s="28"/>
      <c r="E413" s="16"/>
      <c r="G413"/>
    </row>
    <row r="414" spans="1:7" s="14" customFormat="1" x14ac:dyDescent="0.25">
      <c r="A414" s="15"/>
      <c r="B414" s="6"/>
      <c r="C414" s="18"/>
      <c r="D414" s="28"/>
      <c r="E414" s="16"/>
      <c r="G414"/>
    </row>
    <row r="415" spans="1:7" s="14" customFormat="1" x14ac:dyDescent="0.25">
      <c r="A415" s="15"/>
      <c r="B415" s="6"/>
      <c r="C415" s="18"/>
      <c r="D415" s="28"/>
      <c r="E415" s="16"/>
      <c r="G415"/>
    </row>
    <row r="416" spans="1:7" s="14" customFormat="1" x14ac:dyDescent="0.25">
      <c r="A416" s="15"/>
      <c r="B416" s="6"/>
      <c r="C416" s="18"/>
      <c r="D416" s="28"/>
      <c r="E416" s="16"/>
      <c r="G416"/>
    </row>
    <row r="417" spans="1:7" s="14" customFormat="1" x14ac:dyDescent="0.25">
      <c r="A417" s="15"/>
      <c r="B417" s="6"/>
      <c r="C417" s="18"/>
      <c r="D417" s="28"/>
      <c r="E417" s="16"/>
      <c r="G417"/>
    </row>
    <row r="418" spans="1:7" s="14" customFormat="1" x14ac:dyDescent="0.25">
      <c r="A418" s="15"/>
      <c r="B418" s="6"/>
      <c r="C418" s="18"/>
      <c r="D418" s="28"/>
      <c r="E418" s="16"/>
      <c r="G418"/>
    </row>
    <row r="419" spans="1:7" s="14" customFormat="1" x14ac:dyDescent="0.25">
      <c r="A419" s="15"/>
      <c r="B419" s="6"/>
      <c r="C419" s="18"/>
      <c r="D419" s="28"/>
      <c r="E419" s="16"/>
      <c r="G419"/>
    </row>
    <row r="420" spans="1:7" s="14" customFormat="1" x14ac:dyDescent="0.25">
      <c r="A420" s="15"/>
      <c r="B420" s="6"/>
      <c r="C420" s="18"/>
      <c r="D420" s="28"/>
      <c r="E420" s="16"/>
      <c r="G420"/>
    </row>
    <row r="421" spans="1:7" s="14" customFormat="1" x14ac:dyDescent="0.25">
      <c r="A421" s="15"/>
      <c r="B421" s="6"/>
      <c r="C421" s="18"/>
      <c r="D421" s="28"/>
      <c r="E421" s="16"/>
      <c r="G421"/>
    </row>
    <row r="422" spans="1:7" s="14" customFormat="1" x14ac:dyDescent="0.25">
      <c r="A422" s="15"/>
      <c r="B422" s="6"/>
      <c r="C422" s="18"/>
      <c r="D422" s="28"/>
      <c r="E422" s="16"/>
      <c r="G422"/>
    </row>
    <row r="423" spans="1:7" s="14" customFormat="1" x14ac:dyDescent="0.25">
      <c r="A423" s="15"/>
      <c r="B423" s="6"/>
      <c r="C423" s="18"/>
      <c r="D423" s="28"/>
      <c r="E423" s="16"/>
      <c r="G423"/>
    </row>
    <row r="424" spans="1:7" s="14" customFormat="1" x14ac:dyDescent="0.25">
      <c r="A424" s="15"/>
      <c r="B424" s="6"/>
      <c r="C424" s="18"/>
      <c r="D424" s="28"/>
      <c r="E424" s="16"/>
      <c r="G424"/>
    </row>
    <row r="425" spans="1:7" s="14" customFormat="1" x14ac:dyDescent="0.25">
      <c r="A425" s="15"/>
      <c r="B425" s="6"/>
      <c r="C425" s="18"/>
      <c r="D425" s="28"/>
      <c r="E425" s="16"/>
      <c r="G425"/>
    </row>
    <row r="426" spans="1:7" s="14" customFormat="1" x14ac:dyDescent="0.25">
      <c r="A426" s="15"/>
      <c r="B426" s="6"/>
      <c r="C426" s="18"/>
      <c r="D426" s="28"/>
      <c r="E426" s="16"/>
      <c r="G426"/>
    </row>
    <row r="427" spans="1:7" s="14" customFormat="1" x14ac:dyDescent="0.25">
      <c r="A427" s="15"/>
      <c r="B427" s="6"/>
      <c r="C427" s="18"/>
      <c r="D427" s="28"/>
      <c r="E427" s="16"/>
      <c r="G427"/>
    </row>
    <row r="428" spans="1:7" s="14" customFormat="1" x14ac:dyDescent="0.25">
      <c r="A428" s="15"/>
      <c r="B428" s="6"/>
      <c r="C428" s="18"/>
      <c r="D428" s="28"/>
      <c r="E428" s="16"/>
      <c r="G428"/>
    </row>
    <row r="429" spans="1:7" s="14" customFormat="1" x14ac:dyDescent="0.25">
      <c r="A429" s="15"/>
      <c r="B429" s="6"/>
      <c r="C429" s="18"/>
      <c r="D429" s="28"/>
      <c r="E429" s="16"/>
      <c r="G429"/>
    </row>
    <row r="430" spans="1:7" s="14" customFormat="1" x14ac:dyDescent="0.25">
      <c r="A430" s="15"/>
      <c r="B430" s="6"/>
      <c r="C430" s="18"/>
      <c r="D430" s="28"/>
      <c r="E430" s="16"/>
      <c r="G430"/>
    </row>
    <row r="431" spans="1:7" s="14" customFormat="1" x14ac:dyDescent="0.25">
      <c r="A431" s="15"/>
      <c r="B431" s="6"/>
      <c r="C431" s="18"/>
      <c r="D431" s="28"/>
      <c r="E431" s="16"/>
      <c r="G431"/>
    </row>
    <row r="432" spans="1:7" s="14" customFormat="1" x14ac:dyDescent="0.25">
      <c r="A432" s="15"/>
      <c r="B432" s="6"/>
      <c r="C432" s="18"/>
      <c r="D432" s="28"/>
      <c r="E432" s="16"/>
      <c r="G432"/>
    </row>
    <row r="433" spans="1:7" s="14" customFormat="1" x14ac:dyDescent="0.25">
      <c r="A433" s="15"/>
      <c r="B433" s="6"/>
      <c r="C433" s="18"/>
      <c r="D433" s="28"/>
      <c r="E433" s="16"/>
      <c r="G433"/>
    </row>
    <row r="434" spans="1:7" s="14" customFormat="1" x14ac:dyDescent="0.25">
      <c r="A434" s="15"/>
      <c r="B434" s="6"/>
      <c r="C434" s="18"/>
      <c r="D434" s="28"/>
      <c r="E434" s="16"/>
      <c r="G434"/>
    </row>
    <row r="435" spans="1:7" s="14" customFormat="1" x14ac:dyDescent="0.25">
      <c r="A435" s="15"/>
      <c r="B435" s="6"/>
      <c r="C435" s="18"/>
      <c r="D435" s="28"/>
      <c r="E435" s="16"/>
      <c r="G435"/>
    </row>
    <row r="436" spans="1:7" s="14" customFormat="1" x14ac:dyDescent="0.25">
      <c r="A436" s="15"/>
      <c r="B436" s="6"/>
      <c r="C436" s="18"/>
      <c r="D436" s="28"/>
      <c r="E436" s="16"/>
      <c r="G436"/>
    </row>
    <row r="437" spans="1:7" s="14" customFormat="1" x14ac:dyDescent="0.25">
      <c r="A437" s="15"/>
      <c r="B437" s="6"/>
      <c r="C437" s="18"/>
      <c r="D437" s="28"/>
      <c r="E437" s="16"/>
      <c r="G437"/>
    </row>
    <row r="438" spans="1:7" s="14" customFormat="1" x14ac:dyDescent="0.25">
      <c r="A438" s="15"/>
      <c r="B438" s="6"/>
      <c r="C438" s="18"/>
      <c r="D438" s="28"/>
      <c r="E438" s="16"/>
      <c r="G438"/>
    </row>
    <row r="439" spans="1:7" s="14" customFormat="1" x14ac:dyDescent="0.25">
      <c r="A439" s="15"/>
      <c r="B439" s="6"/>
      <c r="C439" s="18"/>
      <c r="D439" s="28"/>
      <c r="E439" s="16"/>
      <c r="G439"/>
    </row>
    <row r="440" spans="1:7" s="14" customFormat="1" x14ac:dyDescent="0.25">
      <c r="A440" s="15"/>
      <c r="B440" s="6"/>
      <c r="C440" s="18"/>
      <c r="D440" s="28"/>
      <c r="E440" s="16"/>
      <c r="G440"/>
    </row>
    <row r="441" spans="1:7" s="14" customFormat="1" x14ac:dyDescent="0.25">
      <c r="A441" s="15"/>
      <c r="B441" s="6"/>
      <c r="C441" s="18"/>
      <c r="D441" s="28"/>
      <c r="E441" s="16"/>
      <c r="G441"/>
    </row>
    <row r="442" spans="1:7" s="14" customFormat="1" x14ac:dyDescent="0.25">
      <c r="A442" s="15"/>
      <c r="B442" s="6"/>
      <c r="C442" s="18"/>
      <c r="D442" s="28"/>
      <c r="E442" s="16"/>
      <c r="G442"/>
    </row>
    <row r="443" spans="1:7" s="14" customFormat="1" x14ac:dyDescent="0.25">
      <c r="A443" s="15"/>
      <c r="B443" s="6"/>
      <c r="C443" s="18"/>
      <c r="D443" s="28"/>
      <c r="E443" s="16"/>
      <c r="G443"/>
    </row>
    <row r="444" spans="1:7" s="14" customFormat="1" x14ac:dyDescent="0.25">
      <c r="A444" s="15"/>
      <c r="B444" s="6"/>
      <c r="C444" s="18"/>
      <c r="D444" s="28"/>
      <c r="E444" s="16"/>
      <c r="G444"/>
    </row>
    <row r="445" spans="1:7" s="14" customFormat="1" x14ac:dyDescent="0.25">
      <c r="A445" s="15"/>
      <c r="B445" s="6"/>
      <c r="C445" s="18"/>
      <c r="D445" s="28"/>
      <c r="E445" s="16"/>
      <c r="G445"/>
    </row>
    <row r="446" spans="1:7" s="14" customFormat="1" x14ac:dyDescent="0.25">
      <c r="A446" s="15"/>
      <c r="B446" s="6"/>
      <c r="C446" s="18"/>
      <c r="D446" s="28"/>
      <c r="E446" s="16"/>
      <c r="G446"/>
    </row>
    <row r="447" spans="1:7" s="14" customFormat="1" x14ac:dyDescent="0.25">
      <c r="A447" s="15"/>
      <c r="B447" s="6"/>
      <c r="C447" s="18"/>
      <c r="D447" s="28"/>
      <c r="E447" s="16"/>
      <c r="G447"/>
    </row>
    <row r="448" spans="1:7" s="14" customFormat="1" x14ac:dyDescent="0.25">
      <c r="A448" s="15"/>
      <c r="B448" s="6"/>
      <c r="C448" s="18"/>
      <c r="D448" s="28"/>
      <c r="E448" s="16"/>
      <c r="G448"/>
    </row>
    <row r="449" spans="1:7" s="14" customFormat="1" x14ac:dyDescent="0.25">
      <c r="A449" s="15"/>
      <c r="B449" s="6"/>
      <c r="C449" s="18"/>
      <c r="D449" s="28"/>
      <c r="E449" s="16"/>
      <c r="G449"/>
    </row>
    <row r="450" spans="1:7" s="14" customFormat="1" x14ac:dyDescent="0.25">
      <c r="A450" s="15"/>
      <c r="B450" s="6"/>
      <c r="C450" s="18"/>
      <c r="D450" s="28"/>
      <c r="E450" s="16"/>
      <c r="G450"/>
    </row>
    <row r="451" spans="1:7" s="14" customFormat="1" x14ac:dyDescent="0.25">
      <c r="A451" s="15"/>
      <c r="B451" s="6"/>
      <c r="C451" s="18"/>
      <c r="D451" s="28"/>
      <c r="E451" s="16"/>
      <c r="G451"/>
    </row>
    <row r="452" spans="1:7" s="14" customFormat="1" x14ac:dyDescent="0.25">
      <c r="A452" s="15"/>
      <c r="B452" s="6"/>
      <c r="C452" s="18"/>
      <c r="D452" s="28"/>
      <c r="E452" s="16"/>
      <c r="G452"/>
    </row>
    <row r="453" spans="1:7" s="14" customFormat="1" x14ac:dyDescent="0.25">
      <c r="A453" s="15"/>
      <c r="B453" s="6"/>
      <c r="C453" s="18"/>
      <c r="D453" s="28"/>
      <c r="E453" s="16"/>
      <c r="G453"/>
    </row>
    <row r="454" spans="1:7" s="14" customFormat="1" x14ac:dyDescent="0.25">
      <c r="A454" s="15"/>
      <c r="B454" s="6"/>
      <c r="C454" s="18"/>
      <c r="D454" s="28"/>
      <c r="E454" s="16"/>
      <c r="G454"/>
    </row>
    <row r="455" spans="1:7" s="14" customFormat="1" x14ac:dyDescent="0.25">
      <c r="A455" s="15"/>
      <c r="B455" s="6"/>
      <c r="C455" s="18"/>
      <c r="D455" s="28"/>
      <c r="E455" s="16"/>
      <c r="G455"/>
    </row>
    <row r="456" spans="1:7" s="14" customFormat="1" x14ac:dyDescent="0.25">
      <c r="A456" s="15"/>
      <c r="B456" s="6"/>
      <c r="C456" s="18"/>
      <c r="D456" s="28"/>
      <c r="E456" s="16"/>
      <c r="G456"/>
    </row>
    <row r="457" spans="1:7" s="14" customFormat="1" x14ac:dyDescent="0.25">
      <c r="A457" s="15"/>
      <c r="B457" s="6"/>
      <c r="C457" s="18"/>
      <c r="D457" s="28"/>
      <c r="E457" s="16"/>
      <c r="G457"/>
    </row>
    <row r="458" spans="1:7" s="14" customFormat="1" x14ac:dyDescent="0.25">
      <c r="A458" s="15"/>
      <c r="B458" s="6"/>
      <c r="C458" s="18"/>
      <c r="D458" s="28"/>
      <c r="E458" s="16"/>
      <c r="G458"/>
    </row>
    <row r="459" spans="1:7" s="14" customFormat="1" x14ac:dyDescent="0.25">
      <c r="A459" s="15"/>
      <c r="B459" s="6"/>
      <c r="C459" s="18"/>
      <c r="D459" s="28"/>
      <c r="E459" s="16"/>
      <c r="G459"/>
    </row>
    <row r="460" spans="1:7" s="14" customFormat="1" x14ac:dyDescent="0.25">
      <c r="A460" s="15"/>
      <c r="B460" s="6"/>
      <c r="C460" s="18"/>
      <c r="D460" s="28"/>
      <c r="E460" s="16"/>
      <c r="G460"/>
    </row>
    <row r="461" spans="1:7" s="14" customFormat="1" x14ac:dyDescent="0.25">
      <c r="A461" s="15"/>
      <c r="B461" s="6"/>
      <c r="C461" s="18"/>
      <c r="D461" s="28"/>
      <c r="E461" s="16"/>
      <c r="G461"/>
    </row>
    <row r="462" spans="1:7" s="14" customFormat="1" x14ac:dyDescent="0.25">
      <c r="A462" s="15"/>
      <c r="B462" s="6"/>
      <c r="C462" s="18"/>
      <c r="D462" s="28"/>
      <c r="E462" s="16"/>
      <c r="G462"/>
    </row>
    <row r="463" spans="1:7" s="14" customFormat="1" x14ac:dyDescent="0.25">
      <c r="A463" s="15"/>
      <c r="B463" s="6"/>
      <c r="C463" s="18"/>
      <c r="D463" s="28"/>
      <c r="E463" s="16"/>
      <c r="G463"/>
    </row>
    <row r="464" spans="1:7" s="14" customFormat="1" x14ac:dyDescent="0.25">
      <c r="A464" s="15"/>
      <c r="B464" s="6"/>
      <c r="C464" s="18"/>
      <c r="D464" s="28"/>
      <c r="E464" s="16"/>
      <c r="G464"/>
    </row>
    <row r="465" spans="1:7" s="14" customFormat="1" x14ac:dyDescent="0.25">
      <c r="A465" s="15"/>
      <c r="B465" s="6"/>
      <c r="C465" s="18"/>
      <c r="D465" s="28"/>
      <c r="E465" s="16"/>
      <c r="G465"/>
    </row>
    <row r="466" spans="1:7" s="14" customFormat="1" x14ac:dyDescent="0.25">
      <c r="A466" s="15"/>
      <c r="B466" s="6"/>
      <c r="C466" s="18"/>
      <c r="D466" s="28"/>
      <c r="E466" s="16"/>
      <c r="G466"/>
    </row>
    <row r="467" spans="1:7" s="14" customFormat="1" x14ac:dyDescent="0.25">
      <c r="A467" s="15"/>
      <c r="B467" s="6"/>
      <c r="C467" s="18"/>
      <c r="D467" s="28"/>
      <c r="E467" s="16"/>
      <c r="G467"/>
    </row>
    <row r="468" spans="1:7" s="14" customFormat="1" x14ac:dyDescent="0.25">
      <c r="A468" s="15"/>
      <c r="B468" s="6"/>
      <c r="C468" s="18"/>
      <c r="D468" s="28"/>
      <c r="E468" s="16"/>
      <c r="G468"/>
    </row>
    <row r="469" spans="1:7" s="14" customFormat="1" x14ac:dyDescent="0.25">
      <c r="A469" s="15"/>
      <c r="B469" s="6"/>
      <c r="C469" s="18"/>
      <c r="D469" s="28"/>
      <c r="E469" s="16"/>
      <c r="G469"/>
    </row>
    <row r="470" spans="1:7" s="14" customFormat="1" x14ac:dyDescent="0.25">
      <c r="A470" s="15"/>
      <c r="B470" s="6"/>
      <c r="C470" s="18"/>
      <c r="D470" s="28"/>
      <c r="E470" s="16"/>
      <c r="G470"/>
    </row>
    <row r="471" spans="1:7" s="14" customFormat="1" x14ac:dyDescent="0.25">
      <c r="A471" s="15"/>
      <c r="B471" s="6"/>
      <c r="C471" s="18"/>
      <c r="D471" s="28"/>
      <c r="E471" s="16"/>
      <c r="G471"/>
    </row>
    <row r="472" spans="1:7" s="14" customFormat="1" x14ac:dyDescent="0.25">
      <c r="A472" s="15"/>
      <c r="B472" s="6"/>
      <c r="C472" s="18"/>
      <c r="D472" s="28"/>
      <c r="E472" s="16"/>
      <c r="G472"/>
    </row>
    <row r="473" spans="1:7" s="14" customFormat="1" x14ac:dyDescent="0.25">
      <c r="A473" s="15"/>
      <c r="B473" s="6"/>
      <c r="C473" s="18"/>
      <c r="D473" s="28"/>
      <c r="E473" s="16"/>
      <c r="G473"/>
    </row>
    <row r="474" spans="1:7" s="14" customFormat="1" x14ac:dyDescent="0.25">
      <c r="A474" s="15"/>
      <c r="B474" s="6"/>
      <c r="C474" s="18"/>
      <c r="D474" s="28"/>
      <c r="E474" s="16"/>
      <c r="G474"/>
    </row>
    <row r="475" spans="1:7" s="14" customFormat="1" x14ac:dyDescent="0.25">
      <c r="A475" s="15"/>
      <c r="B475" s="6"/>
      <c r="C475" s="18"/>
      <c r="D475" s="28"/>
      <c r="E475" s="16"/>
      <c r="G475"/>
    </row>
    <row r="476" spans="1:7" s="14" customFormat="1" x14ac:dyDescent="0.25">
      <c r="A476" s="15"/>
      <c r="B476" s="6"/>
      <c r="C476" s="18"/>
      <c r="D476" s="28"/>
      <c r="E476" s="16"/>
      <c r="G476"/>
    </row>
    <row r="477" spans="1:7" s="14" customFormat="1" x14ac:dyDescent="0.25">
      <c r="A477" s="15"/>
      <c r="B477" s="6"/>
      <c r="C477" s="18"/>
      <c r="D477" s="28"/>
      <c r="E477" s="16"/>
      <c r="G477"/>
    </row>
    <row r="478" spans="1:7" s="14" customFormat="1" x14ac:dyDescent="0.25">
      <c r="A478" s="15"/>
      <c r="B478" s="6"/>
      <c r="C478" s="18"/>
      <c r="D478" s="28"/>
      <c r="E478" s="16"/>
      <c r="G478"/>
    </row>
    <row r="479" spans="1:7" s="14" customFormat="1" x14ac:dyDescent="0.25">
      <c r="A479" s="15"/>
      <c r="B479" s="6"/>
      <c r="C479" s="18"/>
      <c r="D479" s="28"/>
      <c r="E479" s="16"/>
      <c r="G479"/>
    </row>
    <row r="480" spans="1:7" s="14" customFormat="1" x14ac:dyDescent="0.25">
      <c r="A480" s="15"/>
      <c r="B480" s="6"/>
      <c r="C480" s="18"/>
      <c r="D480" s="28"/>
      <c r="E480" s="16"/>
      <c r="G480"/>
    </row>
    <row r="481" spans="1:7" s="14" customFormat="1" x14ac:dyDescent="0.25">
      <c r="A481" s="15"/>
      <c r="B481" s="6"/>
      <c r="C481" s="18"/>
      <c r="D481" s="28"/>
      <c r="E481" s="16"/>
      <c r="G481"/>
    </row>
    <row r="482" spans="1:7" s="14" customFormat="1" x14ac:dyDescent="0.25">
      <c r="A482" s="15"/>
      <c r="B482" s="6"/>
      <c r="C482" s="18"/>
      <c r="D482" s="28"/>
      <c r="E482" s="16"/>
      <c r="G482"/>
    </row>
    <row r="483" spans="1:7" s="14" customFormat="1" x14ac:dyDescent="0.25">
      <c r="A483" s="15"/>
      <c r="B483" s="6"/>
      <c r="C483" s="18"/>
      <c r="D483" s="28"/>
      <c r="E483" s="16"/>
      <c r="G483"/>
    </row>
    <row r="484" spans="1:7" s="14" customFormat="1" x14ac:dyDescent="0.25">
      <c r="A484" s="15"/>
      <c r="B484" s="6"/>
      <c r="C484" s="18"/>
      <c r="D484" s="28"/>
      <c r="E484" s="16"/>
      <c r="G484"/>
    </row>
    <row r="485" spans="1:7" s="14" customFormat="1" x14ac:dyDescent="0.25">
      <c r="A485" s="15"/>
      <c r="B485" s="6"/>
      <c r="C485" s="18"/>
      <c r="D485" s="28"/>
      <c r="E485" s="16"/>
      <c r="G485"/>
    </row>
    <row r="486" spans="1:7" s="14" customFormat="1" x14ac:dyDescent="0.25">
      <c r="A486" s="15"/>
      <c r="B486" s="6"/>
      <c r="C486" s="18"/>
      <c r="D486" s="28"/>
      <c r="E486" s="16"/>
      <c r="G486"/>
    </row>
    <row r="487" spans="1:7" s="14" customFormat="1" x14ac:dyDescent="0.25">
      <c r="A487" s="15"/>
      <c r="B487" s="6"/>
      <c r="C487" s="18"/>
      <c r="D487" s="28"/>
      <c r="E487" s="16"/>
      <c r="G487"/>
    </row>
    <row r="488" spans="1:7" s="14" customFormat="1" x14ac:dyDescent="0.25">
      <c r="A488" s="15"/>
      <c r="B488" s="6"/>
      <c r="C488" s="18"/>
      <c r="D488" s="28"/>
      <c r="E488" s="16"/>
      <c r="G488"/>
    </row>
    <row r="489" spans="1:7" s="14" customFormat="1" x14ac:dyDescent="0.25">
      <c r="A489" s="15"/>
      <c r="B489" s="6"/>
      <c r="C489" s="18"/>
      <c r="D489" s="28"/>
      <c r="E489" s="16"/>
      <c r="G489"/>
    </row>
    <row r="490" spans="1:7" s="14" customFormat="1" x14ac:dyDescent="0.25">
      <c r="A490" s="15"/>
      <c r="B490" s="6"/>
      <c r="C490" s="18"/>
      <c r="D490" s="28"/>
      <c r="E490" s="16"/>
      <c r="G490"/>
    </row>
    <row r="491" spans="1:7" s="14" customFormat="1" x14ac:dyDescent="0.25">
      <c r="A491" s="15"/>
      <c r="B491" s="6"/>
      <c r="C491" s="18"/>
      <c r="D491" s="28"/>
      <c r="E491" s="16"/>
      <c r="G491"/>
    </row>
    <row r="492" spans="1:7" s="14" customFormat="1" x14ac:dyDescent="0.25">
      <c r="A492" s="15"/>
      <c r="B492" s="6"/>
      <c r="C492" s="18"/>
      <c r="D492" s="28"/>
      <c r="E492" s="16"/>
      <c r="G492"/>
    </row>
    <row r="493" spans="1:7" s="14" customFormat="1" x14ac:dyDescent="0.25">
      <c r="A493" s="15"/>
      <c r="B493" s="6"/>
      <c r="C493" s="18"/>
      <c r="D493" s="28"/>
      <c r="E493" s="16"/>
      <c r="G493"/>
    </row>
    <row r="494" spans="1:7" s="14" customFormat="1" x14ac:dyDescent="0.25">
      <c r="A494" s="15"/>
      <c r="B494" s="6"/>
      <c r="C494" s="18"/>
      <c r="D494" s="28"/>
      <c r="E494" s="16"/>
      <c r="G494"/>
    </row>
    <row r="495" spans="1:7" s="14" customFormat="1" x14ac:dyDescent="0.25">
      <c r="A495" s="15"/>
      <c r="B495" s="6"/>
      <c r="C495" s="18"/>
      <c r="D495" s="28"/>
      <c r="E495" s="16"/>
      <c r="G495"/>
    </row>
    <row r="496" spans="1:7" s="14" customFormat="1" x14ac:dyDescent="0.25">
      <c r="A496" s="15"/>
      <c r="B496" s="6"/>
      <c r="C496" s="18"/>
      <c r="D496" s="28"/>
      <c r="E496" s="16"/>
      <c r="G496"/>
    </row>
    <row r="497" spans="1:7" s="14" customFormat="1" x14ac:dyDescent="0.25">
      <c r="A497" s="15"/>
      <c r="B497" s="6"/>
      <c r="C497" s="18"/>
      <c r="D497" s="28"/>
      <c r="E497" s="16"/>
      <c r="G497"/>
    </row>
    <row r="498" spans="1:7" s="14" customFormat="1" x14ac:dyDescent="0.25">
      <c r="A498" s="15"/>
      <c r="B498" s="6"/>
      <c r="C498" s="18"/>
      <c r="D498" s="28"/>
      <c r="E498" s="16"/>
      <c r="G498"/>
    </row>
    <row r="499" spans="1:7" s="14" customFormat="1" x14ac:dyDescent="0.25">
      <c r="A499" s="15"/>
      <c r="B499" s="6"/>
      <c r="C499" s="18"/>
      <c r="D499" s="28"/>
      <c r="E499" s="16"/>
      <c r="G499"/>
    </row>
    <row r="500" spans="1:7" s="14" customFormat="1" x14ac:dyDescent="0.25">
      <c r="A500" s="15"/>
      <c r="B500" s="6"/>
      <c r="C500" s="18"/>
      <c r="D500" s="28"/>
      <c r="E500" s="16"/>
      <c r="G500"/>
    </row>
    <row r="501" spans="1:7" s="14" customFormat="1" x14ac:dyDescent="0.25">
      <c r="A501" s="15"/>
      <c r="B501" s="6"/>
      <c r="C501" s="18"/>
      <c r="D501" s="28"/>
      <c r="E501" s="16"/>
      <c r="G501"/>
    </row>
    <row r="502" spans="1:7" s="14" customFormat="1" x14ac:dyDescent="0.25">
      <c r="A502" s="15"/>
      <c r="B502" s="6"/>
      <c r="C502" s="18"/>
      <c r="D502" s="28"/>
      <c r="E502" s="16"/>
      <c r="G502"/>
    </row>
    <row r="503" spans="1:7" s="14" customFormat="1" x14ac:dyDescent="0.25">
      <c r="A503" s="15"/>
      <c r="B503" s="6"/>
      <c r="C503" s="18"/>
      <c r="D503" s="28"/>
      <c r="E503" s="16"/>
      <c r="G503"/>
    </row>
    <row r="504" spans="1:7" s="14" customFormat="1" x14ac:dyDescent="0.25">
      <c r="A504" s="15"/>
      <c r="B504" s="6"/>
      <c r="C504" s="18"/>
      <c r="D504" s="28"/>
      <c r="E504" s="16"/>
      <c r="G504"/>
    </row>
    <row r="505" spans="1:7" s="14" customFormat="1" x14ac:dyDescent="0.25">
      <c r="A505" s="15"/>
      <c r="B505" s="6"/>
      <c r="C505" s="18"/>
      <c r="D505" s="28"/>
      <c r="E505" s="16"/>
      <c r="G505"/>
    </row>
    <row r="506" spans="1:7" s="14" customFormat="1" x14ac:dyDescent="0.25">
      <c r="A506" s="15"/>
      <c r="B506" s="6"/>
      <c r="C506" s="18"/>
      <c r="D506" s="28"/>
      <c r="E506" s="16"/>
      <c r="G506"/>
    </row>
    <row r="507" spans="1:7" s="14" customFormat="1" x14ac:dyDescent="0.25">
      <c r="A507" s="15"/>
      <c r="B507" s="6"/>
      <c r="C507" s="18"/>
      <c r="D507" s="28"/>
      <c r="E507" s="16"/>
      <c r="G507"/>
    </row>
    <row r="508" spans="1:7" s="14" customFormat="1" x14ac:dyDescent="0.25">
      <c r="A508" s="15"/>
      <c r="B508" s="6"/>
      <c r="C508" s="18"/>
      <c r="D508" s="28"/>
      <c r="E508" s="16"/>
      <c r="G508"/>
    </row>
    <row r="509" spans="1:7" s="14" customFormat="1" x14ac:dyDescent="0.25">
      <c r="A509" s="15"/>
      <c r="B509" s="6"/>
      <c r="C509" s="18"/>
      <c r="D509" s="28"/>
      <c r="E509" s="16"/>
      <c r="G509"/>
    </row>
    <row r="510" spans="1:7" s="14" customFormat="1" x14ac:dyDescent="0.25">
      <c r="A510" s="15"/>
      <c r="B510" s="6"/>
      <c r="C510" s="18"/>
      <c r="D510" s="28"/>
      <c r="E510" s="16"/>
      <c r="G510"/>
    </row>
    <row r="511" spans="1:7" s="14" customFormat="1" x14ac:dyDescent="0.25">
      <c r="A511" s="15"/>
      <c r="B511" s="6"/>
      <c r="C511" s="18"/>
      <c r="D511" s="28"/>
      <c r="E511" s="16"/>
      <c r="G511"/>
    </row>
    <row r="512" spans="1:7" s="14" customFormat="1" x14ac:dyDescent="0.25">
      <c r="A512" s="15"/>
      <c r="B512" s="6"/>
      <c r="C512" s="18"/>
      <c r="D512" s="28"/>
      <c r="E512" s="16"/>
      <c r="G512"/>
    </row>
    <row r="513" spans="1:7" s="14" customFormat="1" x14ac:dyDescent="0.25">
      <c r="A513" s="15"/>
      <c r="B513" s="6"/>
      <c r="C513" s="18"/>
      <c r="D513" s="28"/>
      <c r="E513" s="16"/>
      <c r="G513"/>
    </row>
    <row r="514" spans="1:7" s="14" customFormat="1" x14ac:dyDescent="0.25">
      <c r="A514" s="15"/>
      <c r="B514" s="6"/>
      <c r="C514" s="18"/>
      <c r="D514" s="28"/>
      <c r="E514" s="16"/>
      <c r="G514"/>
    </row>
    <row r="515" spans="1:7" s="14" customFormat="1" x14ac:dyDescent="0.25">
      <c r="A515" s="15"/>
      <c r="B515" s="6"/>
      <c r="C515" s="18"/>
      <c r="D515" s="28"/>
      <c r="E515" s="16"/>
      <c r="G515"/>
    </row>
    <row r="516" spans="1:7" s="14" customFormat="1" x14ac:dyDescent="0.25">
      <c r="A516" s="15"/>
      <c r="B516" s="6"/>
      <c r="C516" s="18"/>
      <c r="D516" s="28"/>
      <c r="E516" s="16"/>
      <c r="G516"/>
    </row>
    <row r="517" spans="1:7" s="14" customFormat="1" x14ac:dyDescent="0.25">
      <c r="A517" s="15"/>
      <c r="B517" s="6"/>
      <c r="C517" s="18"/>
      <c r="D517" s="28"/>
      <c r="E517" s="16"/>
      <c r="G517"/>
    </row>
    <row r="518" spans="1:7" s="14" customFormat="1" x14ac:dyDescent="0.25">
      <c r="A518" s="15"/>
      <c r="B518" s="6"/>
      <c r="C518" s="18"/>
      <c r="D518" s="28"/>
      <c r="E518" s="16"/>
      <c r="G518"/>
    </row>
    <row r="519" spans="1:7" s="14" customFormat="1" x14ac:dyDescent="0.25">
      <c r="A519" s="15"/>
      <c r="B519" s="6"/>
      <c r="C519" s="18"/>
      <c r="D519" s="28"/>
      <c r="E519" s="16"/>
      <c r="G519"/>
    </row>
    <row r="520" spans="1:7" s="14" customFormat="1" x14ac:dyDescent="0.25">
      <c r="A520" s="15"/>
      <c r="B520" s="6"/>
      <c r="C520" s="18"/>
      <c r="D520" s="28"/>
      <c r="E520" s="16"/>
      <c r="G520"/>
    </row>
    <row r="521" spans="1:7" s="14" customFormat="1" x14ac:dyDescent="0.25">
      <c r="A521" s="15"/>
      <c r="B521" s="6"/>
      <c r="C521" s="18"/>
      <c r="D521" s="28"/>
      <c r="E521" s="16"/>
      <c r="G521"/>
    </row>
    <row r="522" spans="1:7" s="14" customFormat="1" x14ac:dyDescent="0.25">
      <c r="A522" s="15"/>
      <c r="B522" s="6"/>
      <c r="C522" s="18"/>
      <c r="D522" s="28"/>
      <c r="E522" s="16"/>
      <c r="G522"/>
    </row>
    <row r="523" spans="1:7" s="14" customFormat="1" x14ac:dyDescent="0.25">
      <c r="A523" s="15"/>
      <c r="B523" s="6"/>
      <c r="C523" s="18"/>
      <c r="D523" s="28"/>
      <c r="E523" s="16"/>
      <c r="G523"/>
    </row>
    <row r="524" spans="1:7" s="14" customFormat="1" x14ac:dyDescent="0.25">
      <c r="A524" s="15"/>
      <c r="B524" s="6"/>
      <c r="C524" s="18"/>
      <c r="D524" s="28"/>
      <c r="E524" s="16"/>
      <c r="G524"/>
    </row>
    <row r="525" spans="1:7" s="14" customFormat="1" x14ac:dyDescent="0.25">
      <c r="A525" s="15"/>
      <c r="B525" s="6"/>
      <c r="C525" s="18"/>
      <c r="D525" s="28"/>
      <c r="E525" s="16"/>
      <c r="G525"/>
    </row>
    <row r="526" spans="1:7" s="14" customFormat="1" x14ac:dyDescent="0.25">
      <c r="A526" s="15"/>
      <c r="B526" s="6"/>
      <c r="C526" s="18"/>
      <c r="D526" s="28"/>
      <c r="E526" s="16"/>
      <c r="G526"/>
    </row>
    <row r="527" spans="1:7" s="14" customFormat="1" x14ac:dyDescent="0.25">
      <c r="A527" s="15"/>
      <c r="B527" s="6"/>
      <c r="C527" s="18"/>
      <c r="D527" s="28"/>
      <c r="E527" s="16"/>
      <c r="G527"/>
    </row>
    <row r="528" spans="1:7" s="14" customFormat="1" x14ac:dyDescent="0.25">
      <c r="A528" s="15"/>
      <c r="B528" s="6"/>
      <c r="C528" s="18"/>
      <c r="D528" s="28"/>
      <c r="E528" s="16"/>
      <c r="G528"/>
    </row>
    <row r="529" spans="1:7" s="14" customFormat="1" x14ac:dyDescent="0.25">
      <c r="A529" s="15"/>
      <c r="B529" s="6"/>
      <c r="C529" s="18"/>
      <c r="D529" s="28"/>
      <c r="E529" s="16"/>
      <c r="G529"/>
    </row>
    <row r="530" spans="1:7" s="14" customFormat="1" x14ac:dyDescent="0.25">
      <c r="A530" s="15"/>
      <c r="B530" s="6"/>
      <c r="C530" s="18"/>
      <c r="D530" s="28"/>
      <c r="E530" s="16"/>
      <c r="G530"/>
    </row>
    <row r="531" spans="1:7" s="14" customFormat="1" x14ac:dyDescent="0.25">
      <c r="A531" s="15"/>
      <c r="B531" s="6"/>
      <c r="C531" s="18"/>
      <c r="D531" s="28"/>
      <c r="E531" s="16"/>
      <c r="G531"/>
    </row>
    <row r="532" spans="1:7" s="14" customFormat="1" x14ac:dyDescent="0.25">
      <c r="A532" s="15"/>
      <c r="B532" s="6"/>
      <c r="C532" s="18"/>
      <c r="D532" s="28"/>
      <c r="E532" s="16"/>
      <c r="G532"/>
    </row>
    <row r="533" spans="1:7" s="14" customFormat="1" x14ac:dyDescent="0.25">
      <c r="A533" s="15"/>
      <c r="B533" s="6"/>
      <c r="C533" s="18"/>
      <c r="D533" s="28"/>
      <c r="E533" s="16"/>
      <c r="G533"/>
    </row>
    <row r="534" spans="1:7" s="14" customFormat="1" x14ac:dyDescent="0.25">
      <c r="A534" s="15"/>
      <c r="B534" s="6"/>
      <c r="C534" s="18"/>
      <c r="D534" s="28"/>
      <c r="E534" s="16"/>
      <c r="G534"/>
    </row>
    <row r="535" spans="1:7" s="14" customFormat="1" x14ac:dyDescent="0.25">
      <c r="A535" s="15"/>
      <c r="B535" s="6"/>
      <c r="C535" s="18"/>
      <c r="D535" s="28"/>
      <c r="E535" s="16"/>
      <c r="G535"/>
    </row>
    <row r="536" spans="1:7" s="14" customFormat="1" x14ac:dyDescent="0.25">
      <c r="A536" s="15"/>
      <c r="B536" s="6"/>
      <c r="C536" s="18"/>
      <c r="D536" s="28"/>
      <c r="E536" s="16"/>
      <c r="G536"/>
    </row>
    <row r="537" spans="1:7" s="14" customFormat="1" x14ac:dyDescent="0.25">
      <c r="A537" s="15"/>
      <c r="B537" s="6"/>
      <c r="C537" s="18"/>
      <c r="D537" s="28"/>
      <c r="E537" s="16"/>
      <c r="G537"/>
    </row>
    <row r="538" spans="1:7" s="14" customFormat="1" x14ac:dyDescent="0.25">
      <c r="A538" s="15"/>
      <c r="B538" s="6"/>
      <c r="C538" s="18"/>
      <c r="D538" s="28"/>
      <c r="E538" s="16"/>
      <c r="G538"/>
    </row>
    <row r="539" spans="1:7" s="14" customFormat="1" x14ac:dyDescent="0.25">
      <c r="A539" s="15"/>
      <c r="B539" s="6"/>
      <c r="C539" s="18"/>
      <c r="D539" s="28"/>
      <c r="E539" s="16"/>
      <c r="G539"/>
    </row>
    <row r="540" spans="1:7" s="14" customFormat="1" x14ac:dyDescent="0.25">
      <c r="A540" s="15"/>
      <c r="B540" s="6"/>
      <c r="C540" s="18"/>
      <c r="D540" s="28"/>
      <c r="E540" s="16"/>
      <c r="G540"/>
    </row>
    <row r="541" spans="1:7" s="14" customFormat="1" x14ac:dyDescent="0.25">
      <c r="A541" s="15"/>
      <c r="B541" s="6"/>
      <c r="C541" s="18"/>
      <c r="D541" s="28"/>
      <c r="E541" s="16"/>
      <c r="G541"/>
    </row>
    <row r="542" spans="1:7" s="14" customFormat="1" x14ac:dyDescent="0.25">
      <c r="A542" s="15"/>
      <c r="B542" s="6"/>
      <c r="C542" s="18"/>
      <c r="D542" s="28"/>
      <c r="E542" s="16"/>
      <c r="G542"/>
    </row>
    <row r="543" spans="1:7" s="14" customFormat="1" x14ac:dyDescent="0.25">
      <c r="A543" s="15"/>
      <c r="B543" s="6"/>
      <c r="C543" s="18"/>
      <c r="D543" s="28"/>
      <c r="E543" s="16"/>
      <c r="G543"/>
    </row>
    <row r="544" spans="1:7" s="14" customFormat="1" x14ac:dyDescent="0.25">
      <c r="A544" s="15"/>
      <c r="B544" s="6"/>
      <c r="C544" s="18"/>
      <c r="D544" s="28"/>
      <c r="E544" s="16"/>
      <c r="G544"/>
    </row>
    <row r="545" spans="1:7" s="14" customFormat="1" x14ac:dyDescent="0.25">
      <c r="A545" s="15"/>
      <c r="B545" s="6"/>
      <c r="C545" s="18"/>
      <c r="D545" s="28"/>
      <c r="E545" s="16"/>
      <c r="G545"/>
    </row>
    <row r="546" spans="1:7" s="14" customFormat="1" x14ac:dyDescent="0.25">
      <c r="A546" s="15"/>
      <c r="B546" s="6"/>
      <c r="C546" s="18"/>
      <c r="D546" s="28"/>
      <c r="E546" s="16"/>
      <c r="G546"/>
    </row>
    <row r="547" spans="1:7" s="14" customFormat="1" x14ac:dyDescent="0.25">
      <c r="A547" s="15"/>
      <c r="B547" s="6"/>
      <c r="C547" s="18"/>
      <c r="D547" s="28"/>
      <c r="E547" s="16"/>
      <c r="G547"/>
    </row>
    <row r="548" spans="1:7" s="14" customFormat="1" x14ac:dyDescent="0.25">
      <c r="A548" s="15"/>
      <c r="B548" s="6"/>
      <c r="C548" s="18"/>
      <c r="D548" s="28"/>
      <c r="E548" s="16"/>
      <c r="G548"/>
    </row>
    <row r="549" spans="1:7" s="14" customFormat="1" x14ac:dyDescent="0.25">
      <c r="A549" s="15"/>
      <c r="B549" s="6"/>
      <c r="C549" s="18"/>
      <c r="D549" s="28"/>
      <c r="E549" s="16"/>
      <c r="G549"/>
    </row>
    <row r="550" spans="1:7" s="14" customFormat="1" x14ac:dyDescent="0.25">
      <c r="A550" s="15"/>
      <c r="B550" s="6"/>
      <c r="C550" s="18"/>
      <c r="D550" s="28"/>
      <c r="E550" s="16"/>
      <c r="G550"/>
    </row>
    <row r="551" spans="1:7" s="14" customFormat="1" x14ac:dyDescent="0.25">
      <c r="A551" s="15"/>
      <c r="B551" s="6"/>
      <c r="C551" s="18"/>
      <c r="D551" s="28"/>
      <c r="E551" s="16"/>
      <c r="G551"/>
    </row>
    <row r="552" spans="1:7" s="14" customFormat="1" x14ac:dyDescent="0.25">
      <c r="A552" s="15"/>
      <c r="B552" s="6"/>
      <c r="C552" s="18"/>
      <c r="D552" s="28"/>
      <c r="E552" s="16"/>
      <c r="G552"/>
    </row>
    <row r="553" spans="1:7" s="14" customFormat="1" x14ac:dyDescent="0.25">
      <c r="A553" s="15"/>
      <c r="B553" s="6"/>
      <c r="C553" s="18"/>
      <c r="D553" s="28"/>
      <c r="E553" s="16"/>
      <c r="G553"/>
    </row>
    <row r="554" spans="1:7" s="14" customFormat="1" x14ac:dyDescent="0.25">
      <c r="A554" s="15"/>
      <c r="B554" s="6"/>
      <c r="C554" s="18"/>
      <c r="D554" s="28"/>
      <c r="E554" s="16"/>
      <c r="G554"/>
    </row>
    <row r="555" spans="1:7" s="14" customFormat="1" x14ac:dyDescent="0.25">
      <c r="A555" s="15"/>
      <c r="B555" s="6"/>
      <c r="C555" s="18"/>
      <c r="D555" s="28"/>
      <c r="E555" s="16"/>
      <c r="G555"/>
    </row>
    <row r="556" spans="1:7" s="14" customFormat="1" x14ac:dyDescent="0.25">
      <c r="A556" s="15"/>
      <c r="B556" s="6"/>
      <c r="C556" s="18"/>
      <c r="D556" s="28"/>
      <c r="E556" s="16"/>
      <c r="G556"/>
    </row>
    <row r="557" spans="1:7" s="14" customFormat="1" x14ac:dyDescent="0.25">
      <c r="A557" s="15"/>
      <c r="B557" s="6"/>
      <c r="C557" s="18"/>
      <c r="D557" s="28"/>
      <c r="E557" s="16"/>
      <c r="G557"/>
    </row>
    <row r="558" spans="1:7" s="14" customFormat="1" x14ac:dyDescent="0.25">
      <c r="A558" s="15"/>
      <c r="B558" s="6"/>
      <c r="C558" s="18"/>
      <c r="D558" s="28"/>
      <c r="E558" s="16"/>
      <c r="G558"/>
    </row>
    <row r="559" spans="1:7" s="14" customFormat="1" x14ac:dyDescent="0.25">
      <c r="A559" s="15"/>
      <c r="B559" s="6"/>
      <c r="C559" s="18"/>
      <c r="D559" s="28"/>
      <c r="E559" s="16"/>
      <c r="G559"/>
    </row>
    <row r="560" spans="1:7" s="14" customFormat="1" x14ac:dyDescent="0.25">
      <c r="A560" s="15"/>
      <c r="B560" s="6"/>
      <c r="C560" s="18"/>
      <c r="D560" s="28"/>
      <c r="E560" s="16"/>
      <c r="G560"/>
    </row>
    <row r="561" spans="1:7" s="14" customFormat="1" x14ac:dyDescent="0.25">
      <c r="A561" s="15"/>
      <c r="B561" s="6"/>
      <c r="C561" s="18"/>
      <c r="D561" s="28"/>
      <c r="E561" s="16"/>
      <c r="G561"/>
    </row>
    <row r="562" spans="1:7" s="14" customFormat="1" x14ac:dyDescent="0.25">
      <c r="A562" s="15"/>
      <c r="B562" s="6"/>
      <c r="C562" s="18"/>
      <c r="D562" s="28"/>
      <c r="E562" s="16"/>
      <c r="G562"/>
    </row>
    <row r="563" spans="1:7" s="14" customFormat="1" x14ac:dyDescent="0.25">
      <c r="A563" s="15"/>
      <c r="B563" s="6"/>
      <c r="C563" s="18"/>
      <c r="D563" s="28"/>
      <c r="E563" s="16"/>
      <c r="G563"/>
    </row>
    <row r="564" spans="1:7" s="14" customFormat="1" x14ac:dyDescent="0.25">
      <c r="A564" s="15"/>
      <c r="B564" s="6"/>
      <c r="C564" s="18"/>
      <c r="D564" s="28"/>
      <c r="E564" s="16"/>
      <c r="G564"/>
    </row>
    <row r="565" spans="1:7" s="14" customFormat="1" x14ac:dyDescent="0.25">
      <c r="A565" s="15"/>
      <c r="B565" s="6"/>
      <c r="C565" s="18"/>
      <c r="D565" s="28"/>
      <c r="E565" s="16"/>
      <c r="G565"/>
    </row>
    <row r="566" spans="1:7" s="14" customFormat="1" x14ac:dyDescent="0.25">
      <c r="A566" s="15"/>
      <c r="B566" s="6"/>
      <c r="C566" s="18"/>
      <c r="D566" s="28"/>
      <c r="E566" s="16"/>
      <c r="G566"/>
    </row>
    <row r="567" spans="1:7" s="14" customFormat="1" x14ac:dyDescent="0.25">
      <c r="A567" s="15"/>
      <c r="B567" s="6"/>
      <c r="C567" s="18"/>
      <c r="D567" s="28"/>
      <c r="E567" s="16"/>
      <c r="G567"/>
    </row>
    <row r="568" spans="1:7" s="14" customFormat="1" x14ac:dyDescent="0.25">
      <c r="A568" s="15"/>
      <c r="B568" s="6"/>
      <c r="C568" s="18"/>
      <c r="D568" s="28"/>
      <c r="E568" s="16"/>
      <c r="G568"/>
    </row>
    <row r="569" spans="1:7" s="14" customFormat="1" x14ac:dyDescent="0.25">
      <c r="A569" s="15"/>
      <c r="B569" s="6"/>
      <c r="C569" s="18"/>
      <c r="D569" s="28"/>
      <c r="E569" s="16"/>
      <c r="G569"/>
    </row>
    <row r="570" spans="1:7" s="14" customFormat="1" x14ac:dyDescent="0.25">
      <c r="A570" s="15"/>
      <c r="B570" s="6"/>
      <c r="C570" s="18"/>
      <c r="D570" s="28"/>
      <c r="E570" s="16"/>
      <c r="G570"/>
    </row>
    <row r="571" spans="1:7" s="14" customFormat="1" x14ac:dyDescent="0.25">
      <c r="A571" s="15"/>
      <c r="B571" s="6"/>
      <c r="C571" s="18"/>
      <c r="D571" s="28"/>
      <c r="E571" s="16"/>
      <c r="G571"/>
    </row>
    <row r="572" spans="1:7" s="14" customFormat="1" x14ac:dyDescent="0.25">
      <c r="A572" s="15"/>
      <c r="B572" s="6"/>
      <c r="C572" s="18"/>
      <c r="D572" s="28"/>
      <c r="E572" s="16"/>
      <c r="G572"/>
    </row>
    <row r="573" spans="1:7" s="14" customFormat="1" x14ac:dyDescent="0.25">
      <c r="A573" s="15"/>
      <c r="B573" s="6"/>
      <c r="C573" s="18"/>
      <c r="D573" s="28"/>
      <c r="E573" s="16"/>
      <c r="G573"/>
    </row>
    <row r="574" spans="1:7" s="14" customFormat="1" x14ac:dyDescent="0.25">
      <c r="A574" s="15"/>
      <c r="B574" s="6"/>
      <c r="C574" s="18"/>
      <c r="D574" s="28"/>
      <c r="E574" s="16"/>
      <c r="G574"/>
    </row>
    <row r="575" spans="1:7" s="14" customFormat="1" x14ac:dyDescent="0.25">
      <c r="A575" s="15"/>
      <c r="B575" s="6"/>
      <c r="C575" s="18"/>
      <c r="D575" s="28"/>
      <c r="E575" s="16"/>
      <c r="G575"/>
    </row>
    <row r="576" spans="1:7" s="14" customFormat="1" x14ac:dyDescent="0.25">
      <c r="A576" s="15"/>
      <c r="B576" s="6"/>
      <c r="C576" s="18"/>
      <c r="D576" s="28"/>
      <c r="E576" s="16"/>
      <c r="G576"/>
    </row>
    <row r="577" spans="1:7" s="14" customFormat="1" x14ac:dyDescent="0.25">
      <c r="A577" s="15"/>
      <c r="B577" s="6"/>
      <c r="C577" s="18"/>
      <c r="D577" s="28"/>
      <c r="E577" s="16"/>
      <c r="G577"/>
    </row>
    <row r="578" spans="1:7" s="14" customFormat="1" x14ac:dyDescent="0.25">
      <c r="A578" s="15"/>
      <c r="B578" s="6"/>
      <c r="C578" s="18"/>
      <c r="D578" s="28"/>
      <c r="E578" s="16"/>
      <c r="G578"/>
    </row>
    <row r="579" spans="1:7" s="14" customFormat="1" x14ac:dyDescent="0.25">
      <c r="A579" s="15"/>
      <c r="B579" s="6"/>
      <c r="C579" s="18"/>
      <c r="D579" s="28"/>
      <c r="E579" s="16"/>
      <c r="G579"/>
    </row>
    <row r="580" spans="1:7" s="14" customFormat="1" x14ac:dyDescent="0.25">
      <c r="A580" s="15"/>
      <c r="B580" s="6"/>
      <c r="C580" s="18"/>
      <c r="D580" s="28"/>
      <c r="E580" s="16"/>
      <c r="G580"/>
    </row>
    <row r="581" spans="1:7" s="14" customFormat="1" x14ac:dyDescent="0.25">
      <c r="A581" s="15"/>
      <c r="B581" s="6"/>
      <c r="C581" s="18"/>
      <c r="D581" s="28"/>
      <c r="E581" s="16"/>
      <c r="G581"/>
    </row>
    <row r="582" spans="1:7" s="14" customFormat="1" x14ac:dyDescent="0.25">
      <c r="A582" s="15"/>
      <c r="B582" s="6"/>
      <c r="C582" s="18"/>
      <c r="D582" s="28"/>
      <c r="E582" s="16"/>
      <c r="G582"/>
    </row>
    <row r="583" spans="1:7" s="14" customFormat="1" x14ac:dyDescent="0.25">
      <c r="A583" s="15"/>
      <c r="B583" s="6"/>
      <c r="C583" s="18"/>
      <c r="D583" s="28"/>
      <c r="E583" s="16"/>
      <c r="G583"/>
    </row>
    <row r="584" spans="1:7" s="14" customFormat="1" x14ac:dyDescent="0.25">
      <c r="A584" s="15"/>
      <c r="B584" s="6"/>
      <c r="C584" s="18"/>
      <c r="D584" s="28"/>
      <c r="E584" s="16"/>
      <c r="G584"/>
    </row>
    <row r="585" spans="1:7" s="14" customFormat="1" x14ac:dyDescent="0.25">
      <c r="A585" s="15"/>
      <c r="B585" s="6"/>
      <c r="C585" s="18"/>
      <c r="D585" s="28"/>
      <c r="E585" s="16"/>
      <c r="G585"/>
    </row>
    <row r="586" spans="1:7" s="14" customFormat="1" x14ac:dyDescent="0.25">
      <c r="A586" s="15"/>
      <c r="B586" s="6"/>
      <c r="C586" s="18"/>
      <c r="D586" s="28"/>
      <c r="E586" s="16"/>
      <c r="G586"/>
    </row>
    <row r="587" spans="1:7" s="14" customFormat="1" x14ac:dyDescent="0.25">
      <c r="A587" s="15"/>
      <c r="B587" s="6"/>
      <c r="C587" s="18"/>
      <c r="D587" s="28"/>
      <c r="E587" s="16"/>
      <c r="G587"/>
    </row>
    <row r="588" spans="1:7" s="14" customFormat="1" x14ac:dyDescent="0.25">
      <c r="A588" s="15"/>
      <c r="B588" s="6"/>
      <c r="C588" s="18"/>
      <c r="D588" s="28"/>
      <c r="E588" s="16"/>
      <c r="G588"/>
    </row>
    <row r="589" spans="1:7" s="14" customFormat="1" x14ac:dyDescent="0.25">
      <c r="A589" s="15"/>
      <c r="B589" s="6"/>
      <c r="C589" s="18"/>
      <c r="D589" s="28"/>
      <c r="E589" s="16"/>
      <c r="G589"/>
    </row>
    <row r="590" spans="1:7" s="14" customFormat="1" x14ac:dyDescent="0.25">
      <c r="A590" s="15"/>
      <c r="B590" s="6"/>
      <c r="C590" s="18"/>
      <c r="D590" s="28"/>
      <c r="E590" s="16"/>
      <c r="G590"/>
    </row>
    <row r="591" spans="1:7" s="14" customFormat="1" x14ac:dyDescent="0.25">
      <c r="A591" s="15"/>
      <c r="B591" s="6"/>
      <c r="C591" s="18"/>
      <c r="D591" s="28"/>
      <c r="E591" s="16"/>
      <c r="G591"/>
    </row>
    <row r="592" spans="1:7" s="14" customFormat="1" x14ac:dyDescent="0.25">
      <c r="A592" s="15"/>
      <c r="B592" s="6"/>
      <c r="C592" s="18"/>
      <c r="D592" s="28"/>
      <c r="E592" s="16"/>
      <c r="G592"/>
    </row>
    <row r="593" spans="1:7" s="14" customFormat="1" x14ac:dyDescent="0.25">
      <c r="A593" s="15"/>
      <c r="B593" s="6"/>
      <c r="C593" s="18"/>
      <c r="D593" s="28"/>
      <c r="E593" s="16"/>
      <c r="G593"/>
    </row>
    <row r="594" spans="1:7" s="14" customFormat="1" x14ac:dyDescent="0.25">
      <c r="A594" s="15"/>
      <c r="B594" s="6"/>
      <c r="C594" s="18"/>
      <c r="D594" s="28"/>
      <c r="E594" s="16"/>
      <c r="G594"/>
    </row>
    <row r="595" spans="1:7" s="14" customFormat="1" x14ac:dyDescent="0.25">
      <c r="A595" s="15"/>
      <c r="B595" s="6"/>
      <c r="C595" s="18"/>
      <c r="D595" s="28"/>
      <c r="E595" s="16"/>
      <c r="G595"/>
    </row>
    <row r="596" spans="1:7" s="14" customFormat="1" x14ac:dyDescent="0.25">
      <c r="A596" s="15"/>
      <c r="B596" s="6"/>
      <c r="C596" s="18"/>
      <c r="D596" s="28"/>
      <c r="E596" s="16"/>
      <c r="G596"/>
    </row>
    <row r="597" spans="1:7" s="14" customFormat="1" x14ac:dyDescent="0.25">
      <c r="A597" s="15"/>
      <c r="B597" s="6"/>
      <c r="C597" s="18"/>
      <c r="D597" s="28"/>
      <c r="E597" s="16"/>
      <c r="G597"/>
    </row>
    <row r="598" spans="1:7" s="14" customFormat="1" x14ac:dyDescent="0.25">
      <c r="A598" s="15"/>
      <c r="B598" s="6"/>
      <c r="C598" s="18"/>
      <c r="D598" s="28"/>
      <c r="E598" s="16"/>
      <c r="G598"/>
    </row>
    <row r="599" spans="1:7" s="14" customFormat="1" x14ac:dyDescent="0.25">
      <c r="A599" s="15"/>
      <c r="B599" s="6"/>
      <c r="C599" s="18"/>
      <c r="D599" s="28"/>
      <c r="E599" s="16"/>
      <c r="G599"/>
    </row>
    <row r="600" spans="1:7" s="14" customFormat="1" x14ac:dyDescent="0.25">
      <c r="A600" s="15"/>
      <c r="B600" s="6"/>
      <c r="C600" s="18"/>
      <c r="D600" s="28"/>
      <c r="E600" s="16"/>
      <c r="G600"/>
    </row>
    <row r="601" spans="1:7" s="14" customFormat="1" x14ac:dyDescent="0.25">
      <c r="A601" s="15"/>
      <c r="B601" s="6"/>
      <c r="C601" s="18"/>
      <c r="D601" s="28"/>
      <c r="E601" s="16"/>
      <c r="G601"/>
    </row>
    <row r="602" spans="1:7" s="14" customFormat="1" x14ac:dyDescent="0.25">
      <c r="A602" s="15"/>
      <c r="B602" s="6"/>
      <c r="C602" s="18"/>
      <c r="D602" s="28"/>
      <c r="E602" s="16"/>
      <c r="G602"/>
    </row>
    <row r="603" spans="1:7" s="14" customFormat="1" x14ac:dyDescent="0.25">
      <c r="A603" s="15"/>
      <c r="B603" s="6"/>
      <c r="C603" s="18"/>
      <c r="D603" s="28"/>
      <c r="E603" s="16"/>
      <c r="G603"/>
    </row>
    <row r="604" spans="1:7" s="14" customFormat="1" x14ac:dyDescent="0.25">
      <c r="A604" s="15"/>
      <c r="B604" s="6"/>
      <c r="C604" s="18"/>
      <c r="D604" s="28"/>
      <c r="E604" s="16"/>
      <c r="G604"/>
    </row>
    <row r="605" spans="1:7" s="14" customFormat="1" x14ac:dyDescent="0.25">
      <c r="A605" s="15"/>
      <c r="B605" s="6"/>
      <c r="C605" s="18"/>
      <c r="D605" s="28"/>
      <c r="E605" s="16"/>
      <c r="G605"/>
    </row>
    <row r="606" spans="1:7" s="14" customFormat="1" x14ac:dyDescent="0.25">
      <c r="A606" s="15"/>
      <c r="B606" s="6"/>
      <c r="C606" s="18"/>
      <c r="D606" s="28"/>
      <c r="E606" s="16"/>
      <c r="G606"/>
    </row>
    <row r="607" spans="1:7" s="14" customFormat="1" x14ac:dyDescent="0.25">
      <c r="A607" s="15"/>
      <c r="B607" s="6"/>
      <c r="C607" s="18"/>
      <c r="D607" s="28"/>
      <c r="E607" s="16"/>
      <c r="G607"/>
    </row>
    <row r="608" spans="1:7" s="14" customFormat="1" x14ac:dyDescent="0.25">
      <c r="A608" s="15"/>
      <c r="B608" s="6"/>
      <c r="C608" s="18"/>
      <c r="D608" s="28"/>
      <c r="E608" s="16"/>
      <c r="G608"/>
    </row>
    <row r="609" spans="1:7" s="14" customFormat="1" x14ac:dyDescent="0.25">
      <c r="A609" s="15"/>
      <c r="B609" s="6"/>
      <c r="C609" s="18"/>
      <c r="D609" s="28"/>
      <c r="E609" s="16"/>
      <c r="G609"/>
    </row>
    <row r="610" spans="1:7" s="14" customFormat="1" x14ac:dyDescent="0.25">
      <c r="A610" s="15"/>
      <c r="B610" s="6"/>
      <c r="C610" s="18"/>
      <c r="D610" s="28"/>
      <c r="E610" s="16"/>
      <c r="G610"/>
    </row>
    <row r="611" spans="1:7" s="14" customFormat="1" x14ac:dyDescent="0.25">
      <c r="A611" s="15"/>
      <c r="B611" s="6"/>
      <c r="C611" s="18"/>
      <c r="D611" s="28"/>
      <c r="E611" s="16"/>
      <c r="G611"/>
    </row>
    <row r="612" spans="1:7" s="14" customFormat="1" x14ac:dyDescent="0.25">
      <c r="A612" s="15"/>
      <c r="B612" s="6"/>
      <c r="C612" s="18"/>
      <c r="D612" s="28"/>
      <c r="E612" s="16"/>
      <c r="G612"/>
    </row>
    <row r="613" spans="1:7" s="14" customFormat="1" x14ac:dyDescent="0.25">
      <c r="A613" s="15"/>
      <c r="B613" s="6"/>
      <c r="C613" s="18"/>
      <c r="D613" s="28"/>
      <c r="E613" s="16"/>
      <c r="G613"/>
    </row>
    <row r="614" spans="1:7" s="14" customFormat="1" x14ac:dyDescent="0.25">
      <c r="A614" s="15"/>
      <c r="B614" s="6"/>
      <c r="C614" s="18"/>
      <c r="D614" s="28"/>
      <c r="E614" s="16"/>
      <c r="G614"/>
    </row>
    <row r="615" spans="1:7" s="14" customFormat="1" x14ac:dyDescent="0.25">
      <c r="A615" s="15"/>
      <c r="B615" s="6"/>
      <c r="C615" s="18"/>
      <c r="D615" s="28"/>
      <c r="E615" s="16"/>
      <c r="G615"/>
    </row>
    <row r="616" spans="1:7" s="14" customFormat="1" x14ac:dyDescent="0.25">
      <c r="A616" s="15"/>
      <c r="B616" s="6"/>
      <c r="C616" s="18"/>
      <c r="D616" s="28"/>
      <c r="E616" s="16"/>
      <c r="G616"/>
    </row>
    <row r="617" spans="1:7" s="14" customFormat="1" x14ac:dyDescent="0.25">
      <c r="A617" s="15"/>
      <c r="B617" s="6"/>
      <c r="C617" s="18"/>
      <c r="D617" s="28"/>
      <c r="E617" s="16"/>
      <c r="G617"/>
    </row>
    <row r="618" spans="1:7" s="14" customFormat="1" x14ac:dyDescent="0.25">
      <c r="A618" s="15"/>
      <c r="B618" s="6"/>
      <c r="C618" s="18"/>
      <c r="D618" s="28"/>
      <c r="E618" s="16"/>
      <c r="G618"/>
    </row>
    <row r="619" spans="1:7" s="14" customFormat="1" x14ac:dyDescent="0.25">
      <c r="A619" s="15"/>
      <c r="B619" s="6"/>
      <c r="C619" s="18"/>
      <c r="D619" s="28"/>
      <c r="E619" s="16"/>
      <c r="G619"/>
    </row>
    <row r="620" spans="1:7" s="14" customFormat="1" x14ac:dyDescent="0.25">
      <c r="A620" s="15"/>
      <c r="B620" s="6"/>
      <c r="C620" s="18"/>
      <c r="D620" s="28"/>
      <c r="E620" s="16"/>
      <c r="G620"/>
    </row>
    <row r="621" spans="1:7" s="14" customFormat="1" x14ac:dyDescent="0.25">
      <c r="A621" s="15"/>
      <c r="B621" s="6"/>
      <c r="C621" s="18"/>
      <c r="D621" s="28"/>
      <c r="E621" s="16"/>
      <c r="G621"/>
    </row>
    <row r="622" spans="1:7" s="14" customFormat="1" x14ac:dyDescent="0.25">
      <c r="A622" s="15"/>
      <c r="B622" s="6"/>
      <c r="C622" s="18"/>
      <c r="D622" s="28"/>
      <c r="E622" s="16"/>
      <c r="G622"/>
    </row>
    <row r="623" spans="1:7" s="14" customFormat="1" x14ac:dyDescent="0.25">
      <c r="A623" s="15"/>
      <c r="B623" s="6"/>
      <c r="C623" s="18"/>
      <c r="D623" s="28"/>
      <c r="E623" s="16"/>
      <c r="G623"/>
    </row>
    <row r="624" spans="1:7" s="14" customFormat="1" x14ac:dyDescent="0.25">
      <c r="A624" s="15"/>
      <c r="B624" s="6"/>
      <c r="C624" s="18"/>
      <c r="D624" s="28"/>
      <c r="E624" s="16"/>
      <c r="G624"/>
    </row>
    <row r="625" spans="1:7" s="14" customFormat="1" x14ac:dyDescent="0.25">
      <c r="A625" s="15"/>
      <c r="B625" s="6"/>
      <c r="C625" s="18"/>
      <c r="D625" s="28"/>
      <c r="E625" s="16"/>
      <c r="G625"/>
    </row>
    <row r="626" spans="1:7" s="14" customFormat="1" x14ac:dyDescent="0.25">
      <c r="A626" s="15"/>
      <c r="B626" s="6"/>
      <c r="C626" s="18"/>
      <c r="D626" s="28"/>
      <c r="E626" s="16"/>
      <c r="G626"/>
    </row>
    <row r="627" spans="1:7" s="14" customFormat="1" x14ac:dyDescent="0.25">
      <c r="A627" s="15"/>
      <c r="B627" s="6"/>
      <c r="C627" s="18"/>
      <c r="D627" s="28"/>
      <c r="E627" s="16"/>
      <c r="G627"/>
    </row>
    <row r="628" spans="1:7" s="14" customFormat="1" x14ac:dyDescent="0.25">
      <c r="A628" s="15"/>
      <c r="B628" s="6"/>
      <c r="C628" s="18"/>
      <c r="D628" s="28"/>
      <c r="E628" s="16"/>
      <c r="G628"/>
    </row>
    <row r="629" spans="1:7" s="14" customFormat="1" x14ac:dyDescent="0.25">
      <c r="A629" s="15"/>
      <c r="B629" s="6"/>
      <c r="C629" s="18"/>
      <c r="D629" s="28"/>
      <c r="E629" s="16"/>
      <c r="G629"/>
    </row>
    <row r="630" spans="1:7" s="14" customFormat="1" x14ac:dyDescent="0.25">
      <c r="A630" s="15"/>
      <c r="B630" s="6"/>
      <c r="C630" s="18"/>
      <c r="D630" s="28"/>
      <c r="E630" s="16"/>
      <c r="G630"/>
    </row>
    <row r="631" spans="1:7" s="14" customFormat="1" x14ac:dyDescent="0.25">
      <c r="A631" s="15"/>
      <c r="B631" s="6"/>
      <c r="C631" s="18"/>
      <c r="D631" s="28"/>
      <c r="E631" s="16"/>
      <c r="G631"/>
    </row>
    <row r="632" spans="1:7" s="14" customFormat="1" x14ac:dyDescent="0.25">
      <c r="A632" s="15"/>
      <c r="B632" s="6"/>
      <c r="C632" s="18"/>
      <c r="D632" s="28"/>
      <c r="E632" s="16"/>
      <c r="G632"/>
    </row>
    <row r="633" spans="1:7" s="14" customFormat="1" x14ac:dyDescent="0.25">
      <c r="A633" s="15"/>
      <c r="B633" s="6"/>
      <c r="C633" s="18"/>
      <c r="D633" s="28"/>
      <c r="E633" s="16"/>
      <c r="G633"/>
    </row>
    <row r="634" spans="1:7" s="14" customFormat="1" x14ac:dyDescent="0.25">
      <c r="A634" s="15"/>
      <c r="B634" s="6"/>
      <c r="C634" s="18"/>
      <c r="D634" s="28"/>
      <c r="E634" s="16"/>
      <c r="G634"/>
    </row>
    <row r="635" spans="1:7" s="14" customFormat="1" x14ac:dyDescent="0.25">
      <c r="A635" s="15"/>
      <c r="B635" s="6"/>
      <c r="C635" s="18"/>
      <c r="D635" s="28"/>
      <c r="E635" s="16"/>
      <c r="G635"/>
    </row>
    <row r="636" spans="1:7" s="14" customFormat="1" x14ac:dyDescent="0.25">
      <c r="A636" s="15"/>
      <c r="B636" s="6"/>
      <c r="C636" s="18"/>
      <c r="D636" s="28"/>
      <c r="E636" s="16"/>
      <c r="G636"/>
    </row>
    <row r="637" spans="1:7" s="14" customFormat="1" x14ac:dyDescent="0.25">
      <c r="A637" s="15"/>
      <c r="B637" s="6"/>
      <c r="C637" s="18"/>
      <c r="D637" s="28"/>
      <c r="E637" s="16"/>
      <c r="G637"/>
    </row>
    <row r="638" spans="1:7" s="14" customFormat="1" x14ac:dyDescent="0.25">
      <c r="A638" s="15"/>
      <c r="B638" s="6"/>
      <c r="C638" s="18"/>
      <c r="D638" s="28"/>
      <c r="E638" s="16"/>
      <c r="G638"/>
    </row>
    <row r="639" spans="1:7" s="14" customFormat="1" x14ac:dyDescent="0.25">
      <c r="A639" s="15"/>
      <c r="B639" s="6"/>
      <c r="C639" s="18"/>
      <c r="D639" s="28"/>
      <c r="E639" s="16"/>
      <c r="G639"/>
    </row>
    <row r="640" spans="1:7" s="14" customFormat="1" x14ac:dyDescent="0.25">
      <c r="A640" s="15"/>
      <c r="B640" s="6"/>
      <c r="C640" s="18"/>
      <c r="D640" s="28"/>
      <c r="E640" s="16"/>
      <c r="G640"/>
    </row>
    <row r="641" spans="1:7" s="14" customFormat="1" x14ac:dyDescent="0.25">
      <c r="A641" s="15"/>
      <c r="B641" s="6"/>
      <c r="C641" s="18"/>
      <c r="D641" s="28"/>
      <c r="E641" s="16"/>
      <c r="G641"/>
    </row>
    <row r="642" spans="1:7" s="14" customFormat="1" x14ac:dyDescent="0.25">
      <c r="A642" s="15"/>
      <c r="B642" s="6"/>
      <c r="C642" s="18"/>
      <c r="D642" s="28"/>
      <c r="E642" s="16"/>
      <c r="G642"/>
    </row>
    <row r="643" spans="1:7" s="14" customFormat="1" x14ac:dyDescent="0.25">
      <c r="A643" s="15"/>
      <c r="B643" s="6"/>
      <c r="C643" s="18"/>
      <c r="D643" s="28"/>
      <c r="E643" s="16"/>
      <c r="G643"/>
    </row>
    <row r="644" spans="1:7" s="14" customFormat="1" x14ac:dyDescent="0.25">
      <c r="A644" s="15"/>
      <c r="B644" s="6"/>
      <c r="C644" s="18"/>
      <c r="D644" s="28"/>
      <c r="E644" s="16"/>
      <c r="G644"/>
    </row>
    <row r="645" spans="1:7" s="14" customFormat="1" x14ac:dyDescent="0.25">
      <c r="A645" s="15"/>
      <c r="B645" s="6"/>
      <c r="C645" s="18"/>
      <c r="D645" s="28"/>
      <c r="E645" s="16"/>
      <c r="G645"/>
    </row>
    <row r="646" spans="1:7" s="14" customFormat="1" x14ac:dyDescent="0.25">
      <c r="A646" s="15"/>
      <c r="B646" s="6"/>
      <c r="C646" s="18"/>
      <c r="D646" s="28"/>
      <c r="E646" s="16"/>
      <c r="G646"/>
    </row>
    <row r="647" spans="1:7" s="14" customFormat="1" x14ac:dyDescent="0.25">
      <c r="A647" s="15"/>
      <c r="B647" s="6"/>
      <c r="C647" s="18"/>
      <c r="D647" s="28"/>
      <c r="E647" s="16"/>
      <c r="G647"/>
    </row>
    <row r="648" spans="1:7" s="14" customFormat="1" x14ac:dyDescent="0.25">
      <c r="A648" s="15"/>
      <c r="B648" s="6"/>
      <c r="C648" s="18"/>
      <c r="D648" s="28"/>
      <c r="E648" s="16"/>
      <c r="G648"/>
    </row>
    <row r="649" spans="1:7" s="14" customFormat="1" x14ac:dyDescent="0.25">
      <c r="A649" s="15"/>
      <c r="B649" s="6"/>
      <c r="C649" s="18"/>
      <c r="D649" s="28"/>
      <c r="E649" s="16"/>
      <c r="G649"/>
    </row>
    <row r="650" spans="1:7" s="14" customFormat="1" x14ac:dyDescent="0.25">
      <c r="A650" s="15"/>
      <c r="B650" s="6"/>
      <c r="C650" s="18"/>
      <c r="D650" s="28"/>
      <c r="E650" s="16"/>
      <c r="G650"/>
    </row>
    <row r="651" spans="1:7" s="14" customFormat="1" x14ac:dyDescent="0.25">
      <c r="A651" s="15"/>
      <c r="B651" s="6"/>
      <c r="C651" s="18"/>
      <c r="D651" s="28"/>
      <c r="E651" s="16"/>
      <c r="G651"/>
    </row>
    <row r="652" spans="1:7" s="14" customFormat="1" x14ac:dyDescent="0.25">
      <c r="A652" s="15"/>
      <c r="B652" s="6"/>
      <c r="C652" s="18"/>
      <c r="D652" s="28"/>
      <c r="E652" s="16"/>
      <c r="G652"/>
    </row>
    <row r="653" spans="1:7" s="14" customFormat="1" x14ac:dyDescent="0.25">
      <c r="A653" s="15"/>
      <c r="B653" s="6"/>
      <c r="C653" s="18"/>
      <c r="D653" s="28"/>
      <c r="E653" s="16"/>
      <c r="G653"/>
    </row>
    <row r="654" spans="1:7" s="14" customFormat="1" x14ac:dyDescent="0.25">
      <c r="A654" s="15"/>
      <c r="B654" s="6"/>
      <c r="C654" s="18"/>
      <c r="D654" s="28"/>
      <c r="E654" s="16"/>
      <c r="G654"/>
    </row>
    <row r="655" spans="1:7" s="14" customFormat="1" x14ac:dyDescent="0.25">
      <c r="A655" s="15"/>
      <c r="B655" s="6"/>
      <c r="C655" s="18"/>
      <c r="D655" s="28"/>
      <c r="E655" s="16"/>
      <c r="G655"/>
    </row>
    <row r="656" spans="1:7" s="14" customFormat="1" x14ac:dyDescent="0.25">
      <c r="A656" s="15"/>
      <c r="B656" s="6"/>
      <c r="C656" s="18"/>
      <c r="D656" s="28"/>
      <c r="E656" s="16"/>
      <c r="G656"/>
    </row>
    <row r="657" spans="1:7" s="14" customFormat="1" x14ac:dyDescent="0.25">
      <c r="A657" s="15"/>
      <c r="B657" s="6"/>
      <c r="C657" s="18"/>
      <c r="D657" s="28"/>
      <c r="E657" s="16"/>
      <c r="G657"/>
    </row>
    <row r="658" spans="1:7" s="14" customFormat="1" x14ac:dyDescent="0.25">
      <c r="A658" s="15"/>
      <c r="B658" s="6"/>
      <c r="C658" s="18"/>
      <c r="D658" s="28"/>
      <c r="E658" s="16"/>
      <c r="G658"/>
    </row>
    <row r="659" spans="1:7" s="14" customFormat="1" x14ac:dyDescent="0.25">
      <c r="A659" s="15"/>
      <c r="B659" s="6"/>
      <c r="C659" s="18"/>
      <c r="D659" s="28"/>
      <c r="E659" s="16"/>
      <c r="G659"/>
    </row>
    <row r="660" spans="1:7" s="14" customFormat="1" x14ac:dyDescent="0.25">
      <c r="A660" s="15"/>
      <c r="B660" s="6"/>
      <c r="C660" s="18"/>
      <c r="D660" s="28"/>
      <c r="E660" s="16"/>
      <c r="G660"/>
    </row>
    <row r="661" spans="1:7" s="14" customFormat="1" x14ac:dyDescent="0.25">
      <c r="A661" s="15"/>
      <c r="B661" s="6"/>
      <c r="C661" s="18"/>
      <c r="D661" s="28"/>
      <c r="E661" s="16"/>
      <c r="G661"/>
    </row>
    <row r="662" spans="1:7" s="14" customFormat="1" x14ac:dyDescent="0.25">
      <c r="A662" s="15"/>
      <c r="B662" s="6"/>
      <c r="C662" s="18"/>
      <c r="D662" s="28"/>
      <c r="E662" s="16"/>
      <c r="G662"/>
    </row>
    <row r="663" spans="1:7" s="14" customFormat="1" x14ac:dyDescent="0.25">
      <c r="A663" s="15"/>
      <c r="B663" s="6"/>
      <c r="C663" s="18"/>
      <c r="D663" s="28"/>
      <c r="E663" s="16"/>
      <c r="G663"/>
    </row>
    <row r="664" spans="1:7" s="14" customFormat="1" x14ac:dyDescent="0.25">
      <c r="A664" s="15"/>
      <c r="B664" s="6"/>
      <c r="C664" s="18"/>
      <c r="D664" s="28"/>
      <c r="E664" s="16"/>
      <c r="G664"/>
    </row>
    <row r="665" spans="1:7" s="14" customFormat="1" x14ac:dyDescent="0.25">
      <c r="A665" s="15"/>
      <c r="B665" s="6"/>
      <c r="C665" s="18"/>
      <c r="D665" s="28"/>
      <c r="E665" s="16"/>
      <c r="G665"/>
    </row>
    <row r="666" spans="1:7" s="14" customFormat="1" x14ac:dyDescent="0.25">
      <c r="A666" s="15"/>
      <c r="B666" s="6"/>
      <c r="C666" s="18"/>
      <c r="D666" s="28"/>
      <c r="E666" s="16"/>
      <c r="G666"/>
    </row>
    <row r="667" spans="1:7" s="14" customFormat="1" x14ac:dyDescent="0.25">
      <c r="A667" s="15"/>
      <c r="B667" s="6"/>
      <c r="C667" s="18"/>
      <c r="D667" s="28"/>
      <c r="E667" s="16"/>
      <c r="G667"/>
    </row>
    <row r="668" spans="1:7" s="14" customFormat="1" x14ac:dyDescent="0.25">
      <c r="A668" s="15"/>
      <c r="B668" s="6"/>
      <c r="C668" s="18"/>
      <c r="D668" s="28"/>
      <c r="E668" s="16"/>
      <c r="G668"/>
    </row>
    <row r="669" spans="1:7" s="14" customFormat="1" x14ac:dyDescent="0.25">
      <c r="A669" s="15"/>
      <c r="B669" s="6"/>
      <c r="C669" s="18"/>
      <c r="D669" s="28"/>
      <c r="E669" s="16"/>
      <c r="G669"/>
    </row>
    <row r="670" spans="1:7" s="14" customFormat="1" x14ac:dyDescent="0.25">
      <c r="A670" s="15"/>
      <c r="B670" s="6"/>
      <c r="C670" s="18"/>
      <c r="D670" s="28"/>
      <c r="E670" s="16"/>
      <c r="G670"/>
    </row>
    <row r="671" spans="1:7" s="14" customFormat="1" x14ac:dyDescent="0.25">
      <c r="A671" s="15"/>
      <c r="B671" s="6"/>
      <c r="C671" s="18"/>
      <c r="D671" s="28"/>
      <c r="E671" s="16"/>
      <c r="G671"/>
    </row>
    <row r="672" spans="1:7" s="14" customFormat="1" x14ac:dyDescent="0.25">
      <c r="A672" s="15"/>
      <c r="B672" s="6"/>
      <c r="C672" s="18"/>
      <c r="D672" s="28"/>
      <c r="E672" s="16"/>
      <c r="G672"/>
    </row>
    <row r="673" spans="1:7" s="14" customFormat="1" x14ac:dyDescent="0.25">
      <c r="A673" s="15"/>
      <c r="B673" s="6"/>
      <c r="C673" s="18"/>
      <c r="D673" s="28"/>
      <c r="E673" s="16"/>
      <c r="G673"/>
    </row>
    <row r="674" spans="1:7" s="14" customFormat="1" x14ac:dyDescent="0.25">
      <c r="A674" s="15"/>
      <c r="B674" s="6"/>
      <c r="C674" s="18"/>
      <c r="D674" s="28"/>
      <c r="E674" s="16"/>
      <c r="G674"/>
    </row>
    <row r="675" spans="1:7" s="14" customFormat="1" x14ac:dyDescent="0.25">
      <c r="A675" s="15"/>
      <c r="B675" s="6"/>
      <c r="C675" s="18"/>
      <c r="D675" s="28"/>
      <c r="E675" s="16"/>
      <c r="G675"/>
    </row>
    <row r="676" spans="1:7" s="14" customFormat="1" x14ac:dyDescent="0.25">
      <c r="A676" s="15"/>
      <c r="B676" s="6"/>
      <c r="C676" s="18"/>
      <c r="D676" s="28"/>
      <c r="E676" s="16"/>
      <c r="G676"/>
    </row>
    <row r="677" spans="1:7" s="14" customFormat="1" x14ac:dyDescent="0.25">
      <c r="A677" s="15"/>
      <c r="B677" s="6"/>
      <c r="C677" s="18"/>
      <c r="D677" s="28"/>
      <c r="E677" s="16"/>
      <c r="G677"/>
    </row>
    <row r="678" spans="1:7" s="14" customFormat="1" x14ac:dyDescent="0.25">
      <c r="A678" s="15"/>
      <c r="B678" s="6"/>
      <c r="C678" s="18"/>
      <c r="D678" s="28"/>
      <c r="E678" s="16"/>
      <c r="G678"/>
    </row>
    <row r="679" spans="1:7" s="14" customFormat="1" x14ac:dyDescent="0.25">
      <c r="A679" s="15"/>
      <c r="B679" s="6"/>
      <c r="C679" s="18"/>
      <c r="D679" s="28"/>
      <c r="E679" s="16"/>
      <c r="G679"/>
    </row>
    <row r="680" spans="1:7" s="14" customFormat="1" x14ac:dyDescent="0.25">
      <c r="A680" s="15"/>
      <c r="B680" s="6"/>
      <c r="C680" s="18"/>
      <c r="D680" s="28"/>
      <c r="E680" s="16"/>
      <c r="G680"/>
    </row>
    <row r="681" spans="1:7" s="14" customFormat="1" x14ac:dyDescent="0.25">
      <c r="A681" s="15"/>
      <c r="B681" s="6"/>
      <c r="C681" s="18"/>
      <c r="D681" s="28"/>
      <c r="E681" s="16"/>
      <c r="G681"/>
    </row>
    <row r="682" spans="1:7" s="14" customFormat="1" x14ac:dyDescent="0.25">
      <c r="A682" s="15"/>
      <c r="B682" s="6"/>
      <c r="C682" s="18"/>
      <c r="D682" s="28"/>
      <c r="E682" s="16"/>
      <c r="G682"/>
    </row>
    <row r="683" spans="1:7" s="14" customFormat="1" x14ac:dyDescent="0.25">
      <c r="A683" s="15"/>
      <c r="B683" s="6"/>
      <c r="C683" s="18"/>
      <c r="D683" s="28"/>
      <c r="E683" s="16"/>
      <c r="G683"/>
    </row>
    <row r="684" spans="1:7" s="14" customFormat="1" x14ac:dyDescent="0.25">
      <c r="A684" s="15"/>
      <c r="B684" s="6"/>
      <c r="C684" s="18"/>
      <c r="D684" s="28"/>
      <c r="E684" s="16"/>
      <c r="G684"/>
    </row>
    <row r="685" spans="1:7" s="14" customFormat="1" x14ac:dyDescent="0.25">
      <c r="A685" s="15"/>
      <c r="B685" s="6"/>
      <c r="C685" s="18"/>
      <c r="D685" s="28"/>
      <c r="E685" s="16"/>
      <c r="G685"/>
    </row>
    <row r="686" spans="1:7" s="14" customFormat="1" x14ac:dyDescent="0.25">
      <c r="A686" s="15"/>
      <c r="B686" s="6"/>
      <c r="C686" s="18"/>
      <c r="D686" s="28"/>
      <c r="E686" s="16"/>
      <c r="G686"/>
    </row>
    <row r="687" spans="1:7" s="14" customFormat="1" x14ac:dyDescent="0.25">
      <c r="A687" s="15"/>
      <c r="B687" s="6"/>
      <c r="C687" s="18"/>
      <c r="D687" s="28"/>
      <c r="E687" s="16"/>
      <c r="G687"/>
    </row>
    <row r="688" spans="1:7" s="14" customFormat="1" x14ac:dyDescent="0.25">
      <c r="A688" s="15"/>
      <c r="B688" s="6"/>
      <c r="C688" s="18"/>
      <c r="D688" s="28"/>
      <c r="E688" s="16"/>
      <c r="G688"/>
    </row>
    <row r="689" spans="1:7" s="14" customFormat="1" x14ac:dyDescent="0.25">
      <c r="A689" s="15"/>
      <c r="B689" s="6"/>
      <c r="C689" s="18"/>
      <c r="D689" s="28"/>
      <c r="E689" s="16"/>
      <c r="G689"/>
    </row>
    <row r="690" spans="1:7" s="14" customFormat="1" x14ac:dyDescent="0.25">
      <c r="A690" s="15"/>
      <c r="B690" s="6"/>
      <c r="C690" s="18"/>
      <c r="D690" s="28"/>
      <c r="E690" s="16"/>
      <c r="G690"/>
    </row>
    <row r="691" spans="1:7" s="14" customFormat="1" x14ac:dyDescent="0.25">
      <c r="A691" s="15"/>
      <c r="B691" s="6"/>
      <c r="C691" s="18"/>
      <c r="D691" s="28"/>
      <c r="E691" s="16"/>
      <c r="G691"/>
    </row>
    <row r="692" spans="1:7" s="14" customFormat="1" x14ac:dyDescent="0.25">
      <c r="A692" s="15"/>
      <c r="B692" s="6"/>
      <c r="C692" s="18"/>
      <c r="D692" s="28"/>
      <c r="E692" s="16"/>
      <c r="G692"/>
    </row>
    <row r="693" spans="1:7" s="14" customFormat="1" x14ac:dyDescent="0.25">
      <c r="A693" s="15"/>
      <c r="B693" s="6"/>
      <c r="C693" s="18"/>
      <c r="D693" s="28"/>
      <c r="E693" s="16"/>
      <c r="G693"/>
    </row>
    <row r="694" spans="1:7" s="14" customFormat="1" x14ac:dyDescent="0.25">
      <c r="A694" s="15"/>
      <c r="B694" s="6"/>
      <c r="C694" s="18"/>
      <c r="D694" s="28"/>
      <c r="E694" s="16"/>
      <c r="G694"/>
    </row>
    <row r="695" spans="1:7" s="14" customFormat="1" x14ac:dyDescent="0.25">
      <c r="A695" s="15"/>
      <c r="B695" s="6"/>
      <c r="C695" s="18"/>
      <c r="D695" s="28"/>
      <c r="E695" s="16"/>
      <c r="G695"/>
    </row>
    <row r="696" spans="1:7" s="14" customFormat="1" x14ac:dyDescent="0.25">
      <c r="A696" s="15"/>
      <c r="B696" s="6"/>
      <c r="C696" s="18"/>
      <c r="D696" s="28"/>
      <c r="E696" s="16"/>
      <c r="G696"/>
    </row>
    <row r="697" spans="1:7" s="14" customFormat="1" x14ac:dyDescent="0.25">
      <c r="A697" s="15"/>
      <c r="B697" s="6"/>
      <c r="C697" s="18"/>
      <c r="D697" s="28"/>
      <c r="E697" s="16"/>
      <c r="G697"/>
    </row>
    <row r="698" spans="1:7" s="14" customFormat="1" x14ac:dyDescent="0.25">
      <c r="A698" s="15"/>
      <c r="B698" s="6"/>
      <c r="C698" s="18"/>
      <c r="D698" s="28"/>
      <c r="E698" s="16"/>
      <c r="G698"/>
    </row>
    <row r="699" spans="1:7" s="14" customFormat="1" x14ac:dyDescent="0.25">
      <c r="A699" s="15"/>
      <c r="B699" s="6"/>
      <c r="C699" s="18"/>
      <c r="D699" s="28"/>
      <c r="E699" s="16"/>
      <c r="G699"/>
    </row>
    <row r="700" spans="1:7" s="14" customFormat="1" x14ac:dyDescent="0.25">
      <c r="A700" s="15"/>
      <c r="B700" s="6"/>
      <c r="C700" s="18"/>
      <c r="D700" s="28"/>
      <c r="E700" s="16"/>
      <c r="G700"/>
    </row>
    <row r="701" spans="1:7" s="14" customFormat="1" x14ac:dyDescent="0.25">
      <c r="A701" s="15"/>
      <c r="B701" s="6"/>
      <c r="C701" s="18"/>
      <c r="D701" s="28"/>
      <c r="E701" s="16"/>
      <c r="G701"/>
    </row>
    <row r="702" spans="1:7" s="14" customFormat="1" x14ac:dyDescent="0.25">
      <c r="A702" s="15"/>
      <c r="B702" s="6"/>
      <c r="C702" s="18"/>
      <c r="D702" s="28"/>
      <c r="E702" s="16"/>
      <c r="G702"/>
    </row>
    <row r="703" spans="1:7" s="14" customFormat="1" x14ac:dyDescent="0.25">
      <c r="A703" s="15"/>
      <c r="B703" s="6"/>
      <c r="C703" s="18"/>
      <c r="D703" s="28"/>
      <c r="E703" s="16"/>
      <c r="G703"/>
    </row>
    <row r="704" spans="1:7" s="14" customFormat="1" x14ac:dyDescent="0.25">
      <c r="A704" s="15"/>
      <c r="B704" s="6"/>
      <c r="C704" s="18"/>
      <c r="D704" s="28"/>
      <c r="E704" s="16"/>
      <c r="G704"/>
    </row>
    <row r="705" spans="1:7" s="14" customFormat="1" x14ac:dyDescent="0.25">
      <c r="A705" s="15"/>
      <c r="B705" s="6"/>
      <c r="C705" s="18"/>
      <c r="D705" s="28"/>
      <c r="E705" s="16"/>
      <c r="G705"/>
    </row>
    <row r="706" spans="1:7" s="14" customFormat="1" x14ac:dyDescent="0.25">
      <c r="A706" s="15"/>
      <c r="B706" s="6"/>
      <c r="C706" s="18"/>
      <c r="D706" s="28"/>
      <c r="E706" s="16"/>
      <c r="G706"/>
    </row>
    <row r="707" spans="1:7" s="14" customFormat="1" x14ac:dyDescent="0.25">
      <c r="A707" s="15"/>
      <c r="B707" s="6"/>
      <c r="C707" s="18"/>
      <c r="D707" s="28"/>
      <c r="E707" s="16"/>
      <c r="G707"/>
    </row>
    <row r="708" spans="1:7" s="14" customFormat="1" x14ac:dyDescent="0.25">
      <c r="A708" s="15"/>
      <c r="B708" s="6"/>
      <c r="C708" s="18"/>
      <c r="D708" s="28"/>
      <c r="E708" s="16"/>
      <c r="G708"/>
    </row>
    <row r="709" spans="1:7" s="14" customFormat="1" x14ac:dyDescent="0.25">
      <c r="A709" s="15"/>
      <c r="B709" s="6"/>
      <c r="C709" s="18"/>
      <c r="D709" s="28"/>
      <c r="E709" s="16"/>
      <c r="G709"/>
    </row>
    <row r="710" spans="1:7" s="14" customFormat="1" x14ac:dyDescent="0.25">
      <c r="A710" s="15"/>
      <c r="B710" s="6"/>
      <c r="C710" s="18"/>
      <c r="D710" s="28"/>
      <c r="E710" s="16"/>
      <c r="G710"/>
    </row>
    <row r="711" spans="1:7" s="14" customFormat="1" x14ac:dyDescent="0.25">
      <c r="A711" s="15"/>
      <c r="B711" s="6"/>
      <c r="C711" s="18"/>
      <c r="D711" s="28"/>
      <c r="E711" s="16"/>
      <c r="G711"/>
    </row>
    <row r="712" spans="1:7" s="14" customFormat="1" x14ac:dyDescent="0.25">
      <c r="A712" s="15"/>
      <c r="B712" s="6"/>
      <c r="C712" s="18"/>
      <c r="D712" s="28"/>
      <c r="E712" s="16"/>
      <c r="G712"/>
    </row>
    <row r="713" spans="1:7" s="14" customFormat="1" x14ac:dyDescent="0.25">
      <c r="A713" s="15"/>
      <c r="B713" s="6"/>
      <c r="C713" s="18"/>
      <c r="D713" s="28"/>
      <c r="E713" s="16"/>
      <c r="G713"/>
    </row>
    <row r="714" spans="1:7" s="14" customFormat="1" x14ac:dyDescent="0.25">
      <c r="A714" s="15"/>
      <c r="B714" s="6"/>
      <c r="C714" s="18"/>
      <c r="D714" s="28"/>
      <c r="E714" s="16"/>
      <c r="G714"/>
    </row>
    <row r="715" spans="1:7" s="14" customFormat="1" x14ac:dyDescent="0.25">
      <c r="A715" s="15"/>
      <c r="B715" s="6"/>
      <c r="C715" s="18"/>
      <c r="D715" s="28"/>
      <c r="E715" s="16"/>
      <c r="G715"/>
    </row>
    <row r="716" spans="1:7" s="14" customFormat="1" x14ac:dyDescent="0.25">
      <c r="A716" s="15"/>
      <c r="B716" s="6"/>
      <c r="C716" s="18"/>
      <c r="D716" s="28"/>
      <c r="E716" s="16"/>
      <c r="G716"/>
    </row>
    <row r="717" spans="1:7" s="14" customFormat="1" x14ac:dyDescent="0.25">
      <c r="A717" s="15"/>
      <c r="B717" s="6"/>
      <c r="C717" s="18"/>
      <c r="D717" s="28"/>
      <c r="E717" s="16"/>
      <c r="G717"/>
    </row>
    <row r="718" spans="1:7" s="14" customFormat="1" x14ac:dyDescent="0.25">
      <c r="A718" s="15"/>
      <c r="B718" s="6"/>
      <c r="C718" s="18"/>
      <c r="D718" s="28"/>
      <c r="E718" s="16"/>
      <c r="G718"/>
    </row>
    <row r="719" spans="1:7" s="14" customFormat="1" x14ac:dyDescent="0.25">
      <c r="A719" s="15"/>
      <c r="B719" s="6"/>
      <c r="C719" s="18"/>
      <c r="D719" s="28"/>
      <c r="E719" s="16"/>
      <c r="G719"/>
    </row>
    <row r="720" spans="1:7" s="14" customFormat="1" x14ac:dyDescent="0.25">
      <c r="A720" s="15"/>
      <c r="B720" s="6"/>
      <c r="C720" s="18"/>
      <c r="D720" s="28"/>
      <c r="E720" s="16"/>
      <c r="G720"/>
    </row>
    <row r="721" spans="1:7" s="14" customFormat="1" x14ac:dyDescent="0.25">
      <c r="A721" s="15"/>
      <c r="B721" s="6"/>
      <c r="C721" s="18"/>
      <c r="D721" s="28"/>
      <c r="E721" s="16"/>
      <c r="G721"/>
    </row>
    <row r="722" spans="1:7" s="14" customFormat="1" x14ac:dyDescent="0.25">
      <c r="A722" s="15"/>
      <c r="B722" s="6"/>
      <c r="C722" s="18"/>
      <c r="D722" s="28"/>
      <c r="E722" s="16"/>
      <c r="G722"/>
    </row>
    <row r="723" spans="1:7" s="14" customFormat="1" x14ac:dyDescent="0.25">
      <c r="A723" s="15"/>
      <c r="B723" s="6"/>
      <c r="C723" s="18"/>
      <c r="D723" s="28"/>
      <c r="E723" s="16"/>
      <c r="G723"/>
    </row>
    <row r="724" spans="1:7" s="14" customFormat="1" x14ac:dyDescent="0.25">
      <c r="A724" s="15"/>
      <c r="B724" s="6"/>
      <c r="C724" s="18"/>
      <c r="D724" s="28"/>
      <c r="E724" s="16"/>
      <c r="G724"/>
    </row>
    <row r="725" spans="1:7" s="14" customFormat="1" x14ac:dyDescent="0.25">
      <c r="A725" s="15"/>
      <c r="B725" s="6"/>
      <c r="C725" s="18"/>
      <c r="D725" s="28"/>
      <c r="E725" s="16"/>
      <c r="G725"/>
    </row>
    <row r="726" spans="1:7" s="14" customFormat="1" x14ac:dyDescent="0.25">
      <c r="A726" s="15"/>
      <c r="B726" s="6"/>
      <c r="C726" s="18"/>
      <c r="D726" s="28"/>
      <c r="E726" s="16"/>
      <c r="G726"/>
    </row>
    <row r="727" spans="1:7" s="14" customFormat="1" x14ac:dyDescent="0.25">
      <c r="A727" s="15"/>
      <c r="B727" s="6"/>
      <c r="C727" s="18"/>
      <c r="D727" s="28"/>
      <c r="E727" s="16"/>
      <c r="G727"/>
    </row>
    <row r="728" spans="1:7" s="14" customFormat="1" x14ac:dyDescent="0.25">
      <c r="A728" s="15"/>
      <c r="B728" s="6"/>
      <c r="C728" s="18"/>
      <c r="D728" s="28"/>
      <c r="E728" s="16"/>
      <c r="G728"/>
    </row>
    <row r="729" spans="1:7" s="14" customFormat="1" x14ac:dyDescent="0.25">
      <c r="A729" s="15"/>
      <c r="B729" s="6"/>
      <c r="C729" s="18"/>
      <c r="D729" s="28"/>
      <c r="E729" s="16"/>
      <c r="G729"/>
    </row>
    <row r="730" spans="1:7" s="14" customFormat="1" x14ac:dyDescent="0.25">
      <c r="A730" s="15"/>
      <c r="B730" s="6"/>
      <c r="C730" s="18"/>
      <c r="D730" s="28"/>
      <c r="E730" s="16"/>
      <c r="G730"/>
    </row>
    <row r="731" spans="1:7" s="14" customFormat="1" x14ac:dyDescent="0.25">
      <c r="A731" s="15"/>
      <c r="B731" s="6"/>
      <c r="C731" s="18"/>
      <c r="D731" s="28"/>
      <c r="E731" s="16"/>
      <c r="G731"/>
    </row>
    <row r="732" spans="1:7" s="14" customFormat="1" x14ac:dyDescent="0.25">
      <c r="A732" s="15"/>
      <c r="B732" s="6"/>
      <c r="C732" s="18"/>
      <c r="D732" s="28"/>
      <c r="E732" s="16"/>
      <c r="G732"/>
    </row>
    <row r="733" spans="1:7" s="14" customFormat="1" x14ac:dyDescent="0.25">
      <c r="A733" s="15"/>
      <c r="B733" s="6"/>
      <c r="C733" s="18"/>
      <c r="D733" s="28"/>
      <c r="E733" s="16"/>
      <c r="G733"/>
    </row>
    <row r="734" spans="1:7" s="14" customFormat="1" x14ac:dyDescent="0.25">
      <c r="A734" s="15"/>
      <c r="B734" s="6"/>
      <c r="C734" s="18"/>
      <c r="D734" s="28"/>
      <c r="E734" s="16"/>
      <c r="G734"/>
    </row>
    <row r="735" spans="1:7" s="14" customFormat="1" x14ac:dyDescent="0.25">
      <c r="A735" s="15"/>
      <c r="B735" s="6"/>
      <c r="C735" s="18"/>
      <c r="D735" s="28"/>
      <c r="E735" s="16"/>
      <c r="G735"/>
    </row>
    <row r="736" spans="1:7" s="14" customFormat="1" x14ac:dyDescent="0.25">
      <c r="A736" s="15"/>
      <c r="B736" s="6"/>
      <c r="C736" s="18"/>
      <c r="D736" s="28"/>
      <c r="E736" s="16"/>
      <c r="G736"/>
    </row>
    <row r="737" spans="1:7" s="14" customFormat="1" x14ac:dyDescent="0.25">
      <c r="A737" s="15"/>
      <c r="B737" s="6"/>
      <c r="C737" s="18"/>
      <c r="D737" s="28"/>
      <c r="E737" s="16"/>
      <c r="G737"/>
    </row>
    <row r="738" spans="1:7" s="14" customFormat="1" x14ac:dyDescent="0.25">
      <c r="A738" s="15"/>
      <c r="B738" s="6"/>
      <c r="C738" s="18"/>
      <c r="D738" s="28"/>
      <c r="E738" s="16"/>
      <c r="G738"/>
    </row>
    <row r="739" spans="1:7" s="14" customFormat="1" x14ac:dyDescent="0.25">
      <c r="A739" s="15"/>
      <c r="B739" s="6"/>
      <c r="C739" s="18"/>
      <c r="D739" s="28"/>
      <c r="E739" s="16"/>
      <c r="G739"/>
    </row>
    <row r="740" spans="1:7" s="14" customFormat="1" x14ac:dyDescent="0.25">
      <c r="A740" s="15"/>
      <c r="B740" s="6"/>
      <c r="C740" s="18"/>
      <c r="D740" s="28"/>
      <c r="E740" s="16"/>
      <c r="G740"/>
    </row>
    <row r="741" spans="1:7" s="14" customFormat="1" x14ac:dyDescent="0.25">
      <c r="A741" s="15"/>
      <c r="B741" s="6"/>
      <c r="C741" s="18"/>
      <c r="D741" s="28"/>
      <c r="E741" s="16"/>
      <c r="G741"/>
    </row>
    <row r="742" spans="1:7" s="14" customFormat="1" x14ac:dyDescent="0.25">
      <c r="A742" s="15"/>
      <c r="B742" s="6"/>
      <c r="C742" s="18"/>
      <c r="D742" s="28"/>
      <c r="E742" s="16"/>
      <c r="G742"/>
    </row>
    <row r="743" spans="1:7" s="14" customFormat="1" x14ac:dyDescent="0.25">
      <c r="A743" s="15"/>
      <c r="B743" s="6"/>
      <c r="C743" s="18"/>
      <c r="D743" s="28"/>
      <c r="E743" s="16"/>
      <c r="G743"/>
    </row>
    <row r="744" spans="1:7" s="14" customFormat="1" x14ac:dyDescent="0.25">
      <c r="A744" s="15"/>
      <c r="B744" s="6"/>
      <c r="C744" s="18"/>
      <c r="D744" s="28"/>
      <c r="E744" s="16"/>
      <c r="G744"/>
    </row>
    <row r="745" spans="1:7" s="14" customFormat="1" x14ac:dyDescent="0.25">
      <c r="A745" s="15"/>
      <c r="B745" s="6"/>
      <c r="C745" s="18"/>
      <c r="D745" s="28"/>
      <c r="E745" s="16"/>
      <c r="G745"/>
    </row>
    <row r="746" spans="1:7" s="14" customFormat="1" x14ac:dyDescent="0.25">
      <c r="A746" s="15"/>
      <c r="B746" s="6"/>
      <c r="C746" s="18"/>
      <c r="D746" s="28"/>
      <c r="E746" s="16"/>
      <c r="G746"/>
    </row>
    <row r="747" spans="1:7" s="14" customFormat="1" x14ac:dyDescent="0.25">
      <c r="A747" s="15"/>
      <c r="B747" s="6"/>
      <c r="C747" s="18"/>
      <c r="D747" s="28"/>
      <c r="E747" s="16"/>
      <c r="G747"/>
    </row>
    <row r="748" spans="1:7" s="14" customFormat="1" x14ac:dyDescent="0.25">
      <c r="A748" s="15"/>
      <c r="B748" s="6"/>
      <c r="C748" s="18"/>
      <c r="D748" s="28"/>
      <c r="E748" s="16"/>
      <c r="G748"/>
    </row>
    <row r="749" spans="1:7" s="14" customFormat="1" x14ac:dyDescent="0.25">
      <c r="A749" s="15"/>
      <c r="B749" s="6"/>
      <c r="C749" s="18"/>
      <c r="D749" s="28"/>
      <c r="E749" s="16"/>
      <c r="G749"/>
    </row>
    <row r="750" spans="1:7" s="14" customFormat="1" x14ac:dyDescent="0.25">
      <c r="A750" s="15"/>
      <c r="B750" s="6"/>
      <c r="C750" s="18"/>
      <c r="D750" s="28"/>
      <c r="E750" s="16"/>
      <c r="G750"/>
    </row>
    <row r="751" spans="1:7" s="14" customFormat="1" x14ac:dyDescent="0.25">
      <c r="A751" s="15"/>
      <c r="B751" s="6"/>
      <c r="C751" s="18"/>
      <c r="D751" s="28"/>
      <c r="E751" s="16"/>
      <c r="G751"/>
    </row>
    <row r="752" spans="1:7" s="14" customFormat="1" x14ac:dyDescent="0.25">
      <c r="A752" s="15"/>
      <c r="B752" s="6"/>
      <c r="C752" s="18"/>
      <c r="D752" s="28"/>
      <c r="E752" s="16"/>
      <c r="G752"/>
    </row>
    <row r="753" spans="1:7" s="14" customFormat="1" x14ac:dyDescent="0.25">
      <c r="A753" s="15"/>
      <c r="B753" s="6"/>
      <c r="C753" s="18"/>
      <c r="D753" s="28"/>
      <c r="E753" s="16"/>
      <c r="G753"/>
    </row>
    <row r="754" spans="1:7" s="14" customFormat="1" x14ac:dyDescent="0.25">
      <c r="A754" s="15"/>
      <c r="B754" s="6"/>
      <c r="C754" s="18"/>
      <c r="D754" s="28"/>
      <c r="E754" s="16"/>
      <c r="G754"/>
    </row>
    <row r="755" spans="1:7" s="14" customFormat="1" x14ac:dyDescent="0.25">
      <c r="A755" s="15"/>
      <c r="B755" s="6"/>
      <c r="C755" s="18"/>
      <c r="D755" s="28"/>
      <c r="E755" s="16"/>
      <c r="G755"/>
    </row>
    <row r="756" spans="1:7" s="14" customFormat="1" x14ac:dyDescent="0.25">
      <c r="A756" s="15"/>
      <c r="B756" s="6"/>
      <c r="C756" s="18"/>
      <c r="D756" s="28"/>
      <c r="E756" s="16"/>
      <c r="G756"/>
    </row>
    <row r="757" spans="1:7" s="14" customFormat="1" x14ac:dyDescent="0.25">
      <c r="A757" s="15"/>
      <c r="B757" s="6"/>
      <c r="C757" s="18"/>
      <c r="D757" s="28"/>
      <c r="E757" s="16"/>
      <c r="G757"/>
    </row>
    <row r="758" spans="1:7" s="14" customFormat="1" x14ac:dyDescent="0.25">
      <c r="A758" s="15"/>
      <c r="B758" s="6"/>
      <c r="C758" s="18"/>
      <c r="D758" s="28"/>
      <c r="E758" s="16"/>
      <c r="G758"/>
    </row>
    <row r="759" spans="1:7" s="14" customFormat="1" x14ac:dyDescent="0.25">
      <c r="A759" s="15"/>
      <c r="B759" s="6"/>
      <c r="C759" s="18"/>
      <c r="D759" s="28"/>
      <c r="E759" s="16"/>
      <c r="G759"/>
    </row>
    <row r="760" spans="1:7" s="14" customFormat="1" x14ac:dyDescent="0.25">
      <c r="A760" s="15"/>
      <c r="B760" s="6"/>
      <c r="C760" s="18"/>
      <c r="D760" s="28"/>
      <c r="E760" s="16"/>
      <c r="G760"/>
    </row>
    <row r="761" spans="1:7" s="14" customFormat="1" x14ac:dyDescent="0.25">
      <c r="A761" s="15"/>
      <c r="B761" s="6"/>
      <c r="C761" s="18"/>
      <c r="D761" s="28"/>
      <c r="E761" s="16"/>
      <c r="G761"/>
    </row>
    <row r="762" spans="1:7" s="14" customFormat="1" x14ac:dyDescent="0.25">
      <c r="A762" s="15"/>
      <c r="B762" s="6"/>
      <c r="C762" s="18"/>
      <c r="D762" s="28"/>
      <c r="E762" s="16"/>
      <c r="G762"/>
    </row>
    <row r="763" spans="1:7" s="14" customFormat="1" x14ac:dyDescent="0.25">
      <c r="A763" s="15"/>
      <c r="B763" s="6"/>
      <c r="C763" s="18"/>
      <c r="D763" s="28"/>
      <c r="E763" s="16"/>
      <c r="G763"/>
    </row>
    <row r="764" spans="1:7" s="14" customFormat="1" x14ac:dyDescent="0.25">
      <c r="A764" s="15"/>
      <c r="B764" s="6"/>
      <c r="C764" s="18"/>
      <c r="D764" s="28"/>
      <c r="E764" s="16"/>
      <c r="G764"/>
    </row>
    <row r="765" spans="1:7" s="14" customFormat="1" x14ac:dyDescent="0.25">
      <c r="A765" s="15"/>
      <c r="B765" s="6"/>
      <c r="C765" s="18"/>
      <c r="D765" s="28"/>
      <c r="E765" s="16"/>
      <c r="G765"/>
    </row>
    <row r="766" spans="1:7" s="14" customFormat="1" x14ac:dyDescent="0.25">
      <c r="A766" s="15"/>
      <c r="B766" s="6"/>
      <c r="C766" s="18"/>
      <c r="D766" s="28"/>
      <c r="E766" s="16"/>
      <c r="G766"/>
    </row>
    <row r="767" spans="1:7" s="14" customFormat="1" x14ac:dyDescent="0.25">
      <c r="A767" s="15"/>
      <c r="B767" s="6"/>
      <c r="C767" s="18"/>
      <c r="D767" s="28"/>
      <c r="E767" s="16"/>
      <c r="G767"/>
    </row>
    <row r="768" spans="1:7" s="14" customFormat="1" x14ac:dyDescent="0.25">
      <c r="A768" s="15"/>
      <c r="B768" s="6"/>
      <c r="C768" s="18"/>
      <c r="D768" s="28"/>
      <c r="E768" s="16"/>
      <c r="G768"/>
    </row>
    <row r="769" spans="1:7" s="14" customFormat="1" x14ac:dyDescent="0.25">
      <c r="A769" s="15"/>
      <c r="B769" s="6"/>
      <c r="C769" s="18"/>
      <c r="D769" s="28"/>
      <c r="E769" s="16"/>
      <c r="G769"/>
    </row>
    <row r="770" spans="1:7" s="14" customFormat="1" x14ac:dyDescent="0.25">
      <c r="A770" s="15"/>
      <c r="B770" s="6"/>
      <c r="C770" s="18"/>
      <c r="D770" s="28"/>
      <c r="E770" s="16"/>
      <c r="G770"/>
    </row>
    <row r="771" spans="1:7" s="14" customFormat="1" x14ac:dyDescent="0.25">
      <c r="A771" s="15"/>
      <c r="B771" s="6"/>
      <c r="C771" s="18"/>
      <c r="D771" s="28"/>
      <c r="E771" s="16"/>
      <c r="G771"/>
    </row>
    <row r="772" spans="1:7" s="14" customFormat="1" x14ac:dyDescent="0.25">
      <c r="A772" s="15"/>
      <c r="B772" s="6"/>
      <c r="C772" s="18"/>
      <c r="D772" s="28"/>
      <c r="E772" s="16"/>
      <c r="G772"/>
    </row>
    <row r="773" spans="1:7" s="14" customFormat="1" x14ac:dyDescent="0.25">
      <c r="A773" s="15"/>
      <c r="B773" s="6"/>
      <c r="C773" s="18"/>
      <c r="D773" s="28"/>
      <c r="E773" s="16"/>
      <c r="G773"/>
    </row>
    <row r="774" spans="1:7" s="14" customFormat="1" x14ac:dyDescent="0.25">
      <c r="A774" s="15"/>
      <c r="B774" s="6"/>
      <c r="C774" s="18"/>
      <c r="D774" s="28"/>
      <c r="E774" s="16"/>
      <c r="G774"/>
    </row>
    <row r="775" spans="1:7" s="14" customFormat="1" x14ac:dyDescent="0.25">
      <c r="A775" s="15"/>
      <c r="B775" s="6"/>
      <c r="C775" s="18"/>
      <c r="D775" s="28"/>
      <c r="E775" s="16"/>
      <c r="G775"/>
    </row>
    <row r="776" spans="1:7" s="14" customFormat="1" x14ac:dyDescent="0.25">
      <c r="A776" s="15"/>
      <c r="B776" s="6"/>
      <c r="C776" s="18"/>
      <c r="D776" s="28"/>
      <c r="E776" s="16"/>
      <c r="G776"/>
    </row>
    <row r="777" spans="1:7" s="14" customFormat="1" x14ac:dyDescent="0.25">
      <c r="A777" s="15"/>
      <c r="B777" s="6"/>
      <c r="C777" s="18"/>
      <c r="D777" s="28"/>
      <c r="E777" s="16"/>
      <c r="G777"/>
    </row>
    <row r="778" spans="1:7" s="14" customFormat="1" x14ac:dyDescent="0.25">
      <c r="A778" s="15"/>
      <c r="B778" s="6"/>
      <c r="C778" s="18"/>
      <c r="D778" s="28"/>
      <c r="E778" s="16"/>
      <c r="G778"/>
    </row>
    <row r="779" spans="1:7" s="14" customFormat="1" x14ac:dyDescent="0.25">
      <c r="A779" s="15"/>
      <c r="B779" s="6"/>
      <c r="C779" s="18"/>
      <c r="D779" s="28"/>
      <c r="E779" s="16"/>
      <c r="G779"/>
    </row>
    <row r="780" spans="1:7" s="14" customFormat="1" x14ac:dyDescent="0.25">
      <c r="A780" s="15"/>
      <c r="B780" s="6"/>
      <c r="C780" s="18"/>
      <c r="D780" s="28"/>
      <c r="E780" s="16"/>
      <c r="G780"/>
    </row>
    <row r="781" spans="1:7" s="14" customFormat="1" x14ac:dyDescent="0.25">
      <c r="A781" s="15"/>
      <c r="B781" s="6"/>
      <c r="C781" s="18"/>
      <c r="D781" s="28"/>
      <c r="E781" s="16"/>
      <c r="G781"/>
    </row>
    <row r="782" spans="1:7" s="14" customFormat="1" x14ac:dyDescent="0.25">
      <c r="A782" s="15"/>
      <c r="B782" s="6"/>
      <c r="C782" s="18"/>
      <c r="D782" s="28"/>
      <c r="E782" s="16"/>
      <c r="G782"/>
    </row>
    <row r="783" spans="1:7" s="14" customFormat="1" x14ac:dyDescent="0.25">
      <c r="A783" s="15"/>
      <c r="B783" s="6"/>
      <c r="C783" s="18"/>
      <c r="D783" s="28"/>
      <c r="E783" s="16"/>
      <c r="G783"/>
    </row>
    <row r="784" spans="1:7" s="14" customFormat="1" x14ac:dyDescent="0.25">
      <c r="A784" s="15"/>
      <c r="B784" s="6"/>
      <c r="C784" s="18"/>
      <c r="D784" s="28"/>
      <c r="E784" s="16"/>
      <c r="G784"/>
    </row>
    <row r="785" spans="1:7" s="14" customFormat="1" x14ac:dyDescent="0.25">
      <c r="A785" s="15"/>
      <c r="B785" s="6"/>
      <c r="C785" s="18"/>
      <c r="D785" s="28"/>
      <c r="E785" s="16"/>
      <c r="G785"/>
    </row>
    <row r="786" spans="1:7" s="14" customFormat="1" x14ac:dyDescent="0.25">
      <c r="A786" s="15"/>
      <c r="B786" s="6"/>
      <c r="C786" s="18"/>
      <c r="D786" s="28"/>
      <c r="E786" s="16"/>
      <c r="G786"/>
    </row>
    <row r="787" spans="1:7" s="14" customFormat="1" x14ac:dyDescent="0.25">
      <c r="A787" s="15"/>
      <c r="B787" s="6"/>
      <c r="C787" s="18"/>
      <c r="D787" s="28"/>
      <c r="E787" s="16"/>
      <c r="G787"/>
    </row>
    <row r="788" spans="1:7" s="14" customFormat="1" x14ac:dyDescent="0.25">
      <c r="A788" s="15"/>
      <c r="B788" s="6"/>
      <c r="C788" s="18"/>
      <c r="D788" s="28"/>
      <c r="E788" s="16"/>
      <c r="G788"/>
    </row>
    <row r="789" spans="1:7" s="14" customFormat="1" x14ac:dyDescent="0.25">
      <c r="A789" s="15"/>
      <c r="B789" s="6"/>
      <c r="C789" s="18"/>
      <c r="D789" s="28"/>
      <c r="E789" s="16"/>
      <c r="G789"/>
    </row>
    <row r="790" spans="1:7" s="14" customFormat="1" x14ac:dyDescent="0.25">
      <c r="A790" s="15"/>
      <c r="B790" s="6"/>
      <c r="C790" s="18"/>
      <c r="D790" s="28"/>
      <c r="E790" s="16"/>
      <c r="G790"/>
    </row>
    <row r="791" spans="1:7" s="14" customFormat="1" x14ac:dyDescent="0.25">
      <c r="A791" s="15"/>
      <c r="B791" s="6"/>
      <c r="C791" s="18"/>
      <c r="D791" s="28"/>
      <c r="E791" s="16"/>
      <c r="G791"/>
    </row>
    <row r="792" spans="1:7" s="14" customFormat="1" x14ac:dyDescent="0.25">
      <c r="A792" s="15"/>
      <c r="B792" s="6"/>
      <c r="C792" s="18"/>
      <c r="D792" s="28"/>
      <c r="E792" s="16"/>
      <c r="G792"/>
    </row>
    <row r="793" spans="1:7" s="14" customFormat="1" x14ac:dyDescent="0.25">
      <c r="A793" s="15"/>
      <c r="B793" s="6"/>
      <c r="C793" s="18"/>
      <c r="D793" s="28"/>
      <c r="E793" s="16"/>
      <c r="G793"/>
    </row>
    <row r="794" spans="1:7" s="14" customFormat="1" x14ac:dyDescent="0.25">
      <c r="A794" s="15"/>
      <c r="B794" s="6"/>
      <c r="C794" s="18"/>
      <c r="D794" s="28"/>
      <c r="E794" s="16"/>
      <c r="G794"/>
    </row>
    <row r="795" spans="1:7" s="14" customFormat="1" x14ac:dyDescent="0.25">
      <c r="A795" s="15"/>
      <c r="B795" s="6"/>
      <c r="C795" s="18"/>
      <c r="D795" s="28"/>
      <c r="E795" s="16"/>
      <c r="G795"/>
    </row>
    <row r="796" spans="1:7" s="14" customFormat="1" x14ac:dyDescent="0.25">
      <c r="A796" s="15"/>
      <c r="B796" s="6"/>
      <c r="C796" s="18"/>
      <c r="D796" s="28"/>
      <c r="E796" s="16"/>
      <c r="G796"/>
    </row>
    <row r="797" spans="1:7" s="14" customFormat="1" x14ac:dyDescent="0.25">
      <c r="A797" s="15"/>
      <c r="B797" s="6"/>
      <c r="C797" s="18"/>
      <c r="D797" s="28"/>
      <c r="E797" s="16"/>
      <c r="G797"/>
    </row>
    <row r="798" spans="1:7" s="14" customFormat="1" x14ac:dyDescent="0.25">
      <c r="A798" s="15"/>
      <c r="B798" s="6"/>
      <c r="C798" s="18"/>
      <c r="D798" s="28"/>
      <c r="E798" s="16"/>
      <c r="G798"/>
    </row>
    <row r="799" spans="1:7" s="14" customFormat="1" x14ac:dyDescent="0.25">
      <c r="A799" s="15"/>
      <c r="B799" s="6"/>
      <c r="C799" s="18"/>
      <c r="D799" s="28"/>
      <c r="E799" s="16"/>
      <c r="G799"/>
    </row>
    <row r="800" spans="1:7" s="14" customFormat="1" x14ac:dyDescent="0.25">
      <c r="A800" s="15"/>
      <c r="B800" s="6"/>
      <c r="C800" s="18"/>
      <c r="D800" s="28"/>
      <c r="E800" s="16"/>
      <c r="G800"/>
    </row>
    <row r="801" spans="1:7" s="14" customFormat="1" x14ac:dyDescent="0.25">
      <c r="A801" s="15"/>
      <c r="B801" s="6"/>
      <c r="C801" s="18"/>
      <c r="D801" s="28"/>
      <c r="E801" s="16"/>
      <c r="G801"/>
    </row>
    <row r="802" spans="1:7" s="14" customFormat="1" x14ac:dyDescent="0.25">
      <c r="A802" s="15"/>
      <c r="B802" s="6"/>
      <c r="C802" s="18"/>
      <c r="D802" s="28"/>
      <c r="E802" s="16"/>
      <c r="G802"/>
    </row>
    <row r="803" spans="1:7" s="14" customFormat="1" x14ac:dyDescent="0.25">
      <c r="A803" s="15"/>
      <c r="B803" s="6"/>
      <c r="C803" s="18"/>
      <c r="D803" s="28"/>
      <c r="E803" s="16"/>
      <c r="G803"/>
    </row>
    <row r="804" spans="1:7" s="14" customFormat="1" x14ac:dyDescent="0.25">
      <c r="A804" s="15"/>
      <c r="B804" s="6"/>
      <c r="C804" s="18"/>
      <c r="D804" s="28"/>
      <c r="E804" s="16"/>
      <c r="G804"/>
    </row>
    <row r="805" spans="1:7" s="14" customFormat="1" x14ac:dyDescent="0.25">
      <c r="A805" s="15"/>
      <c r="B805" s="6"/>
      <c r="C805" s="18"/>
      <c r="D805" s="28"/>
      <c r="E805" s="16"/>
      <c r="G805"/>
    </row>
    <row r="806" spans="1:7" s="14" customFormat="1" x14ac:dyDescent="0.25">
      <c r="A806" s="15"/>
      <c r="B806" s="6"/>
      <c r="C806" s="18"/>
      <c r="D806" s="28"/>
      <c r="E806" s="16"/>
      <c r="G806"/>
    </row>
    <row r="807" spans="1:7" s="14" customFormat="1" x14ac:dyDescent="0.25">
      <c r="A807" s="15"/>
      <c r="B807" s="6"/>
      <c r="C807" s="18"/>
      <c r="D807" s="28"/>
      <c r="E807" s="16"/>
      <c r="G807"/>
    </row>
    <row r="808" spans="1:7" s="14" customFormat="1" x14ac:dyDescent="0.25">
      <c r="A808" s="15"/>
      <c r="B808" s="6"/>
      <c r="C808" s="18"/>
      <c r="D808" s="28"/>
      <c r="E808" s="16"/>
      <c r="G808"/>
    </row>
    <row r="809" spans="1:7" s="14" customFormat="1" x14ac:dyDescent="0.25">
      <c r="A809" s="15"/>
      <c r="B809" s="6"/>
      <c r="C809" s="18"/>
      <c r="D809" s="28"/>
      <c r="E809" s="16"/>
      <c r="G809"/>
    </row>
    <row r="810" spans="1:7" s="14" customFormat="1" x14ac:dyDescent="0.25">
      <c r="A810" s="15"/>
      <c r="B810" s="6"/>
      <c r="C810" s="18"/>
      <c r="D810" s="28"/>
      <c r="E810" s="16"/>
      <c r="G810"/>
    </row>
    <row r="811" spans="1:7" s="14" customFormat="1" x14ac:dyDescent="0.25">
      <c r="A811" s="15"/>
      <c r="B811" s="6"/>
      <c r="C811" s="18"/>
      <c r="D811" s="28"/>
      <c r="E811" s="16"/>
      <c r="G811"/>
    </row>
    <row r="812" spans="1:7" s="14" customFormat="1" x14ac:dyDescent="0.25">
      <c r="A812" s="15"/>
      <c r="B812" s="6"/>
      <c r="C812" s="18"/>
      <c r="D812" s="28"/>
      <c r="E812" s="16"/>
      <c r="G812"/>
    </row>
    <row r="813" spans="1:7" s="14" customFormat="1" x14ac:dyDescent="0.25">
      <c r="A813" s="15"/>
      <c r="B813" s="6"/>
      <c r="C813" s="18"/>
      <c r="D813" s="28"/>
      <c r="E813" s="16"/>
      <c r="G813"/>
    </row>
    <row r="814" spans="1:7" s="14" customFormat="1" x14ac:dyDescent="0.25">
      <c r="A814" s="15"/>
      <c r="B814" s="6"/>
      <c r="C814" s="18"/>
      <c r="D814" s="28"/>
      <c r="E814" s="16"/>
      <c r="G814"/>
    </row>
    <row r="815" spans="1:7" s="14" customFormat="1" x14ac:dyDescent="0.25">
      <c r="A815" s="15"/>
      <c r="B815" s="6"/>
      <c r="C815" s="18"/>
      <c r="D815" s="28"/>
      <c r="E815" s="16"/>
      <c r="G815"/>
    </row>
    <row r="816" spans="1:7" s="14" customFormat="1" x14ac:dyDescent="0.25">
      <c r="A816" s="15"/>
      <c r="B816" s="6"/>
      <c r="C816" s="18"/>
      <c r="D816" s="28"/>
      <c r="E816" s="16"/>
      <c r="G816"/>
    </row>
    <row r="817" spans="1:7" s="14" customFormat="1" x14ac:dyDescent="0.25">
      <c r="A817" s="15"/>
      <c r="B817" s="6"/>
      <c r="C817" s="18"/>
      <c r="D817" s="28"/>
      <c r="E817" s="16"/>
      <c r="G817"/>
    </row>
    <row r="818" spans="1:7" s="14" customFormat="1" x14ac:dyDescent="0.25">
      <c r="A818" s="15"/>
      <c r="B818" s="6"/>
      <c r="C818" s="18"/>
      <c r="D818" s="28"/>
      <c r="E818" s="16"/>
      <c r="G818"/>
    </row>
    <row r="819" spans="1:7" s="14" customFormat="1" x14ac:dyDescent="0.2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104"/>
      <c r="B1" s="104"/>
      <c r="C1" s="104"/>
      <c r="D1" s="6"/>
    </row>
    <row r="2" spans="1:4" hidden="1" x14ac:dyDescent="0.25"/>
    <row r="3" spans="1:4" x14ac:dyDescent="0.25">
      <c r="A3" s="99" t="s">
        <v>279</v>
      </c>
      <c r="B3" s="100"/>
      <c r="C3" s="101"/>
      <c r="D3" s="68"/>
    </row>
    <row r="4" spans="1:4" x14ac:dyDescent="0.25">
      <c r="A4" s="69" t="s">
        <v>280</v>
      </c>
      <c r="B4" s="102" t="s">
        <v>281</v>
      </c>
      <c r="C4" s="103"/>
      <c r="D4" s="68"/>
    </row>
    <row r="5" spans="1:4" x14ac:dyDescent="0.25">
      <c r="A5" s="70" t="s">
        <v>39</v>
      </c>
      <c r="B5" s="70" t="s">
        <v>40</v>
      </c>
      <c r="C5" s="70" t="s">
        <v>257</v>
      </c>
      <c r="D5" s="68"/>
    </row>
    <row r="6" spans="1:4" x14ac:dyDescent="0.25">
      <c r="A6" t="s">
        <v>243</v>
      </c>
      <c r="B6" t="s">
        <v>255</v>
      </c>
      <c r="C6" t="s">
        <v>259</v>
      </c>
    </row>
    <row r="7" spans="1:4" x14ac:dyDescent="0.25">
      <c r="A7" t="s">
        <v>38</v>
      </c>
      <c r="B7" t="s">
        <v>38</v>
      </c>
      <c r="C7" t="s">
        <v>258</v>
      </c>
    </row>
    <row r="8" spans="1:4" x14ac:dyDescent="0.25">
      <c r="A8" t="s">
        <v>244</v>
      </c>
      <c r="B8" t="s">
        <v>37</v>
      </c>
      <c r="C8" t="s">
        <v>260</v>
      </c>
    </row>
    <row r="9" spans="1:4" x14ac:dyDescent="0.25">
      <c r="A9" t="s">
        <v>246</v>
      </c>
      <c r="B9" t="s">
        <v>256</v>
      </c>
      <c r="C9" t="s">
        <v>261</v>
      </c>
    </row>
    <row r="10" spans="1:4" x14ac:dyDescent="0.25">
      <c r="A10" t="s">
        <v>41</v>
      </c>
      <c r="B10" t="s">
        <v>14</v>
      </c>
      <c r="C10" t="s">
        <v>262</v>
      </c>
    </row>
    <row r="11" spans="1:4" x14ac:dyDescent="0.25">
      <c r="A11" t="s">
        <v>245</v>
      </c>
      <c r="B11" t="s">
        <v>231</v>
      </c>
      <c r="C11" t="s">
        <v>263</v>
      </c>
    </row>
    <row r="12" spans="1:4" x14ac:dyDescent="0.25">
      <c r="A12" t="s">
        <v>28</v>
      </c>
      <c r="B12" t="s">
        <v>29</v>
      </c>
      <c r="C12" t="s">
        <v>265</v>
      </c>
    </row>
    <row r="13" spans="1:4" x14ac:dyDescent="0.25">
      <c r="A13" t="s">
        <v>33</v>
      </c>
      <c r="B13" t="s">
        <v>34</v>
      </c>
      <c r="C13" t="s">
        <v>264</v>
      </c>
    </row>
    <row r="14" spans="1:4" x14ac:dyDescent="0.25">
      <c r="A14" t="s">
        <v>25</v>
      </c>
      <c r="B14" t="s">
        <v>10</v>
      </c>
      <c r="C14" t="s">
        <v>266</v>
      </c>
    </row>
    <row r="15" spans="1:4" x14ac:dyDescent="0.25">
      <c r="A15" t="s">
        <v>26</v>
      </c>
      <c r="B15" t="s">
        <v>27</v>
      </c>
      <c r="C15" t="s">
        <v>267</v>
      </c>
    </row>
    <row r="16" spans="1:4" x14ac:dyDescent="0.25">
      <c r="A16" t="s">
        <v>247</v>
      </c>
      <c r="B16" t="s">
        <v>249</v>
      </c>
      <c r="C16" t="s">
        <v>268</v>
      </c>
    </row>
    <row r="17" spans="1:3" x14ac:dyDescent="0.25">
      <c r="A17" t="s">
        <v>31</v>
      </c>
      <c r="B17" t="s">
        <v>15</v>
      </c>
      <c r="C17" t="s">
        <v>269</v>
      </c>
    </row>
    <row r="18" spans="1:3" x14ac:dyDescent="0.25">
      <c r="A18" t="s">
        <v>22</v>
      </c>
      <c r="B18" t="s">
        <v>13</v>
      </c>
      <c r="C18" t="s">
        <v>270</v>
      </c>
    </row>
    <row r="19" spans="1:3" x14ac:dyDescent="0.25">
      <c r="A19" t="s">
        <v>24</v>
      </c>
      <c r="B19" t="s">
        <v>18</v>
      </c>
      <c r="C19" t="s">
        <v>271</v>
      </c>
    </row>
    <row r="20" spans="1:3" x14ac:dyDescent="0.25">
      <c r="A20" t="s">
        <v>4</v>
      </c>
      <c r="B20" t="s">
        <v>12</v>
      </c>
      <c r="C20" t="s">
        <v>272</v>
      </c>
    </row>
    <row r="21" spans="1:3" x14ac:dyDescent="0.25">
      <c r="A21" t="s">
        <v>92</v>
      </c>
      <c r="B21" t="s">
        <v>67</v>
      </c>
      <c r="C21" t="s">
        <v>273</v>
      </c>
    </row>
    <row r="22" spans="1:3" x14ac:dyDescent="0.25">
      <c r="A22" t="s">
        <v>67</v>
      </c>
      <c r="B22" t="s">
        <v>59</v>
      </c>
      <c r="C22" t="s">
        <v>274</v>
      </c>
    </row>
    <row r="23" spans="1:3" x14ac:dyDescent="0.25">
      <c r="A23" t="s">
        <v>30</v>
      </c>
      <c r="B23" t="s">
        <v>30</v>
      </c>
      <c r="C23" t="s">
        <v>275</v>
      </c>
    </row>
    <row r="24" spans="1:3" x14ac:dyDescent="0.25">
      <c r="A24" t="s">
        <v>35</v>
      </c>
      <c r="B24" t="s">
        <v>36</v>
      </c>
      <c r="C24" t="s">
        <v>276</v>
      </c>
    </row>
    <row r="25" spans="1:3" x14ac:dyDescent="0.25">
      <c r="A25" t="s">
        <v>248</v>
      </c>
      <c r="B25" t="s">
        <v>32</v>
      </c>
      <c r="C25" t="s">
        <v>277</v>
      </c>
    </row>
    <row r="26" spans="1:3" x14ac:dyDescent="0.25">
      <c r="A26" t="s">
        <v>23</v>
      </c>
      <c r="B26" t="s">
        <v>11</v>
      </c>
      <c r="C26" t="s">
        <v>278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BACKUPBB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2024-05-24T06:54:06Z</dcterms:modified>
</cp:coreProperties>
</file>