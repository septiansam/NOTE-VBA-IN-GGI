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07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BC 40\"/>
    </mc:Choice>
  </mc:AlternateContent>
  <xr:revisionPtr revIDLastSave="0" documentId="13_ncr:1_{80B49F6A-2525-41D2-8283-EF112E6832C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(M)" sheetId="12" r:id="rId1"/>
    <sheet name="VERSI" sheetId="71" state="hidden" r:id="rId2"/>
    <sheet name="ReqHistory" sheetId="20" state="hidden" r:id="rId3"/>
    <sheet name="Validasi" sheetId="25" state="hidden" r:id="rId4"/>
    <sheet name="BARANG" sheetId="46" state="hidden" r:id="rId5"/>
    <sheet name="Q" sheetId="118" state="hidden" r:id="rId6"/>
    <sheet name="BARANGTARIF" sheetId="47" state="hidden" r:id="rId7"/>
    <sheet name="Setting" sheetId="2" state="hidden" r:id="rId8"/>
    <sheet name="Db_Dummy" sheetId="30" state="hidden" r:id="rId9"/>
  </sheets>
  <functionGroups builtInGroupCount="19"/>
  <externalReferences>
    <externalReference r:id="rId10"/>
  </externalReferences>
  <definedNames>
    <definedName name="_xlnm._FilterDatabase" localSheetId="5" hidden="1">Q!$AA$1:$AB$104</definedName>
    <definedName name="_xlnm._FilterDatabase" localSheetId="3" hidden="1">Validasi!$Y$3:$AB$6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4" i="25" l="1"/>
  <c r="F4" i="25" l="1"/>
  <c r="N5" i="2" l="1"/>
  <c r="F7" i="25" s="1"/>
  <c r="N9" i="2"/>
  <c r="F6" i="25"/>
  <c r="R5" i="30" l="1"/>
  <c r="R4" i="30"/>
  <c r="R3" i="30"/>
  <c r="N3" i="30"/>
  <c r="R2" i="30"/>
  <c r="N2" i="30"/>
  <c r="AH1" i="118"/>
  <c r="AC1" i="118"/>
  <c r="X1" i="118"/>
  <c r="S1" i="118"/>
  <c r="N1" i="118"/>
  <c r="I1" i="118"/>
  <c r="D1" i="118"/>
  <c r="F3" i="25"/>
  <c r="D2" i="71"/>
  <c r="C2" i="71"/>
</calcChain>
</file>

<file path=xl/sharedStrings.xml><?xml version="1.0" encoding="utf-8"?>
<sst xmlns="http://schemas.openxmlformats.org/spreadsheetml/2006/main" count="759" uniqueCount="478">
  <si>
    <t>-</t>
  </si>
  <si>
    <t>BC.23</t>
  </si>
  <si>
    <t>BC.25</t>
  </si>
  <si>
    <t>BC.261</t>
  </si>
  <si>
    <t>BC.262</t>
  </si>
  <si>
    <t>BC.27</t>
  </si>
  <si>
    <t>BC.40</t>
  </si>
  <si>
    <t>BC.41</t>
  </si>
  <si>
    <t>BC.30</t>
  </si>
  <si>
    <t>BC.33</t>
  </si>
  <si>
    <t>Active</t>
  </si>
  <si>
    <t>1</t>
  </si>
  <si>
    <t>2</t>
  </si>
  <si>
    <t>3</t>
  </si>
  <si>
    <t>░</t>
  </si>
  <si>
    <t>☻</t>
  </si>
  <si>
    <t>NOMOR AJU</t>
  </si>
  <si>
    <t>1201</t>
  </si>
  <si>
    <t>111111</t>
  </si>
  <si>
    <t>a</t>
  </si>
  <si>
    <t>WAITING</t>
  </si>
  <si>
    <t>222222</t>
  </si>
  <si>
    <t>Local Doc Active</t>
  </si>
  <si>
    <t>Local BU Active</t>
  </si>
  <si>
    <t>1201-2</t>
  </si>
  <si>
    <t>DC28-hadi-10.8.31.1</t>
  </si>
  <si>
    <t>22</t>
  </si>
  <si>
    <t>Path</t>
  </si>
  <si>
    <t>Nama</t>
  </si>
  <si>
    <t>\\10.8.0.35\bersama\path file\MACRO_RPA - Pembuatan Dokumen di CEISA 4.0</t>
  </si>
  <si>
    <t>Master Macro</t>
  </si>
  <si>
    <t>00003031560820230614000007</t>
  </si>
  <si>
    <t>CANCEL</t>
  </si>
  <si>
    <t>BUSINESS UNIT</t>
  </si>
  <si>
    <t>NOMOR PO</t>
  </si>
  <si>
    <t>USER ADDRESS</t>
  </si>
  <si>
    <t>DATE TIME INPUT</t>
  </si>
  <si>
    <t>STATUS</t>
  </si>
  <si>
    <t>Company</t>
  </si>
  <si>
    <t>NPWP</t>
  </si>
  <si>
    <t>PC</t>
  </si>
  <si>
    <t>id</t>
  </si>
  <si>
    <t>versi</t>
  </si>
  <si>
    <t>created_at</t>
  </si>
  <si>
    <t>updated_at</t>
  </si>
  <si>
    <t>KODE KANTOR</t>
  </si>
  <si>
    <t>KODE JENIS TPB</t>
  </si>
  <si>
    <t>NO AJU</t>
  </si>
  <si>
    <t>JENIS DOKUMEN</t>
  </si>
  <si>
    <t>KODE TUJUAN PENGIRIMAN</t>
  </si>
  <si>
    <t>PO</t>
  </si>
  <si>
    <t>CEISA</t>
  </si>
  <si>
    <t>NO IZIN TPB</t>
  </si>
  <si>
    <r>
      <rPr>
        <b/>
        <sz val="11"/>
        <color rgb="FF00B05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/</t>
    </r>
    <r>
      <rPr>
        <b/>
        <sz val="11"/>
        <color rgb="FFFF0000"/>
        <rFont val="Calibri"/>
        <family val="2"/>
        <scheme val="minor"/>
      </rPr>
      <t>F</t>
    </r>
  </si>
  <si>
    <t>NAMA PENGIRIM</t>
  </si>
  <si>
    <t>value</t>
  </si>
  <si>
    <t>KEP-523/WBC.09/2022</t>
  </si>
  <si>
    <t>315608729423000</t>
  </si>
  <si>
    <t>id_kode_pengiriman</t>
  </si>
  <si>
    <t>deskripsi_jenistpb</t>
  </si>
  <si>
    <t>KAWASAN BERIKAT</t>
  </si>
  <si>
    <t>GUDANG BERIKAT</t>
  </si>
  <si>
    <t>TPPB</t>
  </si>
  <si>
    <t>TBB</t>
  </si>
  <si>
    <t>TLB</t>
  </si>
  <si>
    <t>KDUB</t>
  </si>
  <si>
    <t>PLB</t>
  </si>
  <si>
    <t>LAINNYA</t>
  </si>
  <si>
    <t>deskripsi_pengiriman</t>
  </si>
  <si>
    <t>PENYERAHAN BKP</t>
  </si>
  <si>
    <t>PENYERAHAN JKP</t>
  </si>
  <si>
    <t>RETUR</t>
  </si>
  <si>
    <t>NON PENYERAHAN</t>
  </si>
  <si>
    <t>NO PO</t>
  </si>
  <si>
    <t>SATUAN</t>
  </si>
  <si>
    <t>NETTO</t>
  </si>
  <si>
    <t>KEMASAN</t>
  </si>
  <si>
    <t>SERI</t>
  </si>
  <si>
    <t>JUMLAH</t>
  </si>
  <si>
    <t>SURAT JALAN</t>
  </si>
  <si>
    <t>JENIS KEMASAN</t>
  </si>
  <si>
    <t>ITEM CODE</t>
  </si>
  <si>
    <t>DESCRIPTION</t>
  </si>
  <si>
    <t>QTY RECEIVED</t>
  </si>
  <si>
    <t>HS CODE</t>
  </si>
  <si>
    <t>ELASTIC</t>
  </si>
  <si>
    <t>GRO</t>
  </si>
  <si>
    <t>YRD</t>
  </si>
  <si>
    <t>ELACTIC</t>
  </si>
  <si>
    <t>ROL</t>
  </si>
  <si>
    <t>CARTONBOX</t>
  </si>
  <si>
    <t>PCE</t>
  </si>
  <si>
    <t>LAYER</t>
  </si>
  <si>
    <t>CARELABEL</t>
  </si>
  <si>
    <t>PRICETAG</t>
  </si>
  <si>
    <t>KAIN</t>
  </si>
  <si>
    <t>MTR</t>
  </si>
  <si>
    <t>BUTTON</t>
  </si>
  <si>
    <t>THREAD</t>
  </si>
  <si>
    <t>CJ</t>
  </si>
  <si>
    <t>POLIBAG</t>
  </si>
  <si>
    <t>STICKER</t>
  </si>
  <si>
    <t>BENANG KASUR</t>
  </si>
  <si>
    <t>ZIPPER</t>
  </si>
  <si>
    <t>BENDA CAIR</t>
  </si>
  <si>
    <t>LTR</t>
  </si>
  <si>
    <t>ELASTIC DARI WARRENTY</t>
  </si>
  <si>
    <t>JENIS ITEM</t>
  </si>
  <si>
    <t>ACUAN</t>
  </si>
  <si>
    <t>SARANA PENGANGKUT</t>
  </si>
  <si>
    <t>PERNYATAAN</t>
  </si>
  <si>
    <t>NAMA</t>
  </si>
  <si>
    <t>JABATAN</t>
  </si>
  <si>
    <t>KUASA DIREKSI</t>
  </si>
  <si>
    <t>Imported CEISA File</t>
  </si>
  <si>
    <t>Imported Flat PO File</t>
  </si>
  <si>
    <t>Toolbox</t>
  </si>
  <si>
    <t>Value</t>
  </si>
  <si>
    <t>fm_Draft.Btn_Draft_Update.Enabled</t>
  </si>
  <si>
    <t>KOTA</t>
  </si>
  <si>
    <t>BRUTO</t>
  </si>
  <si>
    <t>PK</t>
  </si>
  <si>
    <t>NOMOR DOK</t>
  </si>
  <si>
    <t>TGL DOK</t>
  </si>
  <si>
    <t>DOKUMEN PELENGKAP</t>
  </si>
  <si>
    <t>KODE DOK</t>
  </si>
  <si>
    <t>DESKRIPSI</t>
  </si>
  <si>
    <t>CBX</t>
  </si>
  <si>
    <t>BARANG</t>
  </si>
  <si>
    <t>HARGA PENYERAHAN</t>
  </si>
  <si>
    <t>SERI BARANG</t>
  </si>
  <si>
    <t>HS</t>
  </si>
  <si>
    <t>KODE BARANG</t>
  </si>
  <si>
    <t>URAIAN</t>
  </si>
  <si>
    <t>MEREK</t>
  </si>
  <si>
    <t>TIPE</t>
  </si>
  <si>
    <t>UKURAN</t>
  </si>
  <si>
    <t>SPESIFIKASI LAIN</t>
  </si>
  <si>
    <t>KODE SATUAN</t>
  </si>
  <si>
    <t>JUMLAH SATUAN</t>
  </si>
  <si>
    <t>KODE KEMASAN</t>
  </si>
  <si>
    <t>JUMLAH KEMASAN</t>
  </si>
  <si>
    <t>VOLUME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</si>
  <si>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</si>
  <si>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</si>
  <si>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</si>
  <si>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</si>
  <si>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</si>
  <si>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</si>
  <si>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SALDO AWAL</t>
  </si>
  <si>
    <t>SALDO AKHIR</t>
  </si>
  <si>
    <t>JUMLAH REALISASI</t>
  </si>
  <si>
    <t>CIF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</si>
  <si>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</si>
  <si>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</si>
  <si>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</si>
  <si>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</si>
  <si>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</si>
  <si>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</si>
  <si>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</si>
  <si>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</si>
  <si>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</si>
  <si>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</si>
  <si>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</si>
  <si>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</si>
  <si>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</si>
  <si>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</si>
  <si>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</si>
  <si>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</si>
  <si>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ASAL BARANG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</si>
  <si>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</si>
  <si>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</si>
  <si>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</si>
  <si>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</si>
  <si>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</si>
  <si>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</si>
  <si>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NEGARA ASAL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</si>
  <si>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</si>
  <si>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</si>
  <si>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</si>
  <si>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</si>
  <si>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</si>
  <si>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</si>
  <si>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</si>
  <si>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</si>
  <si>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</si>
  <si>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</si>
  <si>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</si>
  <si>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</si>
  <si>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</si>
  <si>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</si>
  <si>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</si>
  <si>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PUNGUTAN</t>
  </si>
  <si>
    <t>KODE TARIF</t>
  </si>
  <si>
    <t>TARIF</t>
  </si>
  <si>
    <t>KODE FASILITAS</t>
  </si>
  <si>
    <t>TARIF FASILITAS</t>
  </si>
  <si>
    <t>NILAI BAYAR</t>
  </si>
  <si>
    <t>NILAI FASILITAS</t>
  </si>
  <si>
    <t>NILAI SUDAH DILUNASI</t>
  </si>
  <si>
    <t>FLAG BMT SEMENTARA</t>
  </si>
  <si>
    <t>KODE KOMODITI CUKAI</t>
  </si>
  <si>
    <t>KODE SUB KOMODITI CUKAI</t>
  </si>
  <si>
    <t>FLAG PELEKATAN</t>
  </si>
  <si>
    <t>PPN</t>
  </si>
  <si>
    <t>DTG - DITANGGUHKAN</t>
  </si>
  <si>
    <t>BBS - DIBEBASKAN</t>
  </si>
  <si>
    <t>TIDAK DIPUNGUT</t>
  </si>
  <si>
    <t>SUDAH DILUNASI</t>
  </si>
  <si>
    <t>KODE_FASILITAS</t>
  </si>
  <si>
    <t>DESKRIPSI_FASILITAS</t>
  </si>
  <si>
    <t>RowIndex_ViewBarang</t>
  </si>
  <si>
    <t>TARIF FASILITAS %</t>
  </si>
  <si>
    <t>GetConnection_tpbdb</t>
  </si>
  <si>
    <t>TOTAL BRUTO</t>
  </si>
  <si>
    <t>Macro Name</t>
  </si>
  <si>
    <t>set</t>
  </si>
  <si>
    <t>status</t>
  </si>
  <si>
    <t>CURENSI</t>
  </si>
  <si>
    <t>fm_MenuUtama.Btn_Draft_View.Enabled</t>
  </si>
  <si>
    <t>GetConnection_db_gstc</t>
  </si>
  <si>
    <t>NUNUNG HALIMAH</t>
  </si>
  <si>
    <t>ASEP SUBIANA</t>
  </si>
  <si>
    <t>CHOERUMAN</t>
  </si>
  <si>
    <t>TGL</t>
  </si>
  <si>
    <t>TABLE: referensi_kemasan, referensi_satuan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</si>
  <si>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</si>
  <si>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</si>
  <si>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</si>
  <si>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</si>
  <si>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</si>
  <si>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</si>
  <si>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</si>
  <si>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</si>
  <si>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</si>
  <si>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</si>
  <si>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</si>
  <si>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</si>
  <si>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</si>
  <si>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</si>
  <si>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</si>
  <si>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</si>
  <si>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</si>
  <si>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</si>
  <si>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TABLE: ceisa_ref_saranapengangkut, ceisa_ref_konversisatuan_jdetpb</t>
  </si>
  <si>
    <t>JDE</t>
  </si>
  <si>
    <t>TPB</t>
  </si>
  <si>
    <t>2B</t>
  </si>
  <si>
    <t>CO</t>
  </si>
  <si>
    <t>HARGA SATUAN (formulasi macro)</t>
  </si>
  <si>
    <t>HARGA PENYERAHAN (formulasi macro)</t>
  </si>
  <si>
    <t>HEADER</t>
  </si>
  <si>
    <t>PENGIRIM</t>
  </si>
  <si>
    <t>nomor_aju</t>
  </si>
  <si>
    <t>branch</t>
  </si>
  <si>
    <t>seri_barang</t>
  </si>
  <si>
    <t>hs</t>
  </si>
  <si>
    <t>kode_barang</t>
  </si>
  <si>
    <t>uraian</t>
  </si>
  <si>
    <t>merek</t>
  </si>
  <si>
    <t>tipe</t>
  </si>
  <si>
    <t>ukuran</t>
  </si>
  <si>
    <t>spesifikasi_lain</t>
  </si>
  <si>
    <t>kode_satuan</t>
  </si>
  <si>
    <t>jumlah_satuan</t>
  </si>
  <si>
    <t>kode_kemasan</t>
  </si>
  <si>
    <t>jumlah_kemasan</t>
  </si>
  <si>
    <t>kode_dokumen_asal</t>
  </si>
  <si>
    <t>kode_kantor_asal</t>
  </si>
  <si>
    <t>nomor_daftar_asal</t>
  </si>
  <si>
    <t>tanggal_daftar_asal</t>
  </si>
  <si>
    <t>nomor_aju_asal</t>
  </si>
  <si>
    <t>seri_barang_asal</t>
  </si>
  <si>
    <t>netto</t>
  </si>
  <si>
    <t>bruto</t>
  </si>
  <si>
    <t>volume</t>
  </si>
  <si>
    <t>saldo_awal</t>
  </si>
  <si>
    <t>saldo_akhir</t>
  </si>
  <si>
    <t>jumlah_realisasi</t>
  </si>
  <si>
    <t>cif</t>
  </si>
  <si>
    <t>cif_rupiah</t>
  </si>
  <si>
    <t>ndpbm</t>
  </si>
  <si>
    <t>fob</t>
  </si>
  <si>
    <t>asuransi</t>
  </si>
  <si>
    <t>freight</t>
  </si>
  <si>
    <t>nilai_tambah</t>
  </si>
  <si>
    <t>diskon</t>
  </si>
  <si>
    <t>harga_penyerahan</t>
  </si>
  <si>
    <t>harga_perolehan</t>
  </si>
  <si>
    <t>harga_satuan</t>
  </si>
  <si>
    <t>harga_ekspor</t>
  </si>
  <si>
    <t>harga_patokan</t>
  </si>
  <si>
    <t>nilai_barang</t>
  </si>
  <si>
    <t>nilai_jasa</t>
  </si>
  <si>
    <t>nilai_dana_sawit</t>
  </si>
  <si>
    <t>nilai_devisa</t>
  </si>
  <si>
    <t>persentase_impor</t>
  </si>
  <si>
    <t>kode_asal_barang</t>
  </si>
  <si>
    <t>kode_daerah_asal</t>
  </si>
  <si>
    <t>kode_guna_barang</t>
  </si>
  <si>
    <t>kode_jenis_nilai</t>
  </si>
  <si>
    <t>jatuh_tempo_royalti</t>
  </si>
  <si>
    <t>kode_kategori_barang</t>
  </si>
  <si>
    <t>kode_kondisi_barang</t>
  </si>
  <si>
    <t>kode_negara_asal</t>
  </si>
  <si>
    <t>kode_perhitungan</t>
  </si>
  <si>
    <t>pernyataan_lartas</t>
  </si>
  <si>
    <t>flag_4_tahun</t>
  </si>
  <si>
    <t>seri_izin</t>
  </si>
  <si>
    <t>tahun_pembuatan</t>
  </si>
  <si>
    <t>kapasitas_silinder</t>
  </si>
  <si>
    <t>kode_bkc</t>
  </si>
  <si>
    <t>kode_komoditi_bkc</t>
  </si>
  <si>
    <t>kode_sub_komoditi_bkc</t>
  </si>
  <si>
    <t>flag_tis</t>
  </si>
  <si>
    <t>isi_per_kemasan</t>
  </si>
  <si>
    <t>jumlah_dilekatkan</t>
  </si>
  <si>
    <t>jumlah_pita_cukai</t>
  </si>
  <si>
    <t>hje_cukai</t>
  </si>
  <si>
    <t>tarif_cukai</t>
  </si>
  <si>
    <t>kode_dokumen</t>
  </si>
  <si>
    <t>kode_kantor</t>
  </si>
  <si>
    <t>kode_kantor_bongkar</t>
  </si>
  <si>
    <t>kode_kantor_periksa</t>
  </si>
  <si>
    <t>kode_kantor_tujuan</t>
  </si>
  <si>
    <t>kode_kantor_ekspor</t>
  </si>
  <si>
    <t>kode_jenis_impor</t>
  </si>
  <si>
    <t>kode_jenis_ekspor</t>
  </si>
  <si>
    <t>kode_jenis_tpb</t>
  </si>
  <si>
    <t>kode_jenis_plb</t>
  </si>
  <si>
    <t>kode_jenis_prosedur</t>
  </si>
  <si>
    <t>kode_tujuan_pemasukan</t>
  </si>
  <si>
    <t>kode_tujuan_pengiriman</t>
  </si>
  <si>
    <t>kode_tujuan_tpb</t>
  </si>
  <si>
    <t>kode_cara_dagang</t>
  </si>
  <si>
    <t>kode_cara_bayar</t>
  </si>
  <si>
    <t>kode_cara_bayar_lainnya</t>
  </si>
  <si>
    <t>kode_gudang_asal</t>
  </si>
  <si>
    <t>kode_gudang_tujuan</t>
  </si>
  <si>
    <t>kode_jenis_kirim</t>
  </si>
  <si>
    <t>kode_jenis_pengiriman</t>
  </si>
  <si>
    <t>kode_kategori_ekspor</t>
  </si>
  <si>
    <t>kode_kategori_masuk_ftz</t>
  </si>
  <si>
    <t>kode_kategori_keluar_ftz</t>
  </si>
  <si>
    <t>kode_kategori_barang_ftz</t>
  </si>
  <si>
    <t>kode_lokasi</t>
  </si>
  <si>
    <t>kode_lokasi_bayar</t>
  </si>
  <si>
    <t>lokasi_asal</t>
  </si>
  <si>
    <t>lokasi_tujuan</t>
  </si>
  <si>
    <t>kode_gudang_asal2</t>
  </si>
  <si>
    <t>kode_gudang_tujuan2</t>
  </si>
  <si>
    <t>kode_negara_tujuan</t>
  </si>
  <si>
    <t>kode_tutup_pu</t>
  </si>
  <si>
    <t>nomor_bc11</t>
  </si>
  <si>
    <t>tanggal_bc11</t>
  </si>
  <si>
    <t>nomor_pos</t>
  </si>
  <si>
    <t>nomor_sub_pos</t>
  </si>
  <si>
    <t>kode_pelabuhan_bongkar</t>
  </si>
  <si>
    <t>kode_pelabuhan_muat</t>
  </si>
  <si>
    <t>kode_pelabuhan_muat_akhir</t>
  </si>
  <si>
    <t>kode_pelabuhan_transit</t>
  </si>
  <si>
    <t>kode_pelabuhan_tujuan</t>
  </si>
  <si>
    <t>kode_pelabuhan_ekspor</t>
  </si>
  <si>
    <t>kode_tps</t>
  </si>
  <si>
    <t>tanggal_berangkat</t>
  </si>
  <si>
    <t>tanggal_ekspor</t>
  </si>
  <si>
    <t>tanggal_masuk</t>
  </si>
  <si>
    <t>tanggal_muat</t>
  </si>
  <si>
    <t>tanggal_tiba</t>
  </si>
  <si>
    <t>tanggal_periksa</t>
  </si>
  <si>
    <t>tempat_stuffing</t>
  </si>
  <si>
    <t>tanggal_stuffing</t>
  </si>
  <si>
    <t>kode_tanda_pengaman</t>
  </si>
  <si>
    <t>jumlah_tanda_pengaman</t>
  </si>
  <si>
    <t>flag_curah</t>
  </si>
  <si>
    <t>flag_sda</t>
  </si>
  <si>
    <t>flag_vd</t>
  </si>
  <si>
    <t>flag_ap_bk</t>
  </si>
  <si>
    <t>flag_migas</t>
  </si>
  <si>
    <t>kode_asuransi</t>
  </si>
  <si>
    <t>nilai_incoterm</t>
  </si>
  <si>
    <t>nilai_maklon</t>
  </si>
  <si>
    <t>asuransi2</t>
  </si>
  <si>
    <t>biaya_tambahan</t>
  </si>
  <si>
    <t>biaya_pengurang</t>
  </si>
  <si>
    <t>vd</t>
  </si>
  <si>
    <t>total_dana_sawit</t>
  </si>
  <si>
    <t>dasar_pengenaan_pajak</t>
  </si>
  <si>
    <t>uang_muka</t>
  </si>
  <si>
    <t>kota_pernyataan</t>
  </si>
  <si>
    <t>tanggal_pernyataan</t>
  </si>
  <si>
    <t>nama_pernyataan</t>
  </si>
  <si>
    <t>jabatan_pernyataan</t>
  </si>
  <si>
    <t>kode_valuta</t>
  </si>
  <si>
    <t>kode_incoterm</t>
  </si>
  <si>
    <t>kode_jasa_kena_pajak</t>
  </si>
  <si>
    <t>nomor_bukti_bayar</t>
  </si>
  <si>
    <t>tanggal_bukti_bayar</t>
  </si>
  <si>
    <t>kode_kantor_muat</t>
  </si>
  <si>
    <t>nomor_daftar</t>
  </si>
  <si>
    <t>tanggal_daftar</t>
  </si>
  <si>
    <t>kode_asal_barang_ftz</t>
  </si>
  <si>
    <t>kode_tujuan_pengeluaran</t>
  </si>
  <si>
    <t>ppn_pajak</t>
  </si>
  <si>
    <t>ppnbm_pajak</t>
  </si>
  <si>
    <t>tarif_ppn_pajak</t>
  </si>
  <si>
    <t>tarif_ppnbm_pajak</t>
  </si>
  <si>
    <t>barang_tidak_berwujud</t>
  </si>
  <si>
    <t>= &gt; HEADER</t>
  </si>
  <si>
    <t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t>
  </si>
  <si>
    <t>seri</t>
  </si>
  <si>
    <t>kode_entitas</t>
  </si>
  <si>
    <t>kode_jenis_identitas</t>
  </si>
  <si>
    <t>nomor_identitas</t>
  </si>
  <si>
    <t>nama_entitas</t>
  </si>
  <si>
    <t>alamat_entitas</t>
  </si>
  <si>
    <t>nib_entitas</t>
  </si>
  <si>
    <t>kode_jenis_api</t>
  </si>
  <si>
    <t>kode_status</t>
  </si>
  <si>
    <t>nomor_ijin_entitas</t>
  </si>
  <si>
    <t>tanggal_ijin_entitas</t>
  </si>
  <si>
    <t>kode_negara</t>
  </si>
  <si>
    <t>niper_entitas</t>
  </si>
  <si>
    <t>=&gt; ENTITAS</t>
  </si>
  <si>
    <t>nomor_aju, branch, seri, kode_entitas, kode_jenis_identitas, nomor_identitas, nama_entitas, alamat_entitas, nib_entitas, kode_jenis_api, kode_status, nomor_ijin_entitas, tanggal_ijin_entitas, kode_negara, niper_entitas, created_at</t>
  </si>
  <si>
    <t>DOKUMEN</t>
  </si>
  <si>
    <t>nomor_dokumen</t>
  </si>
  <si>
    <t>tanggal_dokumen</t>
  </si>
  <si>
    <t>kode_fasilitas</t>
  </si>
  <si>
    <t>kode_ijin</t>
  </si>
  <si>
    <t>PENGANGKUT</t>
  </si>
  <si>
    <t>kode_cara_angkut</t>
  </si>
  <si>
    <t>nama_pengangkut</t>
  </si>
  <si>
    <t>nomor_pengangkut</t>
  </si>
  <si>
    <t>kode_bendera</t>
  </si>
  <si>
    <t>call_sign</t>
  </si>
  <si>
    <t>flag_angkut_plb</t>
  </si>
  <si>
    <t>BARANGTARIF</t>
  </si>
  <si>
    <t>kode_pungutan</t>
  </si>
  <si>
    <t>kode_tarif</t>
  </si>
  <si>
    <t>tarif</t>
  </si>
  <si>
    <t>tarif_fasilitas</t>
  </si>
  <si>
    <t>nilai_bayar</t>
  </si>
  <si>
    <t>nilai_fasilitas</t>
  </si>
  <si>
    <t>nilai_sudah_dilunasi</t>
  </si>
  <si>
    <t>flag_bmt_sementara</t>
  </si>
  <si>
    <t>kode_komoditi_cukai</t>
  </si>
  <si>
    <t>kode_sub_komoditi_cukai</t>
  </si>
  <si>
    <t>flag_pelekatan</t>
  </si>
  <si>
    <t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t>
  </si>
  <si>
    <t>OK</t>
  </si>
  <si>
    <t>JALAN PANYAWUNGAN KM 19, DESA CILEUNYI WETAN, KECAMATAN CILEUNYI, KABUPATEN BANDUNG, JAWA BARAT</t>
  </si>
  <si>
    <t>ALAMAT</t>
  </si>
  <si>
    <t>NO IJIN</t>
  </si>
  <si>
    <t>Ent Defauilt</t>
  </si>
  <si>
    <t>ALAMAT PENGIRIM</t>
  </si>
  <si>
    <t>2022-07-29</t>
  </si>
  <si>
    <t>TGL IJIN</t>
  </si>
  <si>
    <t>TRUCK</t>
  </si>
  <si>
    <t>B 1136 JUE</t>
  </si>
  <si>
    <t>MACRO UPDATE</t>
  </si>
  <si>
    <t>VERSI SEKARANG</t>
  </si>
  <si>
    <t>PATH NEW UPDATE</t>
  </si>
  <si>
    <t>MACRO - Item Draft BC40 - CEISA 4.0.xlsm</t>
  </si>
  <si>
    <t>LEVEL UP LABEL INDONESIA</t>
  </si>
  <si>
    <t>032963886063000</t>
  </si>
  <si>
    <t>CARE LABEL NISHIMATSUYA SIZE 100</t>
  </si>
  <si>
    <t>CARE LABEL NISHIMATSUYA SIZE 110</t>
  </si>
  <si>
    <t>CARE LABEL NISHIMATSUYA SIZE 120</t>
  </si>
  <si>
    <t>CARE LABEL NISHIMATSUYA SIZE 130</t>
  </si>
  <si>
    <t>USD</t>
  </si>
  <si>
    <t>D 1674 AJ</t>
  </si>
  <si>
    <t>C:\Users\melawati\Downloads\R554301C_GG0002_1886294_PDF.csv</t>
  </si>
  <si>
    <t>CARE LABEL NISHIMATSUYA SIZE 140</t>
  </si>
  <si>
    <t>CARE LABEL NISHIMATSUYA SIZE 150</t>
  </si>
  <si>
    <t>DN-2412042</t>
  </si>
  <si>
    <t>C:\Users\melawati\Downloads\00004031560820241216005353.xlsx</t>
  </si>
  <si>
    <t>00004031560820241216005353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</si>
</sst>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mm/dd/yyyy\ hh:mm:ss\ \a"/>
    <numFmt numFmtId="166" formatCode="yyyy\-mm\-dd"/>
  </numFmts>
  <fonts count="29" x14ac:knownFonts="1">
    <font>
      <sz val="11"/>
      <color theme="1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5A278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8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8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449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6" fillId="0" borderId="0"/>
    <xf numFmtId="0" fontId="24" fillId="0" borderId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5" borderId="0" applyNumberFormat="0" applyBorder="0" applyAlignment="0" applyProtection="0"/>
    <xf numFmtId="0" fontId="8" fillId="39" borderId="0" applyNumberFormat="0" applyBorder="0" applyAlignment="0" applyProtection="0"/>
    <xf numFmtId="0" fontId="8" fillId="20" borderId="0" applyNumberFormat="0" applyBorder="0" applyAlignment="0" applyProtection="0"/>
    <xf numFmtId="0" fontId="8" fillId="24" borderId="0" applyNumberFormat="0" applyBorder="0" applyAlignment="0" applyProtection="0"/>
    <xf numFmtId="0" fontId="8" fillId="28" borderId="0" applyNumberFormat="0" applyBorder="0" applyAlignment="0" applyProtection="0"/>
    <xf numFmtId="0" fontId="8" fillId="32" borderId="0" applyNumberFormat="0" applyBorder="0" applyAlignment="0" applyProtection="0"/>
    <xf numFmtId="0" fontId="8" fillId="36" borderId="0" applyNumberFormat="0" applyBorder="0" applyAlignment="0" applyProtection="0"/>
    <xf numFmtId="0" fontId="8" fillId="40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8" fillId="29" borderId="0" applyNumberFormat="0" applyBorder="0" applyAlignment="0" applyProtection="0"/>
    <xf numFmtId="0" fontId="8" fillId="33" borderId="0" applyNumberFormat="0" applyBorder="0" applyAlignment="0" applyProtection="0"/>
    <xf numFmtId="0" fontId="8" fillId="37" borderId="0" applyNumberFormat="0" applyBorder="0" applyAlignment="0" applyProtection="0"/>
    <xf numFmtId="0" fontId="8" fillId="41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14" fillId="12" borderId="0" applyNumberFormat="0" applyBorder="0" applyAlignment="0" applyProtection="0"/>
    <xf numFmtId="0" fontId="18" fillId="15" borderId="6" applyNumberFormat="0" applyAlignment="0" applyProtection="0"/>
    <xf numFmtId="0" fontId="20" fillId="16" borderId="9" applyNumberFormat="0" applyAlignment="0" applyProtection="0"/>
    <xf numFmtId="0" fontId="22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6" fillId="14" borderId="6" applyNumberFormat="0" applyAlignment="0" applyProtection="0"/>
    <xf numFmtId="0" fontId="19" fillId="0" borderId="8" applyNumberFormat="0" applyFill="0" applyAlignment="0" applyProtection="0"/>
    <xf numFmtId="0" fontId="15" fillId="13" borderId="0" applyNumberFormat="0" applyBorder="0" applyAlignment="0" applyProtection="0"/>
    <xf numFmtId="0" fontId="8" fillId="0" borderId="0"/>
    <xf numFmtId="0" fontId="8" fillId="17" borderId="10" applyNumberFormat="0" applyFont="0" applyAlignment="0" applyProtection="0"/>
    <xf numFmtId="0" fontId="17" fillId="15" borderId="7" applyNumberFormat="0" applyAlignment="0" applyProtection="0"/>
    <xf numFmtId="0" fontId="9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1" fillId="0" borderId="0" applyNumberFormat="0" applyFill="0" applyBorder="0" applyAlignment="0" applyProtection="0"/>
  </cellStyleXfs>
  <cellXfs count="63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1" xfId="0" applyBorder="1" applyAlignment="1">
      <alignment horizontal="center"/>
    </xf>
    <xf numFmtId="0" fontId="2" fillId="0" borderId="0" xfId="0" applyFont="1"/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5" borderId="0" xfId="0" applyFont="1" applyFill="1"/>
    <xf numFmtId="0" fontId="4" fillId="9" borderId="0" xfId="0" applyFont="1" applyFill="1"/>
    <xf numFmtId="0" fontId="4" fillId="9" borderId="0" xfId="0" applyFont="1" applyFill="1" applyAlignment="1">
      <alignment horizontal="right"/>
    </xf>
    <xf numFmtId="14" fontId="0" fillId="0" borderId="0" xfId="0" applyNumberFormat="1"/>
    <xf numFmtId="14" fontId="0" fillId="0" borderId="1" xfId="0" applyNumberFormat="1" applyBorder="1"/>
    <xf numFmtId="0" fontId="0" fillId="3" borderId="2" xfId="0" applyFill="1" applyBorder="1" applyAlignment="1">
      <alignment horizontal="center" vertical="center"/>
    </xf>
    <xf numFmtId="2" fontId="0" fillId="0" borderId="1" xfId="0" applyNumberFormat="1" applyBorder="1"/>
    <xf numFmtId="0" fontId="7" fillId="10" borderId="0" xfId="0" applyFont="1" applyFill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42" borderId="0" xfId="0" applyFill="1"/>
    <xf numFmtId="0" fontId="7" fillId="43" borderId="0" xfId="0" applyFont="1" applyFill="1"/>
    <xf numFmtId="0" fontId="7" fillId="44" borderId="0" xfId="0" applyFont="1" applyFill="1"/>
    <xf numFmtId="0" fontId="7" fillId="44" borderId="0" xfId="0" applyFont="1" applyFill="1" applyAlignment="1">
      <alignment horizontal="left"/>
    </xf>
    <xf numFmtId="0" fontId="23" fillId="7" borderId="0" xfId="0" applyFont="1" applyFill="1"/>
    <xf numFmtId="0" fontId="23" fillId="7" borderId="0" xfId="0" applyFont="1" applyFill="1" applyAlignment="1">
      <alignment horizontal="center"/>
    </xf>
    <xf numFmtId="0" fontId="23" fillId="4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48" borderId="0" xfId="0" applyFill="1" applyAlignment="1">
      <alignment horizontal="center" vertical="center"/>
    </xf>
    <xf numFmtId="49" fontId="7" fillId="44" borderId="0" xfId="0" applyNumberFormat="1" applyFont="1" applyFill="1" applyAlignment="1">
      <alignment horizontal="left"/>
    </xf>
    <xf numFmtId="0" fontId="7" fillId="4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7" fillId="49" borderId="1" xfId="0" applyFont="1" applyFill="1" applyBorder="1"/>
    <xf numFmtId="0" fontId="23" fillId="7" borderId="0" xfId="0" applyFont="1" applyFill="1" applyAlignment="1">
      <alignment horizontal="left"/>
    </xf>
    <xf numFmtId="0" fontId="27" fillId="49" borderId="1" xfId="0" applyFont="1" applyFill="1" applyBorder="1" applyAlignment="1">
      <alignment horizontal="left"/>
    </xf>
    <xf numFmtId="164" fontId="28" fillId="0" borderId="0" xfId="0" applyNumberFormat="1" applyFont="1"/>
    <xf numFmtId="165" fontId="28" fillId="0" borderId="0" xfId="0" applyNumberFormat="1" applyFont="1"/>
    <xf numFmtId="165" fontId="28" fillId="4" borderId="0" xfId="0" applyNumberFormat="1" applyFont="1" applyFill="1"/>
    <xf numFmtId="166" fontId="0" fillId="0" borderId="0" xfId="0" applyNumberFormat="1"/>
    <xf numFmtId="0" fontId="7" fillId="43" borderId="0" xfId="0" applyFont="1" applyFill="1" applyAlignment="1">
      <alignment horizontal="center"/>
    </xf>
    <xf numFmtId="0" fontId="0" fillId="50" borderId="0" xfId="0" applyFill="1"/>
    <xf numFmtId="2" fontId="0" fillId="0" borderId="0" xfId="0" applyNumberFormat="1"/>
    <xf numFmtId="0" fontId="0" fillId="0" borderId="0" xfId="0" quotePrefix="1"/>
    <xf numFmtId="0" fontId="23" fillId="0" borderId="0" xfId="0" applyFont="1"/>
    <xf numFmtId="0" fontId="23" fillId="0" borderId="0" xfId="0" quotePrefix="1" applyFont="1"/>
    <xf numFmtId="0" fontId="0" fillId="0" borderId="14" xfId="0" applyBorder="1"/>
    <xf numFmtId="0" fontId="27" fillId="51" borderId="1" xfId="0" applyFont="1" applyFill="1" applyBorder="1"/>
    <xf numFmtId="0" fontId="27" fillId="2" borderId="0" xfId="0" applyFont="1" applyFill="1" applyAlignment="1">
      <alignment vertical="center"/>
    </xf>
    <xf numFmtId="0" fontId="0" fillId="0" borderId="0" xfId="0" quotePrefix="1" applyAlignment="1">
      <alignment horizontal="left"/>
    </xf>
    <xf numFmtId="14" fontId="27" fillId="49" borderId="1" xfId="0" applyNumberFormat="1" applyFont="1" applyFill="1" applyBorder="1"/>
    <xf numFmtId="0" fontId="7" fillId="44" borderId="0" xfId="0" applyFont="1" applyFill="1" applyAlignment="1">
      <alignment wrapText="1"/>
    </xf>
    <xf numFmtId="0" fontId="5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20" fillId="4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20" fillId="45" borderId="0" xfId="0" applyFont="1" applyFill="1" applyAlignment="1">
      <alignment horizontal="center" vertical="top"/>
    </xf>
    <xf numFmtId="0" fontId="23" fillId="49" borderId="12" xfId="0" applyFont="1" applyFill="1" applyBorder="1" applyAlignment="1">
      <alignment horizontal="center"/>
    </xf>
    <xf numFmtId="0" fontId="23" fillId="49" borderId="13" xfId="0" applyFont="1" applyFill="1" applyBorder="1" applyAlignment="1">
      <alignment horizontal="center"/>
    </xf>
    <xf numFmtId="0" fontId="23" fillId="49" borderId="14" xfId="0" applyFont="1" applyFill="1" applyBorder="1" applyAlignment="1">
      <alignment horizontal="center"/>
    </xf>
  </cellXfs>
  <cellStyles count="45">
    <cellStyle name="20% - Accent1 2" xfId="3" xr:uid="{00000000-0005-0000-0000-000000000000}"/>
    <cellStyle name="20% - Accent2 2" xfId="4" xr:uid="{00000000-0005-0000-0000-000001000000}"/>
    <cellStyle name="20% - Accent3 2" xfId="5" xr:uid="{00000000-0005-0000-0000-000002000000}"/>
    <cellStyle name="20% - Accent4 2" xfId="6" xr:uid="{00000000-0005-0000-0000-000003000000}"/>
    <cellStyle name="20% - Accent5 2" xfId="7" xr:uid="{00000000-0005-0000-0000-000004000000}"/>
    <cellStyle name="20% - Accent6 2" xfId="8" xr:uid="{00000000-0005-0000-0000-000005000000}"/>
    <cellStyle name="40% - Accent1 2" xfId="9" xr:uid="{00000000-0005-0000-0000-000006000000}"/>
    <cellStyle name="40% - Accent2 2" xfId="10" xr:uid="{00000000-0005-0000-0000-000007000000}"/>
    <cellStyle name="40% - Accent3 2" xfId="11" xr:uid="{00000000-0005-0000-0000-000008000000}"/>
    <cellStyle name="40% - Accent4 2" xfId="12" xr:uid="{00000000-0005-0000-0000-000009000000}"/>
    <cellStyle name="40% - Accent5 2" xfId="13" xr:uid="{00000000-0005-0000-0000-00000A000000}"/>
    <cellStyle name="40% - Accent6 2" xfId="14" xr:uid="{00000000-0005-0000-0000-00000B000000}"/>
    <cellStyle name="60% - Accent1 2" xfId="15" xr:uid="{00000000-0005-0000-0000-00000C000000}"/>
    <cellStyle name="60% - Accent2 2" xfId="16" xr:uid="{00000000-0005-0000-0000-00000D000000}"/>
    <cellStyle name="60% - Accent3 2" xfId="17" xr:uid="{00000000-0005-0000-0000-00000E000000}"/>
    <cellStyle name="60% - Accent4 2" xfId="18" xr:uid="{00000000-0005-0000-0000-00000F000000}"/>
    <cellStyle name="60% - Accent5 2" xfId="19" xr:uid="{00000000-0005-0000-0000-000010000000}"/>
    <cellStyle name="60% - Accent6 2" xfId="20" xr:uid="{00000000-0005-0000-0000-000011000000}"/>
    <cellStyle name="Accent1 2" xfId="21" xr:uid="{00000000-0005-0000-0000-000012000000}"/>
    <cellStyle name="Accent2 2" xfId="22" xr:uid="{00000000-0005-0000-0000-000013000000}"/>
    <cellStyle name="Accent3 2" xfId="23" xr:uid="{00000000-0005-0000-0000-000014000000}"/>
    <cellStyle name="Accent4 2" xfId="24" xr:uid="{00000000-0005-0000-0000-000015000000}"/>
    <cellStyle name="Accent5 2" xfId="25" xr:uid="{00000000-0005-0000-0000-000016000000}"/>
    <cellStyle name="Accent6 2" xfId="26" xr:uid="{00000000-0005-0000-0000-000017000000}"/>
    <cellStyle name="Bad 2" xfId="27" xr:uid="{00000000-0005-0000-0000-000018000000}"/>
    <cellStyle name="Calculation 2" xfId="28" xr:uid="{00000000-0005-0000-0000-000019000000}"/>
    <cellStyle name="Check Cell 2" xfId="29" xr:uid="{00000000-0005-0000-0000-00001A000000}"/>
    <cellStyle name="Explanatory Text 2" xfId="30" xr:uid="{00000000-0005-0000-0000-00001B000000}"/>
    <cellStyle name="Good 2" xfId="31" xr:uid="{00000000-0005-0000-0000-00001C000000}"/>
    <cellStyle name="Heading 1 2" xfId="32" xr:uid="{00000000-0005-0000-0000-00001D000000}"/>
    <cellStyle name="Heading 2 2" xfId="33" xr:uid="{00000000-0005-0000-0000-00001E000000}"/>
    <cellStyle name="Heading 3 2" xfId="34" xr:uid="{00000000-0005-0000-0000-00001F000000}"/>
    <cellStyle name="Heading 4 2" xfId="35" xr:uid="{00000000-0005-0000-0000-000020000000}"/>
    <cellStyle name="Input 2" xfId="36" xr:uid="{00000000-0005-0000-0000-000021000000}"/>
    <cellStyle name="Linked Cell 2" xfId="37" xr:uid="{00000000-0005-0000-0000-000022000000}"/>
    <cellStyle name="Neutral 2" xfId="38" xr:uid="{00000000-0005-0000-0000-000023000000}"/>
    <cellStyle name="Normal" xfId="0" builtinId="0"/>
    <cellStyle name="Normal 2" xfId="1" xr:uid="{00000000-0005-0000-0000-000025000000}"/>
    <cellStyle name="Normal 2 2" xfId="39" xr:uid="{00000000-0005-0000-0000-000026000000}"/>
    <cellStyle name="Normal 3" xfId="2" xr:uid="{00000000-0005-0000-0000-000027000000}"/>
    <cellStyle name="Note 2" xfId="40" xr:uid="{00000000-0005-0000-0000-000028000000}"/>
    <cellStyle name="Output 2" xfId="41" xr:uid="{00000000-0005-0000-0000-000029000000}"/>
    <cellStyle name="Title 2" xfId="42" xr:uid="{00000000-0005-0000-0000-00002A000000}"/>
    <cellStyle name="Total 2" xfId="43" xr:uid="{00000000-0005-0000-0000-00002B000000}"/>
    <cellStyle name="Warning Text 2" xfId="44" xr:uid="{00000000-0005-0000-0000-00002C000000}"/>
  </cellStyles>
  <dxfs count="0"/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1"/>
  </sheetPr>
  <dimension ref="A1:N100"/>
  <sheetViews>
    <sheetView showGridLines="0" tabSelected="1" workbookViewId="0">
      <selection activeCell="E9" sqref="E9"/>
    </sheetView>
  </sheetViews>
  <sheetFormatPr defaultRowHeight="15" x14ac:dyDescent="0.25"/>
  <sheetData>
    <row r="1" spans="1:14" s="11" customFormat="1" x14ac:dyDescent="0.25"/>
    <row r="2" spans="1:14" s="11" customFormat="1" x14ac:dyDescent="0.25"/>
    <row r="3" spans="1:14" s="11" customFormat="1" x14ac:dyDescent="0.25"/>
    <row r="4" spans="1:14" s="11" customFormat="1" x14ac:dyDescent="0.25"/>
    <row r="5" spans="1:14" s="9" customFormat="1" ht="7.5" customHeight="1" x14ac:dyDescent="0.25">
      <c r="H5" s="13" t="s">
        <v>14</v>
      </c>
      <c r="I5" s="54"/>
      <c r="J5" s="54"/>
      <c r="K5" s="54"/>
      <c r="L5" s="54"/>
      <c r="M5" s="14" t="s">
        <v>14</v>
      </c>
    </row>
    <row r="6" spans="1:14" s="8" customFormat="1" x14ac:dyDescent="0.25">
      <c r="A6" s="12"/>
    </row>
    <row r="7" spans="1:14" s="8" customFormat="1" x14ac:dyDescent="0.25"/>
    <row r="8" spans="1:14" s="8" customFormat="1" x14ac:dyDescent="0.25">
      <c r="H8" s="53" t="s">
        <v>15</v>
      </c>
      <c r="I8" s="53"/>
      <c r="J8" s="53"/>
      <c r="K8" s="53"/>
      <c r="L8" s="53"/>
      <c r="M8" s="53"/>
    </row>
    <row r="9" spans="1:14" s="8" customFormat="1" ht="76.5" customHeight="1" x14ac:dyDescent="0.25">
      <c r="H9" s="53"/>
      <c r="I9" s="53"/>
      <c r="J9" s="53"/>
      <c r="K9" s="53"/>
      <c r="L9" s="53"/>
      <c r="M9" s="53"/>
    </row>
    <row r="10" spans="1:14" s="8" customFormat="1" x14ac:dyDescent="0.25">
      <c r="H10" s="53"/>
      <c r="I10" s="53"/>
      <c r="J10" s="53"/>
      <c r="K10" s="53"/>
      <c r="L10" s="53"/>
      <c r="M10" s="53"/>
    </row>
    <row r="11" spans="1:14" s="8" customFormat="1" x14ac:dyDescent="0.25">
      <c r="H11" s="53"/>
      <c r="I11" s="53"/>
      <c r="J11" s="53"/>
      <c r="K11" s="53"/>
      <c r="L11" s="53"/>
      <c r="M11" s="53"/>
    </row>
    <row r="12" spans="1:14" s="8" customFormat="1" x14ac:dyDescent="0.25"/>
    <row r="13" spans="1:14" s="8" customFormat="1" x14ac:dyDescent="0.25">
      <c r="A13" s="12"/>
    </row>
    <row r="14" spans="1:14" s="10" customFormat="1" ht="6" customHeight="1" x14ac:dyDescent="0.25">
      <c r="G14" s="13" t="s">
        <v>14</v>
      </c>
      <c r="H14" s="54"/>
      <c r="I14" s="54"/>
      <c r="J14" s="54"/>
      <c r="K14" s="54"/>
      <c r="L14" s="54"/>
      <c r="M14" s="54"/>
      <c r="N14" s="14" t="s">
        <v>14</v>
      </c>
    </row>
    <row r="15" spans="1:14" s="11" customFormat="1" x14ac:dyDescent="0.25"/>
    <row r="16" spans="1:14" s="11" customFormat="1" x14ac:dyDescent="0.25"/>
    <row r="17" s="11" customFormat="1" x14ac:dyDescent="0.25"/>
    <row r="18" s="11" customFormat="1" x14ac:dyDescent="0.25"/>
    <row r="19" s="11" customFormat="1" x14ac:dyDescent="0.25"/>
    <row r="20" s="11" customFormat="1" x14ac:dyDescent="0.25"/>
    <row r="21" s="11" customFormat="1" x14ac:dyDescent="0.25"/>
    <row r="22" s="11" customFormat="1" x14ac:dyDescent="0.25"/>
    <row r="23" s="11" customFormat="1" x14ac:dyDescent="0.25"/>
    <row r="24" s="11" customFormat="1" x14ac:dyDescent="0.25"/>
    <row r="25" s="11" customFormat="1" x14ac:dyDescent="0.25"/>
    <row r="26" s="11" customFormat="1" x14ac:dyDescent="0.25"/>
    <row r="27" s="11" customFormat="1" x14ac:dyDescent="0.25"/>
    <row r="28" s="11" customFormat="1" x14ac:dyDescent="0.25"/>
    <row r="29" s="11" customFormat="1" x14ac:dyDescent="0.25"/>
    <row r="30" s="11" customFormat="1" x14ac:dyDescent="0.25"/>
    <row r="31" s="11" customFormat="1" x14ac:dyDescent="0.25"/>
    <row r="32" s="11" customFormat="1" x14ac:dyDescent="0.25"/>
    <row r="33" s="11" customFormat="1" x14ac:dyDescent="0.25"/>
    <row r="34" s="11" customFormat="1" x14ac:dyDescent="0.25"/>
    <row r="35" s="11" customFormat="1" x14ac:dyDescent="0.25"/>
    <row r="36" s="11" customFormat="1" x14ac:dyDescent="0.25"/>
    <row r="37" s="11" customFormat="1" x14ac:dyDescent="0.25"/>
    <row r="38" s="11" customFormat="1" x14ac:dyDescent="0.25"/>
    <row r="39" s="11" customFormat="1" x14ac:dyDescent="0.25"/>
    <row r="40" s="11" customFormat="1" x14ac:dyDescent="0.25"/>
    <row r="41" s="11" customFormat="1" x14ac:dyDescent="0.25"/>
    <row r="42" s="11" customFormat="1" x14ac:dyDescent="0.25"/>
    <row r="43" s="11" customFormat="1" x14ac:dyDescent="0.25"/>
    <row r="44" s="11" customFormat="1" x14ac:dyDescent="0.25"/>
    <row r="45" s="11" customFormat="1" x14ac:dyDescent="0.25"/>
    <row r="46" s="11" customFormat="1" x14ac:dyDescent="0.25"/>
    <row r="47" s="11" customFormat="1" x14ac:dyDescent="0.25"/>
    <row r="48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</sheetData>
  <mergeCells count="3">
    <mergeCell ref="H8:M11"/>
    <mergeCell ref="H14:M14"/>
    <mergeCell ref="I5:L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L2"/>
  <sheetViews>
    <sheetView workbookViewId="0">
      <selection activeCell="D19" sqref="D19"/>
    </sheetView>
  </sheetViews>
  <sheetFormatPr defaultRowHeight="15" x14ac:dyDescent="0.25"/>
  <cols>
    <col min="2" max="2" width="8.85546875" customWidth="1"/>
    <col min="3" max="4" width="13.85546875" bestFit="1" customWidth="1"/>
    <col min="11" max="11" width="10.42578125" bestFit="1" customWidth="1"/>
  </cols>
  <sheetData>
    <row r="1" spans="1:12" x14ac:dyDescent="0.25">
      <c r="A1" t="s">
        <v>41</v>
      </c>
      <c r="B1" t="s">
        <v>42</v>
      </c>
      <c r="C1" t="s">
        <v>43</v>
      </c>
      <c r="D1" t="s">
        <v>44</v>
      </c>
      <c r="I1" t="s">
        <v>41</v>
      </c>
      <c r="J1" t="s">
        <v>42</v>
      </c>
      <c r="K1" t="s">
        <v>43</v>
      </c>
      <c r="L1" t="s">
        <v>44</v>
      </c>
    </row>
    <row r="2" spans="1:12" x14ac:dyDescent="0.25">
      <c r="A2">
        <v>2</v>
      </c>
      <c r="B2" t="s">
        <v>247</v>
      </c>
      <c r="C2" s="20">
        <f ca="1">NOW()</f>
        <v>45642.608366087959</v>
      </c>
      <c r="D2" s="20">
        <f ca="1">NOW()</f>
        <v>45642.608366087959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F10"/>
  <sheetViews>
    <sheetView workbookViewId="0"/>
  </sheetViews>
  <sheetFormatPr defaultRowHeight="15" x14ac:dyDescent="0.25"/>
  <cols>
    <col min="1" max="1" width="28.140625" customWidth="1"/>
    <col min="2" max="2" width="15.42578125" customWidth="1"/>
    <col min="3" max="3" width="12.7109375" customWidth="1"/>
    <col min="4" max="4" width="20.85546875" customWidth="1"/>
    <col min="5" max="5" width="16.7109375" customWidth="1"/>
    <col min="6" max="6" width="13.5703125" customWidth="1"/>
  </cols>
  <sheetData>
    <row r="1" spans="1:6" x14ac:dyDescent="0.25">
      <c r="A1" s="19" t="s">
        <v>16</v>
      </c>
      <c r="B1" s="19" t="s">
        <v>33</v>
      </c>
      <c r="C1" s="19" t="s">
        <v>34</v>
      </c>
      <c r="D1" s="19" t="s">
        <v>35</v>
      </c>
      <c r="E1" s="19" t="s">
        <v>36</v>
      </c>
      <c r="F1" s="19" t="s">
        <v>37</v>
      </c>
    </row>
    <row r="2" spans="1:6" x14ac:dyDescent="0.25">
      <c r="A2" t="s">
        <v>11</v>
      </c>
      <c r="B2" t="s">
        <v>17</v>
      </c>
      <c r="C2" t="s">
        <v>18</v>
      </c>
      <c r="D2" t="s">
        <v>19</v>
      </c>
      <c r="E2" s="15"/>
      <c r="F2" t="s">
        <v>32</v>
      </c>
    </row>
    <row r="3" spans="1:6" x14ac:dyDescent="0.25">
      <c r="A3" t="s">
        <v>11</v>
      </c>
      <c r="B3" t="s">
        <v>17</v>
      </c>
      <c r="C3" t="s">
        <v>21</v>
      </c>
      <c r="D3" t="s">
        <v>19</v>
      </c>
      <c r="E3" s="15"/>
      <c r="F3" t="s">
        <v>32</v>
      </c>
    </row>
    <row r="4" spans="1:6" x14ac:dyDescent="0.25">
      <c r="A4" t="s">
        <v>24</v>
      </c>
      <c r="B4" t="s">
        <v>17</v>
      </c>
      <c r="C4" t="s">
        <v>11</v>
      </c>
      <c r="D4" t="s">
        <v>25</v>
      </c>
      <c r="E4" s="15">
        <v>45093.667662037034</v>
      </c>
      <c r="F4" t="s">
        <v>32</v>
      </c>
    </row>
    <row r="5" spans="1:6" x14ac:dyDescent="0.25">
      <c r="A5" t="s">
        <v>24</v>
      </c>
      <c r="B5" t="s">
        <v>17</v>
      </c>
      <c r="C5" t="s">
        <v>26</v>
      </c>
      <c r="D5" t="s">
        <v>25</v>
      </c>
      <c r="E5" s="15">
        <v>45093.667662037034</v>
      </c>
      <c r="F5" t="s">
        <v>32</v>
      </c>
    </row>
    <row r="6" spans="1:6" x14ac:dyDescent="0.25">
      <c r="A6" t="s">
        <v>31</v>
      </c>
      <c r="B6" t="s">
        <v>17</v>
      </c>
      <c r="C6" t="s">
        <v>11</v>
      </c>
      <c r="D6" t="s">
        <v>25</v>
      </c>
      <c r="E6" s="15">
        <v>45096.451620370368</v>
      </c>
      <c r="F6" t="s">
        <v>20</v>
      </c>
    </row>
    <row r="7" spans="1:6" x14ac:dyDescent="0.25">
      <c r="A7" t="s">
        <v>31</v>
      </c>
      <c r="B7" t="s">
        <v>17</v>
      </c>
      <c r="C7" t="s">
        <v>12</v>
      </c>
      <c r="D7" t="s">
        <v>25</v>
      </c>
      <c r="E7" s="15">
        <v>45096.451620370368</v>
      </c>
      <c r="F7" t="s">
        <v>20</v>
      </c>
    </row>
    <row r="8" spans="1:6" x14ac:dyDescent="0.25">
      <c r="A8" t="s">
        <v>31</v>
      </c>
      <c r="B8" t="s">
        <v>17</v>
      </c>
      <c r="C8" t="s">
        <v>13</v>
      </c>
      <c r="D8" t="s">
        <v>25</v>
      </c>
      <c r="E8" s="15">
        <v>45096.451620370368</v>
      </c>
      <c r="F8" t="s">
        <v>20</v>
      </c>
    </row>
    <row r="9" spans="1:6" x14ac:dyDescent="0.25">
      <c r="E9" s="15"/>
    </row>
    <row r="10" spans="1:6" x14ac:dyDescent="0.25">
      <c r="E1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P1048576"/>
  <sheetViews>
    <sheetView showGridLines="0" topLeftCell="T1" zoomScaleNormal="100" workbookViewId="0">
      <selection activeCell="Y4" sqref="Y4"/>
    </sheetView>
  </sheetViews>
  <sheetFormatPr defaultRowHeight="15" x14ac:dyDescent="0.25"/>
  <cols>
    <col min="1" max="1" width="2.85546875" customWidth="1"/>
    <col min="2" max="2" width="34.7109375" customWidth="1"/>
    <col min="3" max="3" width="0.85546875" customWidth="1"/>
    <col min="4" max="4" width="17.140625" customWidth="1"/>
    <col min="5" max="5" width="14.140625" customWidth="1"/>
    <col min="6" max="6" width="8" customWidth="1"/>
    <col min="7" max="7" width="0.7109375" customWidth="1"/>
    <col min="9" max="9" width="6.140625" style="21" customWidth="1"/>
    <col min="10" max="10" width="10.42578125" style="33" customWidth="1"/>
    <col min="11" max="11" width="12.85546875" style="33" customWidth="1"/>
    <col min="12" max="12" width="13" style="33" customWidth="1"/>
    <col min="13" max="13" width="15.42578125" style="33" customWidth="1"/>
    <col min="14" max="14" width="16.85546875" style="21" customWidth="1"/>
    <col min="15" max="15" width="10.7109375" style="21" customWidth="1"/>
    <col min="16" max="16" width="9.140625" style="21"/>
    <col min="17" max="17" width="10.7109375" style="21" customWidth="1"/>
    <col min="18" max="18" width="31.85546875" style="21" bestFit="1" customWidth="1"/>
    <col min="19" max="19" width="36.7109375" style="21" bestFit="1" customWidth="1"/>
    <col min="20" max="20" width="4.85546875" customWidth="1"/>
    <col min="21" max="21" width="12" customWidth="1"/>
    <col min="22" max="22" width="12.5703125" customWidth="1"/>
    <col min="23" max="23" width="17.42578125" bestFit="1" customWidth="1"/>
    <col min="24" max="24" width="3.140625" customWidth="1"/>
    <col min="25" max="25" width="7.42578125" customWidth="1"/>
    <col min="26" max="26" width="14.7109375" style="33" bestFit="1" customWidth="1"/>
    <col min="27" max="27" width="13.85546875" style="40" bestFit="1" customWidth="1"/>
    <col min="28" max="28" width="12.42578125" bestFit="1" customWidth="1"/>
    <col min="29" max="30" width="14.7109375" customWidth="1"/>
    <col min="31" max="31" width="18.85546875" customWidth="1"/>
    <col min="32" max="32" width="3.7109375" customWidth="1"/>
    <col min="33" max="33" width="22.28515625" bestFit="1" customWidth="1"/>
    <col min="34" max="34" width="14.28515625" bestFit="1" customWidth="1"/>
    <col min="35" max="35" width="22.28515625" style="40" bestFit="1" customWidth="1"/>
    <col min="36" max="36" width="10.140625" bestFit="1" customWidth="1"/>
    <col min="37" max="37" width="3.5703125" customWidth="1"/>
    <col min="38" max="38" width="20.5703125" bestFit="1" customWidth="1"/>
    <col min="39" max="39" width="6.5703125" customWidth="1"/>
    <col min="41" max="41" width="11.5703125" customWidth="1"/>
    <col min="42" max="42" width="10.7109375" style="40" bestFit="1" customWidth="1"/>
  </cols>
  <sheetData>
    <row r="1" spans="1:42" x14ac:dyDescent="0.25"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t="s">
        <v>0</v>
      </c>
    </row>
    <row r="2" spans="1:42" ht="20.25" customHeight="1" x14ac:dyDescent="0.25">
      <c r="A2" s="59"/>
      <c r="B2" s="26" t="s">
        <v>251</v>
      </c>
      <c r="C2" s="26"/>
      <c r="D2" s="27" t="s">
        <v>51</v>
      </c>
      <c r="E2" s="26"/>
      <c r="F2" s="28" t="s">
        <v>53</v>
      </c>
      <c r="G2" s="22"/>
      <c r="I2" s="35" t="s">
        <v>128</v>
      </c>
      <c r="J2" s="35"/>
      <c r="K2" s="35"/>
      <c r="L2" s="35"/>
      <c r="M2" s="35"/>
      <c r="N2" s="27"/>
      <c r="O2" s="27"/>
      <c r="P2" s="27"/>
      <c r="Q2" s="27"/>
      <c r="R2" s="27"/>
      <c r="S2" s="27"/>
      <c r="U2" s="26"/>
      <c r="V2" s="26"/>
      <c r="W2" s="27"/>
      <c r="Y2" s="60" t="s">
        <v>124</v>
      </c>
      <c r="Z2" s="61"/>
      <c r="AA2" s="61"/>
      <c r="AB2" s="62"/>
      <c r="AC2" s="55" t="s">
        <v>109</v>
      </c>
      <c r="AD2" s="56"/>
      <c r="AE2" s="56"/>
      <c r="AG2" s="26" t="s">
        <v>110</v>
      </c>
      <c r="AH2" s="26"/>
      <c r="AI2" s="26"/>
      <c r="AJ2" s="26"/>
      <c r="AL2" s="26"/>
      <c r="AN2" s="26" t="s">
        <v>0</v>
      </c>
      <c r="AO2" s="26"/>
      <c r="AP2" s="26"/>
    </row>
    <row r="3" spans="1:42" x14ac:dyDescent="0.25">
      <c r="A3" s="59"/>
      <c r="B3" s="23" t="s">
        <v>38</v>
      </c>
      <c r="C3" s="21"/>
      <c r="D3" s="31">
        <v>1201</v>
      </c>
      <c r="E3" s="24"/>
      <c r="F3" s="24" t="b">
        <f>D3=Setting!D2</f>
        <v>1</v>
      </c>
      <c r="G3" s="22"/>
      <c r="I3" s="41" t="s">
        <v>77</v>
      </c>
      <c r="J3" s="32" t="s">
        <v>73</v>
      </c>
      <c r="K3" s="32" t="s">
        <v>81</v>
      </c>
      <c r="L3" s="32" t="s">
        <v>84</v>
      </c>
      <c r="M3" s="32" t="s">
        <v>82</v>
      </c>
      <c r="N3" s="41" t="s">
        <v>83</v>
      </c>
      <c r="O3" s="41" t="s">
        <v>74</v>
      </c>
      <c r="P3" s="41" t="s">
        <v>75</v>
      </c>
      <c r="Q3" s="41" t="s">
        <v>218</v>
      </c>
      <c r="R3" s="41" t="s">
        <v>249</v>
      </c>
      <c r="S3" s="41" t="s">
        <v>250</v>
      </c>
      <c r="U3" s="23" t="s">
        <v>77</v>
      </c>
      <c r="V3" s="23" t="s">
        <v>78</v>
      </c>
      <c r="W3" s="23" t="s">
        <v>80</v>
      </c>
      <c r="Y3" s="34" t="s">
        <v>77</v>
      </c>
      <c r="Z3" s="36" t="s">
        <v>122</v>
      </c>
      <c r="AA3" s="51" t="s">
        <v>123</v>
      </c>
      <c r="AB3" s="34" t="s">
        <v>125</v>
      </c>
      <c r="AC3" s="23" t="s">
        <v>77</v>
      </c>
      <c r="AD3" s="23" t="s">
        <v>458</v>
      </c>
      <c r="AE3" s="23" t="s">
        <v>459</v>
      </c>
      <c r="AG3" s="23" t="s">
        <v>111</v>
      </c>
      <c r="AH3" s="23" t="s">
        <v>112</v>
      </c>
      <c r="AI3" s="41" t="s">
        <v>224</v>
      </c>
      <c r="AJ3" s="23" t="s">
        <v>119</v>
      </c>
      <c r="AL3" s="32" t="s">
        <v>214</v>
      </c>
      <c r="AN3" s="23" t="s">
        <v>77</v>
      </c>
      <c r="AO3" s="23" t="s">
        <v>0</v>
      </c>
      <c r="AP3" s="23" t="s">
        <v>224</v>
      </c>
    </row>
    <row r="4" spans="1:42" x14ac:dyDescent="0.25">
      <c r="A4" s="59"/>
      <c r="B4" s="23" t="s">
        <v>39</v>
      </c>
      <c r="C4" s="21"/>
      <c r="D4" s="31" t="s">
        <v>57</v>
      </c>
      <c r="E4" s="24"/>
      <c r="F4" s="24" t="b">
        <f>D4=Setting!N2</f>
        <v>1</v>
      </c>
      <c r="G4" s="22"/>
      <c r="I4" s="21">
        <v>1</v>
      </c>
      <c r="J4" s="33">
        <v>24003075</v>
      </c>
      <c r="K4" s="33">
        <v>239202</v>
      </c>
      <c r="L4" s="33">
        <v>58071000</v>
      </c>
      <c r="M4" s="33" t="s">
        <v>466</v>
      </c>
      <c r="N4" s="21">
        <v>3900</v>
      </c>
      <c r="O4" s="21" t="s">
        <v>91</v>
      </c>
      <c r="Q4" s="21" t="s">
        <v>470</v>
      </c>
      <c r="R4" s="21">
        <v>184.5676</v>
      </c>
      <c r="S4" s="21">
        <v>719813.64</v>
      </c>
      <c r="U4">
        <v>1</v>
      </c>
      <c r="V4">
        <v>1</v>
      </c>
      <c r="W4" s="33" t="s">
        <v>121</v>
      </c>
      <c r="Y4">
        <v>1</v>
      </c>
      <c r="Z4" s="50">
        <v>24003075</v>
      </c>
      <c r="AA4" s="40">
        <v>45642</v>
      </c>
      <c r="AB4">
        <v>343</v>
      </c>
      <c r="AC4">
        <v>1</v>
      </c>
      <c r="AD4" t="s">
        <v>458</v>
      </c>
      <c r="AE4" t="s">
        <v>471</v>
      </c>
      <c r="AG4" t="s">
        <v>221</v>
      </c>
      <c r="AH4" t="s">
        <v>113</v>
      </c>
      <c r="AI4" s="40">
        <v>45642</v>
      </c>
      <c r="AJ4" t="str">
        <f>IF($D$3=1201,"BANDUNG","CIREBON")</f>
        <v>BANDUNG</v>
      </c>
      <c r="AL4">
        <v>21</v>
      </c>
    </row>
    <row r="5" spans="1:42" x14ac:dyDescent="0.25">
      <c r="A5" s="59"/>
      <c r="B5" s="23" t="s">
        <v>52</v>
      </c>
      <c r="C5" s="21"/>
      <c r="D5" s="25" t="s">
        <v>56</v>
      </c>
      <c r="E5" s="24"/>
      <c r="F5" s="24" t="b">
        <v>1</v>
      </c>
      <c r="G5" s="22"/>
      <c r="I5" s="21">
        <v>2</v>
      </c>
      <c r="J5" s="33">
        <v>24003075</v>
      </c>
      <c r="K5" s="33">
        <v>239203</v>
      </c>
      <c r="L5" s="33">
        <v>58071000</v>
      </c>
      <c r="M5" s="33" t="s">
        <v>467</v>
      </c>
      <c r="N5" s="21">
        <v>7400</v>
      </c>
      <c r="O5" s="21" t="s">
        <v>91</v>
      </c>
      <c r="Q5" s="21" t="s">
        <v>470</v>
      </c>
      <c r="R5" s="21">
        <v>184.5676</v>
      </c>
      <c r="S5" s="21">
        <v>1365800.24</v>
      </c>
      <c r="Y5">
        <v>2</v>
      </c>
      <c r="Z5" s="50" t="s">
        <v>475</v>
      </c>
      <c r="AA5" s="40">
        <v>45640</v>
      </c>
      <c r="AB5">
        <v>640</v>
      </c>
      <c r="AI5" s="40">
        <v>45642</v>
      </c>
    </row>
    <row r="6" spans="1:42" x14ac:dyDescent="0.25">
      <c r="A6" s="59"/>
      <c r="B6" s="23" t="s">
        <v>45</v>
      </c>
      <c r="C6" s="22"/>
      <c r="D6" s="25">
        <v>50500</v>
      </c>
      <c r="E6" s="24"/>
      <c r="F6" s="24" t="b">
        <f>D6=Setting!N4</f>
        <v>1</v>
      </c>
      <c r="G6" s="22"/>
      <c r="I6" s="21">
        <v>3</v>
      </c>
      <c r="J6" s="33">
        <v>24003075</v>
      </c>
      <c r="K6" s="33">
        <v>239204</v>
      </c>
      <c r="L6" s="33">
        <v>58071000</v>
      </c>
      <c r="M6" s="33" t="s">
        <v>468</v>
      </c>
      <c r="N6" s="21">
        <v>6600</v>
      </c>
      <c r="O6" s="21" t="s">
        <v>91</v>
      </c>
      <c r="Q6" s="21" t="s">
        <v>470</v>
      </c>
      <c r="R6" s="21">
        <v>184.5676</v>
      </c>
      <c r="S6" s="21">
        <v>1218146.1599999999</v>
      </c>
      <c r="Z6" s="50"/>
    </row>
    <row r="7" spans="1:42" x14ac:dyDescent="0.25">
      <c r="A7" s="59"/>
      <c r="B7" s="23" t="s">
        <v>48</v>
      </c>
      <c r="C7" s="22"/>
      <c r="D7" s="25">
        <v>40</v>
      </c>
      <c r="E7" s="24"/>
      <c r="F7" s="24" t="b">
        <f>D7=Setting!N5</f>
        <v>1</v>
      </c>
      <c r="G7" s="22"/>
      <c r="I7" s="21">
        <v>4</v>
      </c>
      <c r="J7" s="33">
        <v>24003075</v>
      </c>
      <c r="K7" s="33">
        <v>239205</v>
      </c>
      <c r="L7" s="33">
        <v>58071000</v>
      </c>
      <c r="M7" s="33" t="s">
        <v>469</v>
      </c>
      <c r="N7" s="21">
        <v>6400</v>
      </c>
      <c r="O7" s="21" t="s">
        <v>91</v>
      </c>
      <c r="Q7" s="21" t="s">
        <v>470</v>
      </c>
      <c r="R7" s="21">
        <v>184.5676</v>
      </c>
      <c r="S7" s="21">
        <v>1181232.6399999999</v>
      </c>
    </row>
    <row r="8" spans="1:42" x14ac:dyDescent="0.25">
      <c r="A8" s="59"/>
      <c r="B8" s="23" t="s">
        <v>47</v>
      </c>
      <c r="C8" s="22"/>
      <c r="D8" s="31" t="s">
        <v>477</v>
      </c>
      <c r="E8" s="24"/>
      <c r="F8" s="24" t="b">
        <v>1</v>
      </c>
      <c r="G8" s="22"/>
      <c r="I8" s="21">
        <v>5</v>
      </c>
      <c r="J8" s="33">
        <v>24003075</v>
      </c>
      <c r="K8" s="33">
        <v>239206</v>
      </c>
      <c r="L8" s="33">
        <v>58071000</v>
      </c>
      <c r="M8" s="33" t="s">
        <v>473</v>
      </c>
      <c r="N8" s="21">
        <v>1500</v>
      </c>
      <c r="O8" s="21" t="s">
        <v>91</v>
      </c>
      <c r="Q8" s="21" t="s">
        <v>470</v>
      </c>
      <c r="R8" s="21">
        <v>184.5676</v>
      </c>
      <c r="S8" s="21">
        <v>276851.40000000002</v>
      </c>
      <c r="Z8" s="50"/>
    </row>
    <row r="9" spans="1:42" x14ac:dyDescent="0.25">
      <c r="A9" s="59"/>
      <c r="B9" s="23" t="s">
        <v>46</v>
      </c>
      <c r="C9" s="22"/>
      <c r="D9" s="24" t="s">
        <v>60</v>
      </c>
      <c r="E9" s="24"/>
      <c r="F9" s="24" t="b">
        <v>1</v>
      </c>
      <c r="G9" s="22"/>
      <c r="I9" s="21">
        <v>6</v>
      </c>
      <c r="J9" s="33">
        <v>24003075</v>
      </c>
      <c r="K9" s="33">
        <v>252520</v>
      </c>
      <c r="L9" s="33">
        <v>58071000</v>
      </c>
      <c r="M9" s="33" t="s">
        <v>474</v>
      </c>
      <c r="N9" s="21">
        <v>1500</v>
      </c>
      <c r="O9" s="21" t="s">
        <v>91</v>
      </c>
      <c r="Q9" s="21" t="s">
        <v>470</v>
      </c>
      <c r="R9" s="21">
        <v>184.5676</v>
      </c>
      <c r="S9" s="21">
        <v>276851.40000000002</v>
      </c>
      <c r="Z9" s="50"/>
    </row>
    <row r="10" spans="1:42" x14ac:dyDescent="0.25">
      <c r="A10" s="59"/>
      <c r="B10" s="23" t="s">
        <v>49</v>
      </c>
      <c r="C10" s="22"/>
      <c r="D10" s="24" t="s">
        <v>69</v>
      </c>
      <c r="E10" s="24"/>
      <c r="F10" s="24" t="b">
        <v>1</v>
      </c>
      <c r="G10" s="22"/>
      <c r="Z10" s="50"/>
    </row>
    <row r="11" spans="1:42" x14ac:dyDescent="0.25">
      <c r="A11" s="59"/>
      <c r="B11" s="23"/>
      <c r="C11" s="22"/>
      <c r="D11" s="24"/>
      <c r="E11" s="24"/>
      <c r="F11" s="24"/>
      <c r="G11" s="22"/>
      <c r="Z11" s="50"/>
    </row>
    <row r="12" spans="1:42" ht="12" customHeight="1" x14ac:dyDescent="0.25">
      <c r="A12" s="59"/>
      <c r="B12" s="10"/>
      <c r="C12" s="10"/>
      <c r="D12" s="10"/>
      <c r="E12" s="10"/>
      <c r="F12" s="10"/>
      <c r="G12" s="22"/>
    </row>
    <row r="13" spans="1:42" ht="16.5" customHeight="1" x14ac:dyDescent="0.25">
      <c r="A13" s="59"/>
      <c r="B13" s="22"/>
      <c r="C13" s="22"/>
      <c r="D13" s="22"/>
      <c r="E13" s="22"/>
      <c r="F13" s="22"/>
      <c r="G13" s="22"/>
    </row>
    <row r="14" spans="1:42" ht="20.25" customHeight="1" x14ac:dyDescent="0.25">
      <c r="A14" s="57">
        <v>2</v>
      </c>
      <c r="B14" s="26" t="s">
        <v>252</v>
      </c>
      <c r="C14" s="26"/>
      <c r="D14" s="27" t="s">
        <v>51</v>
      </c>
      <c r="E14" s="27"/>
      <c r="F14" s="28" t="s">
        <v>53</v>
      </c>
      <c r="G14" s="22"/>
    </row>
    <row r="15" spans="1:42" x14ac:dyDescent="0.25">
      <c r="A15" s="57"/>
      <c r="B15" s="23" t="s">
        <v>54</v>
      </c>
      <c r="C15" s="21"/>
      <c r="D15" s="25" t="s">
        <v>464</v>
      </c>
      <c r="E15" s="24"/>
      <c r="F15" s="24" t="b">
        <v>1</v>
      </c>
      <c r="G15" s="22"/>
    </row>
    <row r="16" spans="1:42" x14ac:dyDescent="0.25">
      <c r="A16" s="57"/>
      <c r="B16" s="23" t="s">
        <v>39</v>
      </c>
      <c r="C16" s="22"/>
      <c r="D16" s="31" t="s">
        <v>465</v>
      </c>
      <c r="E16" s="24"/>
      <c r="F16" s="24" t="b">
        <v>1</v>
      </c>
      <c r="G16" s="22"/>
    </row>
    <row r="17" spans="1:7" ht="135" x14ac:dyDescent="0.25">
      <c r="A17" s="57"/>
      <c r="B17" s="23" t="s">
        <v>455</v>
      </c>
      <c r="C17" s="22"/>
      <c r="D17" s="52" t="s">
        <v>451</v>
      </c>
      <c r="E17" s="24"/>
      <c r="F17" s="24" t="b">
        <v>1</v>
      </c>
      <c r="G17" s="22"/>
    </row>
    <row r="18" spans="1:7" ht="16.5" customHeight="1" x14ac:dyDescent="0.25">
      <c r="A18" s="57"/>
      <c r="B18" s="22"/>
      <c r="C18" s="22"/>
      <c r="D18" s="22"/>
      <c r="E18" s="22"/>
      <c r="F18" s="22"/>
      <c r="G18" s="22"/>
    </row>
    <row r="1048575" spans="27:27" x14ac:dyDescent="0.25">
      <c r="AA1048575"/>
    </row>
    <row r="1048576" spans="27:27" x14ac:dyDescent="0.25">
      <c r="AA1048576"/>
    </row>
  </sheetData>
  <autoFilter ref="Y3:AB6" xr:uid="{00000000-0001-0000-0300-000000000000}">
    <sortState xmlns:xlrd2="http://schemas.microsoft.com/office/spreadsheetml/2017/richdata2" ref="Y4:AB6">
      <sortCondition ref="Y3"/>
    </sortState>
  </autoFilter>
  <dataConsolidate/>
  <mergeCells count="8">
    <mergeCell ref="AC2:AE2"/>
    <mergeCell ref="A14:A18"/>
    <mergeCell ref="B1:H1"/>
    <mergeCell ref="I1:T1"/>
    <mergeCell ref="U1:X1"/>
    <mergeCell ref="Y1:AB1"/>
    <mergeCell ref="A2:A13"/>
    <mergeCell ref="Y2:A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1:BN7"/>
  <sheetViews>
    <sheetView topLeftCell="Y1" workbookViewId="0">
      <selection activeCell="AH2" sqref="AH2:AH8"/>
    </sheetView>
  </sheetViews>
  <sheetFormatPr defaultRowHeight="15" x14ac:dyDescent="0.25"/>
  <cols>
    <col min="1" max="1" width="14" customWidth="1"/>
    <col min="2" max="2" width="15.42578125" customWidth="1"/>
    <col min="3" max="3" width="18.7109375" customWidth="1"/>
    <col min="4" max="4" width="16.28515625" customWidth="1"/>
    <col min="5" max="5" width="64.7109375" customWidth="1"/>
    <col min="9" max="9" width="17.7109375" bestFit="1" customWidth="1"/>
    <col min="10" max="10" width="15.28515625" bestFit="1" customWidth="1"/>
    <col min="11" max="11" width="18" bestFit="1" customWidth="1"/>
    <col min="12" max="12" width="19.7109375" customWidth="1"/>
    <col min="13" max="13" width="22.5703125" customWidth="1"/>
    <col min="14" max="14" width="23.42578125" bestFit="1" customWidth="1"/>
    <col min="15" max="15" width="21.140625" bestFit="1" customWidth="1"/>
    <col min="16" max="16" width="23.28515625" bestFit="1" customWidth="1"/>
    <col min="17" max="17" width="24.7109375" bestFit="1" customWidth="1"/>
    <col min="18" max="18" width="19" bestFit="1" customWidth="1"/>
    <col min="19" max="19" width="20" bestFit="1" customWidth="1"/>
    <col min="20" max="20" width="12.42578125" style="43" customWidth="1"/>
    <col min="22" max="22" width="10.5703125" customWidth="1"/>
    <col min="23" max="23" width="14.28515625" bestFit="1" customWidth="1"/>
    <col min="32" max="32" width="15.5703125" bestFit="1" customWidth="1"/>
    <col min="33" max="33" width="8.5703125" bestFit="1" customWidth="1"/>
    <col min="34" max="34" width="22.42578125" bestFit="1" customWidth="1"/>
    <col min="35" max="35" width="20.7109375" bestFit="1" customWidth="1"/>
    <col min="36" max="36" width="16.85546875" bestFit="1" customWidth="1"/>
    <col min="37" max="37" width="16.42578125" bestFit="1" customWidth="1"/>
    <col min="40" max="40" width="11.42578125" bestFit="1" customWidth="1"/>
    <col min="41" max="41" width="19.85546875" bestFit="1" customWidth="1"/>
    <col min="42" max="42" width="13.85546875" bestFit="1" customWidth="1"/>
    <col min="62" max="62" width="18.42578125" bestFit="1" customWidth="1"/>
    <col min="66" max="66" width="12.85546875" bestFit="1" customWidth="1"/>
  </cols>
  <sheetData>
    <row r="1" spans="1:66" ht="15.75" x14ac:dyDescent="0.25">
      <c r="A1" s="37" t="s">
        <v>16</v>
      </c>
      <c r="B1" s="37" t="s">
        <v>130</v>
      </c>
      <c r="C1" s="37" t="s">
        <v>131</v>
      </c>
      <c r="D1" s="37" t="s">
        <v>132</v>
      </c>
      <c r="E1" s="37" t="s">
        <v>133</v>
      </c>
      <c r="F1" s="37" t="s">
        <v>134</v>
      </c>
      <c r="G1" s="37" t="s">
        <v>135</v>
      </c>
      <c r="H1" s="37" t="s">
        <v>136</v>
      </c>
      <c r="I1" s="37" t="s">
        <v>137</v>
      </c>
      <c r="J1" s="37" t="s">
        <v>138</v>
      </c>
      <c r="K1" s="37" t="s">
        <v>139</v>
      </c>
      <c r="L1" s="37" t="s">
        <v>140</v>
      </c>
      <c r="M1" s="37" t="s">
        <v>141</v>
      </c>
      <c r="N1" s="37" t="s">
        <v>143</v>
      </c>
      <c r="O1" s="37" t="s">
        <v>144</v>
      </c>
      <c r="P1" s="37" t="s">
        <v>145</v>
      </c>
      <c r="Q1" s="37" t="s">
        <v>146</v>
      </c>
      <c r="R1" s="37" t="s">
        <v>147</v>
      </c>
      <c r="S1" s="37" t="s">
        <v>148</v>
      </c>
      <c r="T1" s="37" t="s">
        <v>75</v>
      </c>
      <c r="U1" s="37" t="s">
        <v>120</v>
      </c>
      <c r="V1" s="37" t="s">
        <v>142</v>
      </c>
      <c r="W1" s="37" t="s">
        <v>149</v>
      </c>
      <c r="X1" s="37" t="s">
        <v>150</v>
      </c>
      <c r="Y1" s="37" t="s">
        <v>151</v>
      </c>
      <c r="Z1" s="37" t="s">
        <v>152</v>
      </c>
      <c r="AA1" s="37" t="s">
        <v>153</v>
      </c>
      <c r="AB1" s="37" t="s">
        <v>154</v>
      </c>
      <c r="AC1" s="37" t="s">
        <v>155</v>
      </c>
      <c r="AD1" s="37" t="s">
        <v>156</v>
      </c>
      <c r="AE1" s="37" t="s">
        <v>157</v>
      </c>
      <c r="AF1" s="37" t="s">
        <v>158</v>
      </c>
      <c r="AG1" s="37" t="s">
        <v>159</v>
      </c>
      <c r="AH1" s="37" t="s">
        <v>129</v>
      </c>
      <c r="AI1" s="37" t="s">
        <v>160</v>
      </c>
      <c r="AJ1" s="37" t="s">
        <v>161</v>
      </c>
      <c r="AK1" s="37" t="s">
        <v>162</v>
      </c>
      <c r="AL1" s="37" t="s">
        <v>163</v>
      </c>
      <c r="AM1" s="37" t="s">
        <v>164</v>
      </c>
      <c r="AN1" s="37" t="s">
        <v>165</v>
      </c>
      <c r="AO1" s="37" t="s">
        <v>166</v>
      </c>
      <c r="AP1" s="37" t="s">
        <v>167</v>
      </c>
      <c r="AQ1" s="37" t="s">
        <v>168</v>
      </c>
      <c r="AR1" s="37" t="s">
        <v>169</v>
      </c>
      <c r="AS1" s="37" t="s">
        <v>170</v>
      </c>
      <c r="AT1" s="37" t="s">
        <v>171</v>
      </c>
      <c r="AU1" s="37" t="s">
        <v>172</v>
      </c>
      <c r="AV1" s="37" t="s">
        <v>173</v>
      </c>
      <c r="AW1" s="37" t="s">
        <v>174</v>
      </c>
      <c r="AX1" s="37" t="s">
        <v>175</v>
      </c>
      <c r="AY1" s="37" t="s">
        <v>176</v>
      </c>
      <c r="AZ1" s="37" t="s">
        <v>177</v>
      </c>
      <c r="BA1" s="37" t="s">
        <v>178</v>
      </c>
      <c r="BB1" s="37" t="s">
        <v>179</v>
      </c>
      <c r="BC1" s="37" t="s">
        <v>180</v>
      </c>
      <c r="BD1" s="37" t="s">
        <v>181</v>
      </c>
      <c r="BE1" s="37" t="s">
        <v>182</v>
      </c>
      <c r="BF1" s="37" t="s">
        <v>183</v>
      </c>
      <c r="BG1" s="37" t="s">
        <v>184</v>
      </c>
      <c r="BH1" s="37" t="s">
        <v>185</v>
      </c>
      <c r="BI1" s="37" t="s">
        <v>186</v>
      </c>
      <c r="BJ1" s="37" t="s">
        <v>187</v>
      </c>
      <c r="BK1" s="37" t="s">
        <v>188</v>
      </c>
      <c r="BL1" s="37" t="s">
        <v>189</v>
      </c>
      <c r="BM1" s="37" t="s">
        <v>190</v>
      </c>
      <c r="BN1" s="37" t="s">
        <v>191</v>
      </c>
    </row>
    <row r="2" spans="1:66" x14ac:dyDescent="0.25">
      <c r="B2">
        <v>1</v>
      </c>
      <c r="C2">
        <v>58071000</v>
      </c>
      <c r="D2">
        <v>239202</v>
      </c>
      <c r="E2" t="s">
        <v>466</v>
      </c>
      <c r="J2" t="s">
        <v>91</v>
      </c>
      <c r="K2">
        <v>3900</v>
      </c>
      <c r="L2" t="s">
        <v>121</v>
      </c>
      <c r="M2">
        <v>1</v>
      </c>
      <c r="T2" s="43">
        <v>5</v>
      </c>
      <c r="AH2">
        <v>719813.64</v>
      </c>
    </row>
    <row r="3" spans="1:66" x14ac:dyDescent="0.25">
      <c r="B3">
        <v>2</v>
      </c>
      <c r="C3">
        <v>58071000</v>
      </c>
      <c r="D3">
        <v>239203</v>
      </c>
      <c r="E3" t="s">
        <v>467</v>
      </c>
      <c r="J3" t="s">
        <v>91</v>
      </c>
      <c r="K3">
        <v>7400</v>
      </c>
      <c r="L3" t="s">
        <v>121</v>
      </c>
      <c r="M3">
        <v>0</v>
      </c>
      <c r="T3" s="43">
        <v>3</v>
      </c>
      <c r="AH3">
        <v>1365800.24</v>
      </c>
    </row>
    <row r="4" spans="1:66" x14ac:dyDescent="0.25">
      <c r="B4">
        <v>3</v>
      </c>
      <c r="C4">
        <v>58071000</v>
      </c>
      <c r="D4">
        <v>239204</v>
      </c>
      <c r="E4" t="s">
        <v>468</v>
      </c>
      <c r="J4" t="s">
        <v>91</v>
      </c>
      <c r="K4">
        <v>6600</v>
      </c>
      <c r="L4" t="s">
        <v>121</v>
      </c>
      <c r="M4">
        <v>0</v>
      </c>
      <c r="T4" s="43">
        <v>3</v>
      </c>
      <c r="AH4">
        <v>1218146.1599999999</v>
      </c>
    </row>
    <row r="5" spans="1:66" x14ac:dyDescent="0.25">
      <c r="B5">
        <v>4</v>
      </c>
      <c r="C5">
        <v>58071000</v>
      </c>
      <c r="D5">
        <v>239205</v>
      </c>
      <c r="E5" t="s">
        <v>469</v>
      </c>
      <c r="J5" t="s">
        <v>91</v>
      </c>
      <c r="K5">
        <v>6400</v>
      </c>
      <c r="L5" t="s">
        <v>121</v>
      </c>
      <c r="M5">
        <v>0</v>
      </c>
      <c r="T5" s="43">
        <v>3</v>
      </c>
      <c r="AH5">
        <v>1181232.6399999999</v>
      </c>
    </row>
    <row r="6" spans="1:66" x14ac:dyDescent="0.25">
      <c r="B6">
        <v>5</v>
      </c>
      <c r="C6">
        <v>58071000</v>
      </c>
      <c r="D6">
        <v>239206</v>
      </c>
      <c r="E6" t="s">
        <v>473</v>
      </c>
      <c r="J6" t="s">
        <v>91</v>
      </c>
      <c r="K6">
        <v>1500</v>
      </c>
      <c r="L6" t="s">
        <v>121</v>
      </c>
      <c r="M6">
        <v>0</v>
      </c>
      <c r="T6" s="43">
        <v>3</v>
      </c>
      <c r="AH6">
        <v>276851.40000000002</v>
      </c>
    </row>
    <row r="7" spans="1:66" x14ac:dyDescent="0.25">
      <c r="B7">
        <v>6</v>
      </c>
      <c r="C7">
        <v>58071000</v>
      </c>
      <c r="D7">
        <v>252520</v>
      </c>
      <c r="E7" t="s">
        <v>474</v>
      </c>
      <c r="J7" t="s">
        <v>91</v>
      </c>
      <c r="K7">
        <v>1500</v>
      </c>
      <c r="L7" t="s">
        <v>121</v>
      </c>
      <c r="M7">
        <v>0</v>
      </c>
      <c r="T7" s="43">
        <v>3</v>
      </c>
      <c r="AH7">
        <v>276851.40000000002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CZ104"/>
  <sheetViews>
    <sheetView zoomScale="85" zoomScaleNormal="85" workbookViewId="0">
      <selection activeCell="K13" sqref="K13"/>
    </sheetView>
  </sheetViews>
  <sheetFormatPr defaultRowHeight="15" x14ac:dyDescent="0.25"/>
  <cols>
    <col min="1" max="1" width="11.28515625" bestFit="1" customWidth="1"/>
    <col min="3" max="3" width="24" customWidth="1"/>
    <col min="5" max="5" width="10.5703125" style="42" customWidth="1"/>
    <col min="6" max="6" width="13" customWidth="1"/>
    <col min="7" max="7" width="5.42578125" customWidth="1"/>
    <col min="8" max="8" width="21" bestFit="1" customWidth="1"/>
    <col min="10" max="10" width="6.42578125" style="42" customWidth="1"/>
    <col min="11" max="11" width="10.28515625" bestFit="1" customWidth="1"/>
    <col min="13" max="13" width="18" bestFit="1" customWidth="1"/>
    <col min="15" max="15" width="6.42578125" style="42" customWidth="1"/>
    <col min="16" max="16" width="13.85546875" bestFit="1" customWidth="1"/>
    <col min="18" max="18" width="19.140625" bestFit="1" customWidth="1"/>
    <col min="20" max="20" width="6.42578125" style="42" customWidth="1"/>
    <col min="21" max="21" width="10" bestFit="1" customWidth="1"/>
    <col min="22" max="22" width="5.5703125" customWidth="1"/>
    <col min="23" max="23" width="17.7109375" customWidth="1"/>
    <col min="25" max="25" width="4.5703125" style="42" customWidth="1"/>
    <col min="28" max="28" width="23.85546875" bestFit="1" customWidth="1"/>
    <col min="30" max="30" width="4.5703125" style="42" customWidth="1"/>
    <col min="31" max="31" width="13.85546875" bestFit="1" customWidth="1"/>
    <col min="32" max="32" width="8" customWidth="1"/>
    <col min="33" max="33" width="25.5703125" customWidth="1"/>
  </cols>
  <sheetData>
    <row r="1" spans="1:104" x14ac:dyDescent="0.25">
      <c r="A1" s="46" t="s">
        <v>408</v>
      </c>
      <c r="B1">
        <v>1</v>
      </c>
      <c r="C1" t="s">
        <v>253</v>
      </c>
      <c r="D1" t="str">
        <f>C1&amp;", "&amp;C2&amp;", "&amp;C3&amp;", "&amp;C4&amp;", "&amp;C5&amp;", "&amp;C6&amp;", "&amp;C7&amp;", "&amp;C8&amp;", "&amp;C9&amp;", "&amp;C10&amp;", "&amp;C11&amp;", "&amp;C12&amp;", "&amp;C13&amp;", "&amp;C14&amp;", "&amp;C15&amp;", "&amp;C16&amp;", "&amp;C17&amp;", "&amp;C18&amp;", "&amp;C19&amp;", "&amp;C20&amp;", "&amp;C21&amp;", "&amp;C22&amp;", "&amp;C23&amp;", "&amp;C24&amp;", "&amp;C25&amp;", "&amp;C26&amp;", "&amp;C27&amp;", "&amp;C28&amp;", "&amp;C29&amp;", "&amp;C30&amp;", "&amp;C31&amp;", "&amp;C32&amp;", "&amp;C33&amp;", "&amp;C34&amp;", "&amp;C35&amp;", "&amp;C36&amp;", "&amp;C37&amp;", "&amp;C38&amp;", "&amp;C39&amp;", "&amp;C40&amp;", "&amp;C41&amp;", "&amp;C42&amp;", "&amp;C43&amp;", "&amp;C44&amp;", "&amp;C45&amp;", "&amp;C46&amp;", "&amp;C47&amp;", "&amp;C48&amp;", "&amp;C49&amp;", "&amp;C50&amp;", "&amp;C51&amp;", "&amp;C52&amp;", "&amp;C53&amp;", "&amp;C54&amp;", "&amp;C55&amp;", "&amp;C56&amp;", "&amp;C57&amp;", "&amp;C58&amp;", "&amp;C59&amp;", "&amp;C60&amp;", "&amp;C61&amp;", "&amp;C62&amp;", "&amp;C63&amp;", "&amp;C64&amp;", "&amp;C65&amp;", "&amp;C66&amp;", "&amp;C67&amp;", "&amp;C68&amp;", "&amp;C69&amp;", "&amp;C70&amp;", "&amp;C71&amp;", "&amp;C72&amp;", "&amp;C73&amp;", "&amp;C74&amp;", "&amp;C75&amp;", "&amp;C76&amp;", "&amp;C77&amp;", "&amp;C78&amp;", "&amp;C79&amp;", "&amp;C80&amp;", "&amp;C81&amp;", "&amp;C82&amp;", "&amp;C83&amp;", "&amp;C84&amp;", "&amp;C85&amp;", "&amp;C86&amp;", "&amp;C87&amp;", "&amp;C88&amp;", "&amp;C89&amp;", "&amp;C90&amp;", "&amp;C91&amp;", "&amp;C92&amp;", "&amp;C93&amp;", "&amp;C94&amp;", "&amp;C95&amp;", "&amp;C96&amp;", "&amp;C97&amp;", "&amp;C98&amp;", "&amp;C99&amp;", "&amp;C100&amp;", "&amp;C101&amp;", "&amp;C102&amp;", "&amp;C103&amp;", "&amp;C104</f>
        <v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v>
      </c>
      <c r="E1" s="42" t="s">
        <v>0</v>
      </c>
      <c r="F1" s="44" t="s">
        <v>423</v>
      </c>
      <c r="G1">
        <v>1</v>
      </c>
      <c r="H1" t="s">
        <v>253</v>
      </c>
      <c r="I1" t="str">
        <f>H1&amp;", "&amp;H2&amp;", "&amp;H3&amp;", "&amp;H4&amp;", "&amp;H5&amp;", "&amp;H6&amp;", "&amp;H7&amp;", "&amp;H8&amp;", "&amp;H9&amp;", "&amp;H10&amp;", "&amp;H11&amp;", "&amp;H12&amp;", "&amp;H13&amp;", "&amp;H14&amp;", "&amp;H15&amp;", "&amp;H16</f>
        <v>nomor_aju, branch, seri, kode_entitas, kode_jenis_identitas, nomor_identitas, nama_entitas, alamat_entitas, nib_entitas, kode_jenis_api, kode_status, nomor_ijin_entitas, tanggal_ijin_entitas, kode_negara, niper_entitas, created_at</v>
      </c>
      <c r="J1" s="42" t="s">
        <v>0</v>
      </c>
      <c r="K1" t="s">
        <v>425</v>
      </c>
      <c r="L1">
        <v>1</v>
      </c>
      <c r="M1" t="s">
        <v>253</v>
      </c>
      <c r="N1" t="str">
        <f>M1&amp;", "&amp;M2&amp;", "&amp;M3&amp;", "&amp;M4&amp;", "&amp;M5&amp;", "&amp;M6&amp;", "&amp;M7&amp;", "&amp;M8&amp;", "&amp;M9</f>
        <v>nomor_aju, branch, seri, kode_dokumen, nomor_dokumen, tanggal_dokumen, kode_fasilitas, kode_ijin, created_at</v>
      </c>
      <c r="O1" s="42" t="s">
        <v>0</v>
      </c>
      <c r="P1" s="45" t="s">
        <v>430</v>
      </c>
      <c r="Q1" s="44">
        <v>1</v>
      </c>
      <c r="R1" t="s">
        <v>253</v>
      </c>
      <c r="S1" t="str">
        <f>R1&amp;", "&amp;R2&amp;", "&amp;R3&amp;", "&amp;R4&amp;", "&amp;R5&amp;", "&amp;R6&amp;", "&amp;R7&amp;", "&amp;R8&amp;", "&amp;R9&amp;", "&amp;R10</f>
        <v>nomor_aju, branch, seri, kode_cara_angkut, nama_pengangkut, nomor_pengangkut, kode_bendera, call_sign, flag_angkut_plb, created_at</v>
      </c>
      <c r="T1" s="42" t="s">
        <v>0</v>
      </c>
      <c r="U1" s="45" t="s">
        <v>76</v>
      </c>
      <c r="V1" s="44">
        <v>1</v>
      </c>
      <c r="W1" t="s">
        <v>253</v>
      </c>
      <c r="X1" t="str">
        <f>W1&amp;", "&amp;W2&amp;", "&amp;W3&amp;", "&amp;W4&amp;", "&amp;W5&amp;", "&amp;W6&amp;", "&amp;W7</f>
        <v>nomor_aju, branch, seri, kode_kemasan, jumlah_kemasan, merek, created_at</v>
      </c>
      <c r="Y1" s="42" t="s">
        <v>0</v>
      </c>
      <c r="Z1" s="45" t="s">
        <v>128</v>
      </c>
      <c r="AA1">
        <v>1</v>
      </c>
      <c r="AB1" t="s">
        <v>253</v>
      </c>
      <c r="AC1" t="str">
        <f>AB1&amp;", "&amp;AB2&amp;", "&amp;AB3&amp;", "&amp;AB4&amp;", "&amp;AB5&amp;", "&amp;AB6&amp;", "&amp;AB7&amp;", "&amp;AB8&amp;", "&amp;AB9&amp;", "&amp;AB10&amp;", "&amp;AB11&amp;", "&amp;AB12&amp;", "&amp;AB13&amp;", "&amp;AB14&amp;", "&amp;AB15&amp;", "&amp;AB16&amp;", "&amp;AB17&amp;", "&amp;AB18&amp;", "&amp;AB19&amp;", "&amp;AB20&amp;", "&amp;AB21&amp;", "&amp;AB22&amp;", "&amp;AB23&amp;", "&amp;AB24&amp;", "&amp;AB25&amp;", "&amp;AB26&amp;", "&amp;AB27&amp;", "&amp;AB28&amp;", "&amp;AB29&amp;", "&amp;AB30&amp;", "&amp;AB31&amp;", "&amp;AB32&amp;", "&amp;AB33&amp;", "&amp;AB34&amp;", "&amp;AB35&amp;", "&amp;AB36&amp;", "&amp;AB37&amp;", "&amp;AB38&amp;", "&amp;AB39&amp;", "&amp;AB40&amp;", "&amp;AB41&amp;", "&amp;AB42&amp;", "&amp;AB43&amp;", "&amp;AB44&amp;", "&amp;AB45&amp;", "&amp;AB46&amp;", "&amp;AB47&amp;", "&amp;AB48&amp;", "&amp;AB49&amp;", "&amp;AB50&amp;", "&amp;AB51&amp;", "&amp;AB52&amp;", "&amp;AB53&amp;", "&amp;AB54&amp;", "&amp;AB55&amp;", "&amp;AB56&amp;", "&amp;AB57&amp;", "&amp;AB58&amp;", "&amp;AB59&amp;", "&amp;AB60&amp;", "&amp;AB61&amp;", "&amp;AB62&amp;", "&amp;AB63&amp;", "&amp;AB64&amp;", "&amp;AB65&amp;", "&amp;AB66&amp;", "&amp;AB67&amp;", "&amp;AB68</f>
        <v>nomor_aju, branch, seri_barang, hs, kode_barang, uraian, merek, tipe, ukuran, spesifikasi_lain, kode_satuan, jumlah_satuan, kode_kemasan, jumlah_kemasan, kode_dokumen_asal, kode_kantor_asal, nomor_daftar_asal, tanggal_daftar_asal, nomor_aju_asal, seri_barang_asal, netto, bruto, volume, saldo_awal, saldo_akhir, jumlah_realisasi, cif, cif_rupiah, ndpbm, fob, asuransi, freight, nilai_tambah, diskon, harga_penyerahan, harga_perolehan, harga_satuan, harga_ekspor, harga_patokan, nilai_barang, nilai_jasa, nilai_dana_sawit, nilai_devisa, persentase_impor, kode_asal_barang, kode_daerah_asal, kode_guna_barang, kode_jenis_nilai, jatuh_tempo_royalti, kode_kategori_barang, kode_kondisi_barang, kode_negara_asal, kode_perhitungan, pernyataan_lartas, flag_4_tahun, seri_izin, tahun_pembuatan, kapasitas_silinder, kode_bkc, kode_komoditi_bkc, kode_sub_komoditi_bkc, flag_tis, isi_per_kemasan, jumlah_dilekatkan, jumlah_pita_cukai, hje_cukai, tarif_cukai, created_at</v>
      </c>
      <c r="AD1" s="42" t="s">
        <v>0</v>
      </c>
      <c r="AE1" s="45" t="s">
        <v>437</v>
      </c>
      <c r="AF1" s="44">
        <v>1</v>
      </c>
      <c r="AG1" t="s">
        <v>253</v>
      </c>
      <c r="AH1" t="str">
        <f>AG1&amp;", "&amp;AG2&amp;", "&amp;AG3&amp;", "&amp;AG4&amp;", "&amp;AG5&amp;", "&amp;AG6&amp;", "&amp;AG7&amp;", "&amp;AG8&amp;", "&amp;AG9&amp;", "&amp;AG10&amp;", "&amp;AG11&amp;", "&amp;AG12&amp;", "&amp;AG13&amp;", "&amp;AG14&amp;", "&amp;AG15&amp;", "&amp;AG16&amp;", "&amp;AG17&amp;", "&amp;AG18&amp;", "&amp;AG19&amp;", "&amp;AG20&amp;", "&amp;AG21</f>
        <v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v>
      </c>
    </row>
    <row r="2" spans="1:104" x14ac:dyDescent="0.25">
      <c r="A2" s="46" t="s">
        <v>450</v>
      </c>
      <c r="C2" t="s">
        <v>254</v>
      </c>
      <c r="D2" t="s">
        <v>409</v>
      </c>
      <c r="E2" s="42" t="s">
        <v>0</v>
      </c>
      <c r="F2" s="46" t="s">
        <v>450</v>
      </c>
      <c r="H2" t="s">
        <v>254</v>
      </c>
      <c r="I2" t="s">
        <v>424</v>
      </c>
      <c r="J2" s="42" t="s">
        <v>0</v>
      </c>
      <c r="K2" t="s">
        <v>450</v>
      </c>
      <c r="M2" t="s">
        <v>254</v>
      </c>
      <c r="O2" s="42" t="s">
        <v>0</v>
      </c>
      <c r="P2" t="s">
        <v>450</v>
      </c>
      <c r="Q2" s="44"/>
      <c r="R2" t="s">
        <v>254</v>
      </c>
      <c r="T2" s="42" t="s">
        <v>0</v>
      </c>
      <c r="U2" s="45"/>
      <c r="V2" s="44"/>
      <c r="W2" t="s">
        <v>254</v>
      </c>
      <c r="Y2" s="42" t="s">
        <v>0</v>
      </c>
      <c r="Z2" s="45" t="s">
        <v>450</v>
      </c>
      <c r="AB2" t="s">
        <v>254</v>
      </c>
      <c r="AD2" s="42" t="s">
        <v>0</v>
      </c>
      <c r="AE2" s="45" t="s">
        <v>450</v>
      </c>
      <c r="AF2" s="44"/>
      <c r="AG2" t="s">
        <v>254</v>
      </c>
      <c r="AH2" t="s">
        <v>449</v>
      </c>
      <c r="CF2" s="15"/>
      <c r="CQ2" s="15"/>
      <c r="CY2" s="20"/>
      <c r="CZ2" s="20"/>
    </row>
    <row r="3" spans="1:104" x14ac:dyDescent="0.25">
      <c r="B3" s="44">
        <v>2</v>
      </c>
      <c r="C3" t="s">
        <v>320</v>
      </c>
      <c r="G3" s="44">
        <v>2</v>
      </c>
      <c r="H3" t="s">
        <v>410</v>
      </c>
      <c r="L3" s="44">
        <v>2</v>
      </c>
      <c r="M3" t="s">
        <v>410</v>
      </c>
      <c r="Q3" s="44">
        <v>2</v>
      </c>
      <c r="R3" t="s">
        <v>410</v>
      </c>
      <c r="V3" s="44">
        <v>2</v>
      </c>
      <c r="W3" t="s">
        <v>410</v>
      </c>
      <c r="AA3" s="44">
        <v>2</v>
      </c>
      <c r="AB3" t="s">
        <v>255</v>
      </c>
      <c r="AF3" s="44">
        <v>2</v>
      </c>
      <c r="AG3" t="s">
        <v>255</v>
      </c>
    </row>
    <row r="4" spans="1:104" x14ac:dyDescent="0.25">
      <c r="B4" s="44">
        <v>3</v>
      </c>
      <c r="C4" t="s">
        <v>321</v>
      </c>
      <c r="G4" s="44">
        <v>3</v>
      </c>
      <c r="H4" t="s">
        <v>411</v>
      </c>
      <c r="L4" s="44">
        <v>3</v>
      </c>
      <c r="M4" t="s">
        <v>320</v>
      </c>
      <c r="Q4" s="44">
        <v>3</v>
      </c>
      <c r="R4" t="s">
        <v>431</v>
      </c>
      <c r="V4" s="44">
        <v>3</v>
      </c>
      <c r="W4" t="s">
        <v>265</v>
      </c>
      <c r="AA4" s="44">
        <v>3</v>
      </c>
      <c r="AB4" t="s">
        <v>256</v>
      </c>
      <c r="AF4" s="44">
        <v>3</v>
      </c>
      <c r="AG4" t="s">
        <v>438</v>
      </c>
    </row>
    <row r="5" spans="1:104" x14ac:dyDescent="0.25">
      <c r="B5" s="44">
        <v>4</v>
      </c>
      <c r="C5" t="s">
        <v>322</v>
      </c>
      <c r="G5" s="44">
        <v>4</v>
      </c>
      <c r="H5" t="s">
        <v>412</v>
      </c>
      <c r="L5" s="44">
        <v>4</v>
      </c>
      <c r="M5" t="s">
        <v>426</v>
      </c>
      <c r="Q5" s="44">
        <v>4</v>
      </c>
      <c r="R5" t="s">
        <v>432</v>
      </c>
      <c r="V5" s="44">
        <v>4</v>
      </c>
      <c r="W5" t="s">
        <v>266</v>
      </c>
      <c r="AA5" s="44">
        <v>4</v>
      </c>
      <c r="AB5" t="s">
        <v>257</v>
      </c>
      <c r="AF5" s="44">
        <v>4</v>
      </c>
      <c r="AG5" t="s">
        <v>439</v>
      </c>
    </row>
    <row r="6" spans="1:104" x14ac:dyDescent="0.25">
      <c r="B6" s="44">
        <v>5</v>
      </c>
      <c r="C6" t="s">
        <v>323</v>
      </c>
      <c r="G6" s="44">
        <v>5</v>
      </c>
      <c r="H6" t="s">
        <v>413</v>
      </c>
      <c r="L6" s="44">
        <v>5</v>
      </c>
      <c r="M6" t="s">
        <v>427</v>
      </c>
      <c r="Q6" s="44">
        <v>5</v>
      </c>
      <c r="R6" t="s">
        <v>433</v>
      </c>
      <c r="V6" s="44">
        <v>5</v>
      </c>
      <c r="W6" t="s">
        <v>259</v>
      </c>
      <c r="AA6" s="44">
        <v>5</v>
      </c>
      <c r="AB6" t="s">
        <v>258</v>
      </c>
      <c r="AF6" s="44">
        <v>5</v>
      </c>
      <c r="AG6" t="s">
        <v>440</v>
      </c>
    </row>
    <row r="7" spans="1:104" x14ac:dyDescent="0.25">
      <c r="B7" s="44">
        <v>6</v>
      </c>
      <c r="C7" t="s">
        <v>324</v>
      </c>
      <c r="G7" s="44">
        <v>6</v>
      </c>
      <c r="H7" t="s">
        <v>414</v>
      </c>
      <c r="L7" s="44">
        <v>6</v>
      </c>
      <c r="M7" t="s">
        <v>428</v>
      </c>
      <c r="Q7" s="44">
        <v>6</v>
      </c>
      <c r="R7" t="s">
        <v>434</v>
      </c>
      <c r="V7" s="44"/>
      <c r="W7" t="s">
        <v>43</v>
      </c>
      <c r="AA7" s="44">
        <v>6</v>
      </c>
      <c r="AB7" t="s">
        <v>259</v>
      </c>
      <c r="AF7" s="44">
        <v>6</v>
      </c>
      <c r="AG7" t="s">
        <v>428</v>
      </c>
    </row>
    <row r="8" spans="1:104" x14ac:dyDescent="0.25">
      <c r="B8" s="44">
        <v>7</v>
      </c>
      <c r="C8" t="s">
        <v>325</v>
      </c>
      <c r="G8" s="44">
        <v>7</v>
      </c>
      <c r="H8" t="s">
        <v>415</v>
      </c>
      <c r="L8" s="44">
        <v>7</v>
      </c>
      <c r="M8" t="s">
        <v>429</v>
      </c>
      <c r="Q8" s="44">
        <v>7</v>
      </c>
      <c r="R8" t="s">
        <v>435</v>
      </c>
      <c r="V8" s="44"/>
      <c r="AA8" s="44">
        <v>7</v>
      </c>
      <c r="AB8" t="s">
        <v>260</v>
      </c>
      <c r="AF8" s="44">
        <v>7</v>
      </c>
      <c r="AG8" t="s">
        <v>441</v>
      </c>
    </row>
    <row r="9" spans="1:104" x14ac:dyDescent="0.25">
      <c r="B9" s="44">
        <v>8</v>
      </c>
      <c r="C9" t="s">
        <v>326</v>
      </c>
      <c r="G9" s="44">
        <v>8</v>
      </c>
      <c r="H9" t="s">
        <v>416</v>
      </c>
      <c r="M9" t="s">
        <v>43</v>
      </c>
      <c r="Q9" s="44">
        <v>8</v>
      </c>
      <c r="R9" t="s">
        <v>436</v>
      </c>
      <c r="V9" s="44"/>
      <c r="AA9" s="44">
        <v>8</v>
      </c>
      <c r="AB9" t="s">
        <v>261</v>
      </c>
      <c r="AF9" s="44">
        <v>8</v>
      </c>
      <c r="AG9" t="s">
        <v>442</v>
      </c>
    </row>
    <row r="10" spans="1:104" x14ac:dyDescent="0.25">
      <c r="B10" s="44">
        <v>9</v>
      </c>
      <c r="C10" t="s">
        <v>327</v>
      </c>
      <c r="G10" s="44">
        <v>9</v>
      </c>
      <c r="H10" t="s">
        <v>417</v>
      </c>
      <c r="Q10" s="44"/>
      <c r="R10" t="s">
        <v>43</v>
      </c>
      <c r="V10" s="44"/>
      <c r="AA10" s="44">
        <v>9</v>
      </c>
      <c r="AB10" t="s">
        <v>262</v>
      </c>
      <c r="AF10" s="44">
        <v>9</v>
      </c>
      <c r="AG10" t="s">
        <v>443</v>
      </c>
    </row>
    <row r="11" spans="1:104" x14ac:dyDescent="0.25">
      <c r="B11" s="44">
        <v>10</v>
      </c>
      <c r="C11" t="s">
        <v>328</v>
      </c>
      <c r="G11" s="44">
        <v>10</v>
      </c>
      <c r="H11" t="s">
        <v>418</v>
      </c>
      <c r="Q11" s="44"/>
      <c r="V11" s="44"/>
      <c r="AA11" s="44">
        <v>10</v>
      </c>
      <c r="AB11" t="s">
        <v>263</v>
      </c>
      <c r="AF11" s="44">
        <v>10</v>
      </c>
      <c r="AG11" t="s">
        <v>444</v>
      </c>
    </row>
    <row r="12" spans="1:104" x14ac:dyDescent="0.25">
      <c r="B12" s="44">
        <v>11</v>
      </c>
      <c r="C12" t="s">
        <v>329</v>
      </c>
      <c r="G12" s="44">
        <v>11</v>
      </c>
      <c r="H12" t="s">
        <v>419</v>
      </c>
      <c r="V12" s="44"/>
      <c r="W12" s="45"/>
      <c r="AA12" s="44">
        <v>11</v>
      </c>
      <c r="AB12" t="s">
        <v>264</v>
      </c>
      <c r="AF12" s="44">
        <v>11</v>
      </c>
      <c r="AG12" t="s">
        <v>263</v>
      </c>
    </row>
    <row r="13" spans="1:104" x14ac:dyDescent="0.25">
      <c r="B13" s="44">
        <v>12</v>
      </c>
      <c r="C13" t="s">
        <v>330</v>
      </c>
      <c r="G13" s="44">
        <v>12</v>
      </c>
      <c r="H13" t="s">
        <v>420</v>
      </c>
      <c r="V13" s="44"/>
      <c r="AA13" s="44">
        <v>12</v>
      </c>
      <c r="AB13" t="s">
        <v>265</v>
      </c>
      <c r="AF13" s="44">
        <v>12</v>
      </c>
      <c r="AG13" t="s">
        <v>264</v>
      </c>
    </row>
    <row r="14" spans="1:104" x14ac:dyDescent="0.25">
      <c r="B14" s="44">
        <v>13</v>
      </c>
      <c r="C14" t="s">
        <v>331</v>
      </c>
      <c r="G14" s="44">
        <v>13</v>
      </c>
      <c r="H14" t="s">
        <v>421</v>
      </c>
      <c r="V14" s="44"/>
      <c r="AA14" s="44">
        <v>13</v>
      </c>
      <c r="AB14" t="s">
        <v>266</v>
      </c>
      <c r="AF14" s="44">
        <v>13</v>
      </c>
      <c r="AG14" t="s">
        <v>445</v>
      </c>
    </row>
    <row r="15" spans="1:104" x14ac:dyDescent="0.25">
      <c r="B15" s="44">
        <v>14</v>
      </c>
      <c r="C15" t="s">
        <v>332</v>
      </c>
      <c r="G15" s="44">
        <v>14</v>
      </c>
      <c r="H15" t="s">
        <v>422</v>
      </c>
      <c r="V15" s="44"/>
      <c r="AA15" s="44">
        <v>14</v>
      </c>
      <c r="AB15" t="s">
        <v>267</v>
      </c>
      <c r="AF15" s="44">
        <v>14</v>
      </c>
      <c r="AG15" t="s">
        <v>446</v>
      </c>
    </row>
    <row r="16" spans="1:104" x14ac:dyDescent="0.25">
      <c r="B16" s="44">
        <v>15</v>
      </c>
      <c r="C16" t="s">
        <v>333</v>
      </c>
      <c r="G16" s="44"/>
      <c r="H16" t="s">
        <v>43</v>
      </c>
      <c r="V16" s="44"/>
      <c r="AA16" s="44">
        <v>15</v>
      </c>
      <c r="AB16" t="s">
        <v>268</v>
      </c>
      <c r="AF16" s="44">
        <v>15</v>
      </c>
      <c r="AG16" t="s">
        <v>447</v>
      </c>
    </row>
    <row r="17" spans="2:33" x14ac:dyDescent="0.25">
      <c r="B17" s="44">
        <v>16</v>
      </c>
      <c r="C17" t="s">
        <v>334</v>
      </c>
      <c r="G17" s="44"/>
      <c r="V17" s="44"/>
      <c r="AA17" s="44">
        <v>16</v>
      </c>
      <c r="AB17" t="s">
        <v>269</v>
      </c>
      <c r="AF17" s="44">
        <v>16</v>
      </c>
      <c r="AG17" t="s">
        <v>314</v>
      </c>
    </row>
    <row r="18" spans="2:33" x14ac:dyDescent="0.25">
      <c r="B18" s="44">
        <v>17</v>
      </c>
      <c r="C18" t="s">
        <v>335</v>
      </c>
      <c r="G18" s="44"/>
      <c r="V18" s="44"/>
      <c r="AA18" s="44">
        <v>17</v>
      </c>
      <c r="AB18" t="s">
        <v>270</v>
      </c>
      <c r="AF18" s="44">
        <v>17</v>
      </c>
      <c r="AG18" t="s">
        <v>448</v>
      </c>
    </row>
    <row r="19" spans="2:33" x14ac:dyDescent="0.25">
      <c r="B19" s="44">
        <v>18</v>
      </c>
      <c r="C19" t="s">
        <v>336</v>
      </c>
      <c r="V19" s="44"/>
      <c r="AA19" s="44">
        <v>18</v>
      </c>
      <c r="AB19" t="s">
        <v>271</v>
      </c>
      <c r="AF19" s="44">
        <v>18</v>
      </c>
      <c r="AG19" t="s">
        <v>265</v>
      </c>
    </row>
    <row r="20" spans="2:33" x14ac:dyDescent="0.25">
      <c r="B20" s="44">
        <v>19</v>
      </c>
      <c r="C20" t="s">
        <v>337</v>
      </c>
      <c r="V20" s="44"/>
      <c r="AA20" s="44">
        <v>19</v>
      </c>
      <c r="AB20" t="s">
        <v>272</v>
      </c>
      <c r="AF20" s="44">
        <v>19</v>
      </c>
      <c r="AG20" t="s">
        <v>266</v>
      </c>
    </row>
    <row r="21" spans="2:33" x14ac:dyDescent="0.25">
      <c r="B21" s="44">
        <v>20</v>
      </c>
      <c r="C21" t="s">
        <v>338</v>
      </c>
      <c r="V21" s="44"/>
      <c r="AA21" s="44">
        <v>20</v>
      </c>
      <c r="AB21" t="s">
        <v>273</v>
      </c>
      <c r="AF21" s="44"/>
      <c r="AG21" t="s">
        <v>43</v>
      </c>
    </row>
    <row r="22" spans="2:33" x14ac:dyDescent="0.25">
      <c r="B22" s="44">
        <v>21</v>
      </c>
      <c r="C22" t="s">
        <v>339</v>
      </c>
      <c r="V22" s="44"/>
      <c r="AA22" s="44">
        <v>21</v>
      </c>
      <c r="AB22" t="s">
        <v>274</v>
      </c>
      <c r="AF22" s="44"/>
    </row>
    <row r="23" spans="2:33" x14ac:dyDescent="0.25">
      <c r="B23" s="44">
        <v>22</v>
      </c>
      <c r="C23" t="s">
        <v>340</v>
      </c>
      <c r="V23" s="44"/>
      <c r="AA23" s="44">
        <v>22</v>
      </c>
      <c r="AB23" t="s">
        <v>275</v>
      </c>
      <c r="AF23" s="44"/>
    </row>
    <row r="24" spans="2:33" x14ac:dyDescent="0.25">
      <c r="B24" s="44">
        <v>23</v>
      </c>
      <c r="C24" t="s">
        <v>341</v>
      </c>
      <c r="V24" s="44"/>
      <c r="AA24" s="44">
        <v>23</v>
      </c>
      <c r="AB24" t="s">
        <v>276</v>
      </c>
      <c r="AF24" s="44"/>
    </row>
    <row r="25" spans="2:33" x14ac:dyDescent="0.25">
      <c r="B25" s="44">
        <v>24</v>
      </c>
      <c r="C25" t="s">
        <v>342</v>
      </c>
      <c r="V25" s="44"/>
      <c r="AA25" s="44">
        <v>24</v>
      </c>
      <c r="AB25" t="s">
        <v>277</v>
      </c>
      <c r="AF25" s="44"/>
    </row>
    <row r="26" spans="2:33" x14ac:dyDescent="0.25">
      <c r="B26" s="44">
        <v>25</v>
      </c>
      <c r="C26" t="s">
        <v>343</v>
      </c>
      <c r="V26" s="44"/>
      <c r="AA26" s="44">
        <v>25</v>
      </c>
      <c r="AB26" t="s">
        <v>278</v>
      </c>
      <c r="AF26" s="44"/>
    </row>
    <row r="27" spans="2:33" x14ac:dyDescent="0.25">
      <c r="B27" s="44">
        <v>26</v>
      </c>
      <c r="C27" t="s">
        <v>344</v>
      </c>
      <c r="V27" s="44"/>
      <c r="AA27" s="44">
        <v>26</v>
      </c>
      <c r="AB27" t="s">
        <v>279</v>
      </c>
      <c r="AF27" s="44"/>
    </row>
    <row r="28" spans="2:33" x14ac:dyDescent="0.25">
      <c r="B28" s="44">
        <v>27</v>
      </c>
      <c r="C28" t="s">
        <v>345</v>
      </c>
      <c r="V28" s="44"/>
      <c r="AA28" s="44">
        <v>27</v>
      </c>
      <c r="AB28" t="s">
        <v>280</v>
      </c>
      <c r="AF28" s="44"/>
    </row>
    <row r="29" spans="2:33" x14ac:dyDescent="0.25">
      <c r="B29" s="44">
        <v>28</v>
      </c>
      <c r="C29" t="s">
        <v>346</v>
      </c>
      <c r="V29" s="44"/>
      <c r="AA29" s="44">
        <v>28</v>
      </c>
      <c r="AB29" t="s">
        <v>281</v>
      </c>
      <c r="AF29" s="44"/>
    </row>
    <row r="30" spans="2:33" x14ac:dyDescent="0.25">
      <c r="B30" s="44">
        <v>29</v>
      </c>
      <c r="C30" t="s">
        <v>347</v>
      </c>
      <c r="V30" s="44"/>
      <c r="AA30" s="44">
        <v>29</v>
      </c>
      <c r="AB30" t="s">
        <v>282</v>
      </c>
      <c r="AF30" s="44"/>
    </row>
    <row r="31" spans="2:33" x14ac:dyDescent="0.25">
      <c r="B31" s="44">
        <v>30</v>
      </c>
      <c r="C31" t="s">
        <v>348</v>
      </c>
      <c r="V31" s="44"/>
      <c r="AA31" s="44">
        <v>30</v>
      </c>
      <c r="AB31" t="s">
        <v>283</v>
      </c>
      <c r="AF31" s="44"/>
    </row>
    <row r="32" spans="2:33" x14ac:dyDescent="0.25">
      <c r="B32" s="44">
        <v>31</v>
      </c>
      <c r="C32" t="s">
        <v>298</v>
      </c>
      <c r="V32" s="44"/>
      <c r="AA32" s="44">
        <v>31</v>
      </c>
      <c r="AB32" t="s">
        <v>284</v>
      </c>
      <c r="AF32" s="44"/>
    </row>
    <row r="33" spans="2:32" x14ac:dyDescent="0.25">
      <c r="B33" s="44">
        <v>32</v>
      </c>
      <c r="C33" t="s">
        <v>349</v>
      </c>
      <c r="V33" s="44"/>
      <c r="AA33" s="44">
        <v>32</v>
      </c>
      <c r="AB33" t="s">
        <v>285</v>
      </c>
      <c r="AF33" s="44"/>
    </row>
    <row r="34" spans="2:32" x14ac:dyDescent="0.25">
      <c r="B34" s="44">
        <v>33</v>
      </c>
      <c r="C34" t="s">
        <v>350</v>
      </c>
      <c r="V34" s="44"/>
      <c r="AA34" s="44">
        <v>33</v>
      </c>
      <c r="AB34" t="s">
        <v>286</v>
      </c>
      <c r="AF34" s="44"/>
    </row>
    <row r="35" spans="2:32" x14ac:dyDescent="0.25">
      <c r="B35" s="44">
        <v>34</v>
      </c>
      <c r="C35" t="s">
        <v>351</v>
      </c>
      <c r="V35" s="44"/>
      <c r="AA35" s="44">
        <v>34</v>
      </c>
      <c r="AB35" t="s">
        <v>287</v>
      </c>
      <c r="AF35" s="44"/>
    </row>
    <row r="36" spans="2:32" x14ac:dyDescent="0.25">
      <c r="B36" s="44">
        <v>35</v>
      </c>
      <c r="C36" t="s">
        <v>352</v>
      </c>
      <c r="V36" s="44"/>
      <c r="AA36" s="44">
        <v>35</v>
      </c>
      <c r="AB36" t="s">
        <v>288</v>
      </c>
      <c r="AF36" s="44"/>
    </row>
    <row r="37" spans="2:32" x14ac:dyDescent="0.25">
      <c r="B37" s="44">
        <v>36</v>
      </c>
      <c r="C37" t="s">
        <v>353</v>
      </c>
      <c r="V37" s="44"/>
      <c r="AA37" s="44">
        <v>36</v>
      </c>
      <c r="AB37" t="s">
        <v>289</v>
      </c>
      <c r="AF37" s="44"/>
    </row>
    <row r="38" spans="2:32" x14ac:dyDescent="0.25">
      <c r="B38" s="44">
        <v>37</v>
      </c>
      <c r="C38" t="s">
        <v>354</v>
      </c>
      <c r="V38" s="44"/>
      <c r="AA38" s="44">
        <v>37</v>
      </c>
      <c r="AB38" t="s">
        <v>290</v>
      </c>
      <c r="AF38" s="44"/>
    </row>
    <row r="39" spans="2:32" x14ac:dyDescent="0.25">
      <c r="B39" s="44">
        <v>38</v>
      </c>
      <c r="C39" t="s">
        <v>355</v>
      </c>
      <c r="V39" s="44"/>
      <c r="AA39" s="44">
        <v>38</v>
      </c>
      <c r="AB39" t="s">
        <v>291</v>
      </c>
      <c r="AF39" s="44"/>
    </row>
    <row r="40" spans="2:32" x14ac:dyDescent="0.25">
      <c r="B40" s="44">
        <v>39</v>
      </c>
      <c r="C40" t="s">
        <v>356</v>
      </c>
      <c r="V40" s="44"/>
      <c r="AA40" s="44">
        <v>39</v>
      </c>
      <c r="AB40" t="s">
        <v>292</v>
      </c>
      <c r="AF40" s="44"/>
    </row>
    <row r="41" spans="2:32" x14ac:dyDescent="0.25">
      <c r="B41" s="44">
        <v>40</v>
      </c>
      <c r="C41" t="s">
        <v>357</v>
      </c>
      <c r="V41" s="44"/>
      <c r="AA41" s="44">
        <v>40</v>
      </c>
      <c r="AB41" t="s">
        <v>293</v>
      </c>
      <c r="AF41" s="44"/>
    </row>
    <row r="42" spans="2:32" x14ac:dyDescent="0.25">
      <c r="B42" s="44">
        <v>41</v>
      </c>
      <c r="C42" t="s">
        <v>358</v>
      </c>
      <c r="V42" s="44"/>
      <c r="AA42" s="44">
        <v>41</v>
      </c>
      <c r="AB42" t="s">
        <v>294</v>
      </c>
      <c r="AF42" s="44"/>
    </row>
    <row r="43" spans="2:32" x14ac:dyDescent="0.25">
      <c r="B43" s="44">
        <v>42</v>
      </c>
      <c r="C43" t="s">
        <v>359</v>
      </c>
      <c r="V43" s="44"/>
      <c r="AA43" s="44">
        <v>42</v>
      </c>
      <c r="AB43" t="s">
        <v>295</v>
      </c>
      <c r="AF43" s="44"/>
    </row>
    <row r="44" spans="2:32" x14ac:dyDescent="0.25">
      <c r="B44" s="44">
        <v>43</v>
      </c>
      <c r="C44" t="s">
        <v>360</v>
      </c>
      <c r="V44" s="44"/>
      <c r="AA44" s="44">
        <v>43</v>
      </c>
      <c r="AB44" t="s">
        <v>296</v>
      </c>
      <c r="AF44" s="44"/>
    </row>
    <row r="45" spans="2:32" x14ac:dyDescent="0.25">
      <c r="B45" s="44">
        <v>44</v>
      </c>
      <c r="C45" t="s">
        <v>361</v>
      </c>
      <c r="V45" s="44"/>
      <c r="AA45" s="44">
        <v>44</v>
      </c>
      <c r="AB45" t="s">
        <v>297</v>
      </c>
      <c r="AF45" s="44"/>
    </row>
    <row r="46" spans="2:32" x14ac:dyDescent="0.25">
      <c r="B46" s="44">
        <v>45</v>
      </c>
      <c r="C46" t="s">
        <v>362</v>
      </c>
      <c r="V46" s="44"/>
      <c r="AA46" s="44">
        <v>45</v>
      </c>
      <c r="AB46" t="s">
        <v>298</v>
      </c>
      <c r="AF46" s="44"/>
    </row>
    <row r="47" spans="2:32" x14ac:dyDescent="0.25">
      <c r="B47" s="44">
        <v>46</v>
      </c>
      <c r="C47" t="s">
        <v>363</v>
      </c>
      <c r="V47" s="44"/>
      <c r="AA47" s="44">
        <v>46</v>
      </c>
      <c r="AB47" t="s">
        <v>299</v>
      </c>
      <c r="AF47" s="44"/>
    </row>
    <row r="48" spans="2:32" x14ac:dyDescent="0.25">
      <c r="B48" s="44">
        <v>47</v>
      </c>
      <c r="C48" t="s">
        <v>364</v>
      </c>
      <c r="V48" s="44"/>
      <c r="AA48" s="44">
        <v>47</v>
      </c>
      <c r="AB48" t="s">
        <v>300</v>
      </c>
      <c r="AF48" s="44"/>
    </row>
    <row r="49" spans="2:32" x14ac:dyDescent="0.25">
      <c r="B49" s="44">
        <v>48</v>
      </c>
      <c r="C49" t="s">
        <v>365</v>
      </c>
      <c r="V49" s="44"/>
      <c r="AA49" s="44">
        <v>48</v>
      </c>
      <c r="AB49" t="s">
        <v>301</v>
      </c>
      <c r="AF49" s="44"/>
    </row>
    <row r="50" spans="2:32" x14ac:dyDescent="0.25">
      <c r="B50" s="44">
        <v>49</v>
      </c>
      <c r="C50" t="s">
        <v>366</v>
      </c>
      <c r="V50" s="44"/>
      <c r="AA50" s="44">
        <v>49</v>
      </c>
      <c r="AB50" t="s">
        <v>302</v>
      </c>
      <c r="AF50" s="44"/>
    </row>
    <row r="51" spans="2:32" x14ac:dyDescent="0.25">
      <c r="B51" s="44">
        <v>50</v>
      </c>
      <c r="C51" t="s">
        <v>367</v>
      </c>
      <c r="V51" s="44"/>
      <c r="AA51" s="44">
        <v>50</v>
      </c>
      <c r="AB51" t="s">
        <v>303</v>
      </c>
      <c r="AF51" s="44"/>
    </row>
    <row r="52" spans="2:32" x14ac:dyDescent="0.25">
      <c r="B52" s="44">
        <v>51</v>
      </c>
      <c r="C52" t="s">
        <v>368</v>
      </c>
      <c r="V52" s="44"/>
      <c r="AA52" s="44">
        <v>51</v>
      </c>
      <c r="AB52" t="s">
        <v>304</v>
      </c>
      <c r="AF52" s="44"/>
    </row>
    <row r="53" spans="2:32" x14ac:dyDescent="0.25">
      <c r="B53" s="44">
        <v>52</v>
      </c>
      <c r="C53" t="s">
        <v>369</v>
      </c>
      <c r="V53" s="44"/>
      <c r="AA53" s="44">
        <v>52</v>
      </c>
      <c r="AB53" t="s">
        <v>305</v>
      </c>
      <c r="AF53" s="44"/>
    </row>
    <row r="54" spans="2:32" x14ac:dyDescent="0.25">
      <c r="B54" s="44">
        <v>53</v>
      </c>
      <c r="C54" t="s">
        <v>370</v>
      </c>
      <c r="V54" s="44"/>
      <c r="AA54" s="44">
        <v>53</v>
      </c>
      <c r="AB54" t="s">
        <v>306</v>
      </c>
      <c r="AF54" s="44"/>
    </row>
    <row r="55" spans="2:32" x14ac:dyDescent="0.25">
      <c r="B55" s="44">
        <v>54</v>
      </c>
      <c r="C55" t="s">
        <v>371</v>
      </c>
      <c r="V55" s="44"/>
      <c r="AA55" s="44">
        <v>54</v>
      </c>
      <c r="AB55" t="s">
        <v>307</v>
      </c>
      <c r="AF55" s="44"/>
    </row>
    <row r="56" spans="2:32" x14ac:dyDescent="0.25">
      <c r="B56" s="44">
        <v>55</v>
      </c>
      <c r="C56" t="s">
        <v>372</v>
      </c>
      <c r="V56" s="44"/>
      <c r="AA56" s="44">
        <v>55</v>
      </c>
      <c r="AB56" t="s">
        <v>308</v>
      </c>
      <c r="AF56" s="44"/>
    </row>
    <row r="57" spans="2:32" x14ac:dyDescent="0.25">
      <c r="B57" s="44">
        <v>56</v>
      </c>
      <c r="C57" t="s">
        <v>373</v>
      </c>
      <c r="V57" s="44"/>
      <c r="AA57" s="44">
        <v>56</v>
      </c>
      <c r="AB57" t="s">
        <v>309</v>
      </c>
      <c r="AF57" s="44"/>
    </row>
    <row r="58" spans="2:32" x14ac:dyDescent="0.25">
      <c r="B58" s="44">
        <v>57</v>
      </c>
      <c r="C58" t="s">
        <v>374</v>
      </c>
      <c r="V58" s="44"/>
      <c r="AA58" s="44">
        <v>57</v>
      </c>
      <c r="AB58" t="s">
        <v>310</v>
      </c>
      <c r="AF58" s="44"/>
    </row>
    <row r="59" spans="2:32" x14ac:dyDescent="0.25">
      <c r="B59" s="44">
        <v>58</v>
      </c>
      <c r="C59" t="s">
        <v>375</v>
      </c>
      <c r="V59" s="44"/>
      <c r="AA59" s="44">
        <v>58</v>
      </c>
      <c r="AB59" t="s">
        <v>311</v>
      </c>
      <c r="AF59" s="44"/>
    </row>
    <row r="60" spans="2:32" x14ac:dyDescent="0.25">
      <c r="B60" s="44">
        <v>59</v>
      </c>
      <c r="C60" t="s">
        <v>376</v>
      </c>
      <c r="V60" s="44"/>
      <c r="AA60" s="44">
        <v>59</v>
      </c>
      <c r="AB60" t="s">
        <v>312</v>
      </c>
      <c r="AF60" s="44"/>
    </row>
    <row r="61" spans="2:32" x14ac:dyDescent="0.25">
      <c r="B61" s="44">
        <v>60</v>
      </c>
      <c r="C61" t="s">
        <v>377</v>
      </c>
      <c r="V61" s="44"/>
      <c r="AA61" s="44">
        <v>60</v>
      </c>
      <c r="AB61" t="s">
        <v>313</v>
      </c>
      <c r="AF61" s="44"/>
    </row>
    <row r="62" spans="2:32" x14ac:dyDescent="0.25">
      <c r="B62" s="44">
        <v>61</v>
      </c>
      <c r="C62" t="s">
        <v>378</v>
      </c>
      <c r="V62" s="44"/>
      <c r="AA62" s="44">
        <v>61</v>
      </c>
      <c r="AB62" t="s">
        <v>314</v>
      </c>
      <c r="AF62" s="44"/>
    </row>
    <row r="63" spans="2:32" x14ac:dyDescent="0.25">
      <c r="B63" s="44">
        <v>62</v>
      </c>
      <c r="C63" t="s">
        <v>379</v>
      </c>
      <c r="V63" s="44"/>
      <c r="AA63" s="44">
        <v>62</v>
      </c>
      <c r="AB63" t="s">
        <v>315</v>
      </c>
      <c r="AF63" s="44"/>
    </row>
    <row r="64" spans="2:32" x14ac:dyDescent="0.25">
      <c r="B64" s="44">
        <v>63</v>
      </c>
      <c r="C64" t="s">
        <v>283</v>
      </c>
      <c r="V64" s="44"/>
      <c r="AA64" s="44">
        <v>63</v>
      </c>
      <c r="AB64" t="s">
        <v>316</v>
      </c>
      <c r="AF64" s="44"/>
    </row>
    <row r="65" spans="2:32" x14ac:dyDescent="0.25">
      <c r="B65" s="44">
        <v>64</v>
      </c>
      <c r="C65" t="s">
        <v>292</v>
      </c>
      <c r="V65" s="44"/>
      <c r="AA65" s="44">
        <v>64</v>
      </c>
      <c r="AB65" t="s">
        <v>317</v>
      </c>
      <c r="AF65" s="44"/>
    </row>
    <row r="66" spans="2:32" x14ac:dyDescent="0.25">
      <c r="B66" s="44">
        <v>65</v>
      </c>
      <c r="C66" t="s">
        <v>380</v>
      </c>
      <c r="V66" s="44"/>
      <c r="AA66" s="44">
        <v>65</v>
      </c>
      <c r="AB66" t="s">
        <v>318</v>
      </c>
      <c r="AF66" s="44"/>
    </row>
    <row r="67" spans="2:32" x14ac:dyDescent="0.25">
      <c r="B67" s="44">
        <v>66</v>
      </c>
      <c r="C67" t="s">
        <v>381</v>
      </c>
      <c r="V67" s="44"/>
      <c r="AA67" s="44">
        <v>66</v>
      </c>
      <c r="AB67" t="s">
        <v>319</v>
      </c>
      <c r="AF67" s="44"/>
    </row>
    <row r="68" spans="2:32" x14ac:dyDescent="0.25">
      <c r="B68" s="44">
        <v>67</v>
      </c>
      <c r="C68" t="s">
        <v>382</v>
      </c>
      <c r="V68" s="44"/>
      <c r="AA68" s="44"/>
      <c r="AB68" t="s">
        <v>43</v>
      </c>
      <c r="AF68" s="44"/>
    </row>
    <row r="69" spans="2:32" x14ac:dyDescent="0.25">
      <c r="B69" s="44">
        <v>68</v>
      </c>
      <c r="C69" t="s">
        <v>284</v>
      </c>
      <c r="V69" s="44"/>
      <c r="AA69" s="44"/>
      <c r="AF69" s="44"/>
    </row>
    <row r="70" spans="2:32" x14ac:dyDescent="0.25">
      <c r="B70" s="44">
        <v>69</v>
      </c>
      <c r="C70" t="s">
        <v>282</v>
      </c>
      <c r="V70" s="44"/>
      <c r="AA70" s="44"/>
      <c r="AF70" s="44"/>
    </row>
    <row r="71" spans="2:32" x14ac:dyDescent="0.25">
      <c r="B71" s="44">
        <v>70</v>
      </c>
      <c r="C71" t="s">
        <v>383</v>
      </c>
      <c r="V71" s="44"/>
      <c r="AA71" s="44"/>
      <c r="AF71" s="44"/>
    </row>
    <row r="72" spans="2:32" x14ac:dyDescent="0.25">
      <c r="B72" s="44">
        <v>71</v>
      </c>
      <c r="C72" t="s">
        <v>384</v>
      </c>
      <c r="V72" s="44"/>
      <c r="AA72" s="44"/>
      <c r="AF72" s="44"/>
    </row>
    <row r="73" spans="2:32" x14ac:dyDescent="0.25">
      <c r="B73" s="44">
        <v>72</v>
      </c>
      <c r="C73" t="s">
        <v>385</v>
      </c>
      <c r="V73" s="44"/>
      <c r="AA73" s="44"/>
      <c r="AF73" s="44"/>
    </row>
    <row r="74" spans="2:32" x14ac:dyDescent="0.25">
      <c r="B74" s="44">
        <v>73</v>
      </c>
      <c r="C74" t="s">
        <v>279</v>
      </c>
      <c r="V74" s="44"/>
      <c r="AA74" s="44"/>
      <c r="AF74" s="44"/>
    </row>
    <row r="75" spans="2:32" x14ac:dyDescent="0.25">
      <c r="B75" s="44">
        <v>74</v>
      </c>
      <c r="C75" t="s">
        <v>287</v>
      </c>
      <c r="V75" s="44"/>
      <c r="AA75" s="44"/>
      <c r="AF75" s="44"/>
    </row>
    <row r="76" spans="2:32" x14ac:dyDescent="0.25">
      <c r="B76" s="44">
        <v>75</v>
      </c>
      <c r="C76" t="s">
        <v>281</v>
      </c>
      <c r="V76" s="44"/>
      <c r="AA76" s="44"/>
      <c r="AF76" s="44"/>
    </row>
    <row r="77" spans="2:32" x14ac:dyDescent="0.25">
      <c r="B77" s="44">
        <v>76</v>
      </c>
      <c r="C77" t="s">
        <v>386</v>
      </c>
      <c r="V77" s="44"/>
      <c r="AA77" s="44"/>
      <c r="AF77" s="44"/>
    </row>
    <row r="78" spans="2:32" x14ac:dyDescent="0.25">
      <c r="B78" s="44">
        <v>77</v>
      </c>
      <c r="C78" t="s">
        <v>387</v>
      </c>
      <c r="V78" s="44"/>
      <c r="AA78" s="44"/>
      <c r="AF78" s="44"/>
    </row>
    <row r="79" spans="2:32" x14ac:dyDescent="0.25">
      <c r="B79" s="44">
        <v>78</v>
      </c>
      <c r="C79" t="s">
        <v>293</v>
      </c>
      <c r="V79" s="44"/>
      <c r="AA79" s="44"/>
      <c r="AF79" s="44"/>
    </row>
    <row r="80" spans="2:32" x14ac:dyDescent="0.25">
      <c r="B80" s="44">
        <v>79</v>
      </c>
      <c r="C80" t="s">
        <v>388</v>
      </c>
      <c r="V80" s="44"/>
      <c r="AA80" s="44"/>
      <c r="AF80" s="44"/>
    </row>
    <row r="81" spans="2:32" x14ac:dyDescent="0.25">
      <c r="B81" s="44">
        <v>80</v>
      </c>
      <c r="C81" t="s">
        <v>274</v>
      </c>
      <c r="V81" s="44"/>
      <c r="AA81" s="44"/>
      <c r="AF81" s="44"/>
    </row>
    <row r="82" spans="2:32" x14ac:dyDescent="0.25">
      <c r="B82" s="44">
        <v>81</v>
      </c>
      <c r="C82" t="s">
        <v>273</v>
      </c>
      <c r="V82" s="44"/>
      <c r="AA82" s="44"/>
      <c r="AF82" s="44"/>
    </row>
    <row r="83" spans="2:32" x14ac:dyDescent="0.25">
      <c r="B83" s="44">
        <v>82</v>
      </c>
      <c r="C83" t="s">
        <v>275</v>
      </c>
      <c r="V83" s="44"/>
      <c r="AA83" s="44"/>
      <c r="AF83" s="44"/>
    </row>
    <row r="84" spans="2:32" x14ac:dyDescent="0.25">
      <c r="B84" s="44">
        <v>83</v>
      </c>
      <c r="C84" t="s">
        <v>389</v>
      </c>
      <c r="V84" s="44"/>
      <c r="AA84" s="44"/>
      <c r="AF84" s="44"/>
    </row>
    <row r="85" spans="2:32" x14ac:dyDescent="0.25">
      <c r="B85" s="44">
        <v>84</v>
      </c>
      <c r="C85" t="s">
        <v>390</v>
      </c>
      <c r="V85" s="44"/>
      <c r="AA85" s="44"/>
      <c r="AF85" s="44"/>
    </row>
    <row r="86" spans="2:32" x14ac:dyDescent="0.25">
      <c r="B86" s="44">
        <v>85</v>
      </c>
      <c r="C86" t="s">
        <v>391</v>
      </c>
      <c r="V86" s="44"/>
      <c r="AA86" s="44"/>
      <c r="AF86" s="44"/>
    </row>
    <row r="87" spans="2:32" x14ac:dyDescent="0.25">
      <c r="B87" s="44">
        <v>86</v>
      </c>
      <c r="C87" t="s">
        <v>392</v>
      </c>
      <c r="V87" s="44"/>
      <c r="AA87" s="44"/>
      <c r="AF87" s="44"/>
    </row>
    <row r="88" spans="2:32" x14ac:dyDescent="0.25">
      <c r="B88" s="44">
        <v>87</v>
      </c>
      <c r="C88" t="s">
        <v>393</v>
      </c>
      <c r="V88" s="44"/>
      <c r="AA88" s="44"/>
      <c r="AF88" s="44"/>
    </row>
    <row r="89" spans="2:32" x14ac:dyDescent="0.25">
      <c r="B89" s="44">
        <v>88</v>
      </c>
      <c r="C89" t="s">
        <v>394</v>
      </c>
      <c r="V89" s="44"/>
      <c r="AA89" s="44"/>
      <c r="AF89" s="44"/>
    </row>
    <row r="90" spans="2:32" x14ac:dyDescent="0.25">
      <c r="B90" s="44">
        <v>89</v>
      </c>
      <c r="C90" t="s">
        <v>395</v>
      </c>
      <c r="V90" s="44"/>
      <c r="AA90" s="44"/>
      <c r="AF90" s="44"/>
    </row>
    <row r="91" spans="2:32" x14ac:dyDescent="0.25">
      <c r="B91" s="44">
        <v>90</v>
      </c>
      <c r="C91" t="s">
        <v>396</v>
      </c>
      <c r="V91" s="44"/>
      <c r="AA91" s="44"/>
      <c r="AF91" s="44"/>
    </row>
    <row r="92" spans="2:32" x14ac:dyDescent="0.25">
      <c r="B92" s="44">
        <v>91</v>
      </c>
      <c r="C92" t="s">
        <v>397</v>
      </c>
      <c r="V92" s="44"/>
      <c r="AA92" s="44"/>
      <c r="AF92" s="44"/>
    </row>
    <row r="93" spans="2:32" x14ac:dyDescent="0.25">
      <c r="B93" s="44">
        <v>92</v>
      </c>
      <c r="C93" t="s">
        <v>300</v>
      </c>
      <c r="V93" s="44"/>
      <c r="AA93" s="44"/>
      <c r="AF93" s="44"/>
    </row>
    <row r="94" spans="2:32" x14ac:dyDescent="0.25">
      <c r="B94" s="44">
        <v>93</v>
      </c>
      <c r="C94" t="s">
        <v>398</v>
      </c>
      <c r="V94" s="44"/>
      <c r="AA94" s="44"/>
      <c r="AF94" s="44"/>
    </row>
    <row r="95" spans="2:32" x14ac:dyDescent="0.25">
      <c r="B95" s="44">
        <v>94</v>
      </c>
      <c r="C95" t="s">
        <v>399</v>
      </c>
      <c r="V95" s="44"/>
      <c r="AA95" s="44"/>
      <c r="AF95" s="44"/>
    </row>
    <row r="96" spans="2:32" x14ac:dyDescent="0.25">
      <c r="B96" s="44">
        <v>95</v>
      </c>
      <c r="C96" t="s">
        <v>400</v>
      </c>
      <c r="V96" s="44"/>
      <c r="AA96" s="44"/>
      <c r="AF96" s="44"/>
    </row>
    <row r="97" spans="2:32" x14ac:dyDescent="0.25">
      <c r="B97" s="44">
        <v>96</v>
      </c>
      <c r="C97" t="s">
        <v>401</v>
      </c>
      <c r="V97" s="44"/>
      <c r="AA97" s="44"/>
      <c r="AF97" s="44"/>
    </row>
    <row r="98" spans="2:32" x14ac:dyDescent="0.25">
      <c r="B98" s="44">
        <v>97</v>
      </c>
      <c r="C98" t="s">
        <v>402</v>
      </c>
      <c r="V98" s="44"/>
      <c r="AA98" s="44"/>
      <c r="AF98" s="44"/>
    </row>
    <row r="99" spans="2:32" x14ac:dyDescent="0.25">
      <c r="B99" s="44">
        <v>98</v>
      </c>
      <c r="C99" t="s">
        <v>403</v>
      </c>
      <c r="V99" s="44"/>
      <c r="AA99" s="44"/>
      <c r="AF99" s="44"/>
    </row>
    <row r="100" spans="2:32" x14ac:dyDescent="0.25">
      <c r="B100" s="44">
        <v>99</v>
      </c>
      <c r="C100" t="s">
        <v>404</v>
      </c>
      <c r="V100" s="44"/>
      <c r="AA100" s="44"/>
      <c r="AF100" s="44"/>
    </row>
    <row r="101" spans="2:32" x14ac:dyDescent="0.25">
      <c r="B101" s="44">
        <v>100</v>
      </c>
      <c r="C101" t="s">
        <v>405</v>
      </c>
      <c r="V101" s="44"/>
      <c r="AA101" s="44"/>
      <c r="AF101" s="44"/>
    </row>
    <row r="102" spans="2:32" x14ac:dyDescent="0.25">
      <c r="B102" s="44">
        <v>101</v>
      </c>
      <c r="C102" t="s">
        <v>406</v>
      </c>
      <c r="V102" s="44"/>
      <c r="AA102" s="44"/>
      <c r="AF102" s="44"/>
    </row>
    <row r="103" spans="2:32" x14ac:dyDescent="0.25">
      <c r="B103" s="44">
        <v>102</v>
      </c>
      <c r="C103" t="s">
        <v>407</v>
      </c>
      <c r="V103" s="44"/>
      <c r="AA103" s="44"/>
      <c r="AF103" s="44"/>
    </row>
    <row r="104" spans="2:32" x14ac:dyDescent="0.25">
      <c r="B104" s="44"/>
      <c r="C104" t="s">
        <v>43</v>
      </c>
      <c r="V104" s="44"/>
      <c r="AA104" s="44"/>
      <c r="AF104" s="44"/>
    </row>
  </sheetData>
  <autoFilter ref="AA1:AB104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5"/>
  <dimension ref="A1:S7"/>
  <sheetViews>
    <sheetView workbookViewId="0">
      <selection activeCell="C2" sqref="C2:G7"/>
    </sheetView>
  </sheetViews>
  <sheetFormatPr defaultRowHeight="15" x14ac:dyDescent="0.25"/>
  <cols>
    <col min="1" max="1" width="20.5703125" customWidth="1"/>
    <col min="2" max="2" width="14.28515625" bestFit="1" customWidth="1"/>
    <col min="3" max="3" width="18.5703125" bestFit="1" customWidth="1"/>
    <col min="4" max="4" width="13.140625" customWidth="1"/>
    <col min="5" max="5" width="10.5703125" customWidth="1"/>
    <col min="6" max="6" width="18.85546875" bestFit="1" customWidth="1"/>
    <col min="7" max="7" width="16.5703125" bestFit="1" customWidth="1"/>
    <col min="8" max="8" width="13.42578125" bestFit="1" customWidth="1"/>
    <col min="9" max="9" width="16.28515625" bestFit="1" customWidth="1"/>
    <col min="10" max="10" width="23.7109375" bestFit="1" customWidth="1"/>
    <col min="11" max="11" width="15.28515625" bestFit="1" customWidth="1"/>
    <col min="12" max="12" width="18" bestFit="1" customWidth="1"/>
    <col min="19" max="19" width="19.85546875" bestFit="1" customWidth="1"/>
  </cols>
  <sheetData>
    <row r="1" spans="1:19" ht="15.75" x14ac:dyDescent="0.25">
      <c r="A1" s="38" t="s">
        <v>16</v>
      </c>
      <c r="B1" s="38" t="s">
        <v>130</v>
      </c>
      <c r="C1" s="39" t="s">
        <v>192</v>
      </c>
      <c r="D1" s="38" t="s">
        <v>193</v>
      </c>
      <c r="E1" s="38" t="s">
        <v>194</v>
      </c>
      <c r="F1" s="38" t="s">
        <v>195</v>
      </c>
      <c r="G1" s="38" t="s">
        <v>196</v>
      </c>
      <c r="H1" s="38" t="s">
        <v>197</v>
      </c>
      <c r="I1" s="38" t="s">
        <v>198</v>
      </c>
      <c r="J1" s="38" t="s">
        <v>199</v>
      </c>
      <c r="K1" s="39" t="s">
        <v>138</v>
      </c>
      <c r="L1" s="38" t="s">
        <v>139</v>
      </c>
      <c r="M1" s="38" t="s">
        <v>200</v>
      </c>
      <c r="N1" s="38" t="s">
        <v>201</v>
      </c>
      <c r="O1" s="38" t="s">
        <v>202</v>
      </c>
      <c r="P1" s="38" t="s">
        <v>186</v>
      </c>
      <c r="Q1" s="38" t="s">
        <v>203</v>
      </c>
      <c r="R1" s="38" t="s">
        <v>140</v>
      </c>
      <c r="S1" s="38" t="s">
        <v>141</v>
      </c>
    </row>
    <row r="2" spans="1:19" x14ac:dyDescent="0.25">
      <c r="B2">
        <v>1</v>
      </c>
      <c r="C2" t="s">
        <v>204</v>
      </c>
      <c r="D2">
        <v>1</v>
      </c>
      <c r="E2">
        <v>11</v>
      </c>
      <c r="F2">
        <v>6</v>
      </c>
      <c r="G2">
        <v>100</v>
      </c>
      <c r="K2" t="s">
        <v>91</v>
      </c>
      <c r="L2">
        <v>3900</v>
      </c>
    </row>
    <row r="3" spans="1:19" x14ac:dyDescent="0.25">
      <c r="B3">
        <v>2</v>
      </c>
      <c r="C3" t="s">
        <v>204</v>
      </c>
      <c r="D3">
        <v>1</v>
      </c>
      <c r="E3">
        <v>11</v>
      </c>
      <c r="F3">
        <v>6</v>
      </c>
      <c r="G3">
        <v>100</v>
      </c>
      <c r="K3" t="s">
        <v>91</v>
      </c>
      <c r="L3">
        <v>7400</v>
      </c>
    </row>
    <row r="4" spans="1:19" x14ac:dyDescent="0.25">
      <c r="B4">
        <v>3</v>
      </c>
      <c r="C4" t="s">
        <v>204</v>
      </c>
      <c r="D4">
        <v>1</v>
      </c>
      <c r="E4">
        <v>11</v>
      </c>
      <c r="F4">
        <v>6</v>
      </c>
      <c r="G4">
        <v>100</v>
      </c>
      <c r="K4" t="s">
        <v>91</v>
      </c>
      <c r="L4">
        <v>6600</v>
      </c>
    </row>
    <row r="5" spans="1:19" x14ac:dyDescent="0.25">
      <c r="B5">
        <v>4</v>
      </c>
      <c r="C5" t="s">
        <v>204</v>
      </c>
      <c r="D5">
        <v>1</v>
      </c>
      <c r="E5">
        <v>11</v>
      </c>
      <c r="F5">
        <v>6</v>
      </c>
      <c r="G5">
        <v>100</v>
      </c>
      <c r="K5" t="s">
        <v>91</v>
      </c>
      <c r="L5">
        <v>6400</v>
      </c>
    </row>
    <row r="6" spans="1:19" x14ac:dyDescent="0.25">
      <c r="B6">
        <v>5</v>
      </c>
      <c r="C6" t="s">
        <v>204</v>
      </c>
      <c r="D6">
        <v>1</v>
      </c>
      <c r="E6">
        <v>11</v>
      </c>
      <c r="F6">
        <v>6</v>
      </c>
      <c r="G6">
        <v>100</v>
      </c>
      <c r="K6" t="s">
        <v>91</v>
      </c>
      <c r="L6">
        <v>1500</v>
      </c>
    </row>
    <row r="7" spans="1:19" x14ac:dyDescent="0.25">
      <c r="B7">
        <v>6</v>
      </c>
      <c r="C7" t="s">
        <v>204</v>
      </c>
      <c r="D7">
        <v>1</v>
      </c>
      <c r="E7">
        <v>11</v>
      </c>
      <c r="F7">
        <v>6</v>
      </c>
      <c r="G7">
        <v>100</v>
      </c>
      <c r="K7" t="s">
        <v>91</v>
      </c>
      <c r="L7">
        <v>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</sheetPr>
  <dimension ref="A1:Z21"/>
  <sheetViews>
    <sheetView topLeftCell="I1" zoomScale="85" zoomScaleNormal="85" workbookViewId="0">
      <selection activeCell="K15" sqref="K15"/>
    </sheetView>
  </sheetViews>
  <sheetFormatPr defaultRowHeight="15" x14ac:dyDescent="0.25"/>
  <cols>
    <col min="1" max="1" width="15.42578125" customWidth="1"/>
    <col min="2" max="2" width="6.5703125" customWidth="1"/>
    <col min="3" max="3" width="6.140625" style="4" customWidth="1"/>
    <col min="4" max="4" width="15.7109375" bestFit="1" customWidth="1"/>
    <col min="6" max="6" width="0.85546875" style="4" customWidth="1"/>
    <col min="7" max="7" width="23" bestFit="1" customWidth="1"/>
    <col min="8" max="8" width="44.140625" bestFit="1" customWidth="1"/>
    <col min="9" max="9" width="0.85546875" style="4" customWidth="1"/>
    <col min="10" max="10" width="20.85546875" bestFit="1" customWidth="1"/>
    <col min="11" max="11" width="67" customWidth="1"/>
    <col min="12" max="12" width="0.85546875" style="4" customWidth="1"/>
    <col min="13" max="13" width="15.5703125" bestFit="1" customWidth="1"/>
    <col min="14" max="14" width="20.7109375" bestFit="1" customWidth="1"/>
    <col min="15" max="15" width="0.85546875" style="4" customWidth="1"/>
    <col min="16" max="16" width="39.5703125" bestFit="1" customWidth="1"/>
    <col min="17" max="17" width="20.7109375" bestFit="1" customWidth="1"/>
    <col min="18" max="18" width="0.85546875" style="4" customWidth="1"/>
    <col min="19" max="19" width="23.7109375" customWidth="1"/>
    <col min="20" max="20" width="20.7109375" bestFit="1" customWidth="1"/>
    <col min="22" max="22" width="15.140625" bestFit="1" customWidth="1"/>
    <col min="23" max="23" width="17.5703125" bestFit="1" customWidth="1"/>
    <col min="24" max="24" width="0.85546875" style="4" customWidth="1"/>
    <col min="25" max="25" width="16.5703125" bestFit="1" customWidth="1"/>
    <col min="26" max="26" width="11.42578125" bestFit="1" customWidth="1"/>
  </cols>
  <sheetData>
    <row r="1" spans="1:26" ht="21" customHeight="1" x14ac:dyDescent="0.25">
      <c r="A1" s="7" t="s">
        <v>22</v>
      </c>
      <c r="B1" s="5" t="s">
        <v>10</v>
      </c>
      <c r="C1" s="49" t="s">
        <v>51</v>
      </c>
      <c r="D1" s="7" t="s">
        <v>23</v>
      </c>
      <c r="E1" s="5" t="s">
        <v>10</v>
      </c>
      <c r="F1" s="1"/>
      <c r="G1" s="5" t="s">
        <v>216</v>
      </c>
      <c r="H1" s="5" t="s">
        <v>217</v>
      </c>
      <c r="I1" s="1"/>
      <c r="J1" s="17" t="s">
        <v>28</v>
      </c>
      <c r="K1" s="5" t="s">
        <v>27</v>
      </c>
      <c r="L1" s="1"/>
      <c r="M1" s="5" t="s">
        <v>454</v>
      </c>
      <c r="N1" s="5" t="s">
        <v>55</v>
      </c>
      <c r="O1" s="1"/>
      <c r="P1" s="5" t="s">
        <v>116</v>
      </c>
      <c r="Q1" s="5" t="s">
        <v>117</v>
      </c>
      <c r="R1" s="1"/>
      <c r="S1" s="5" t="s">
        <v>192</v>
      </c>
      <c r="T1" s="5" t="s">
        <v>193</v>
      </c>
      <c r="U1" s="5" t="s">
        <v>194</v>
      </c>
      <c r="V1" s="5" t="s">
        <v>195</v>
      </c>
      <c r="W1" s="5" t="s">
        <v>212</v>
      </c>
      <c r="X1" s="1"/>
      <c r="Y1" s="5" t="s">
        <v>245</v>
      </c>
      <c r="Z1" s="5" t="s">
        <v>246</v>
      </c>
    </row>
    <row r="2" spans="1:26" x14ac:dyDescent="0.25">
      <c r="A2" s="6" t="s">
        <v>1</v>
      </c>
      <c r="B2" s="3" t="b">
        <v>0</v>
      </c>
      <c r="C2" s="48">
        <v>23</v>
      </c>
      <c r="D2" s="47">
        <v>1201</v>
      </c>
      <c r="E2" s="3" t="b">
        <v>1</v>
      </c>
      <c r="F2" s="2" t="s">
        <v>0</v>
      </c>
      <c r="G2" s="18" t="s">
        <v>215</v>
      </c>
      <c r="H2" s="16" t="s">
        <v>463</v>
      </c>
      <c r="I2" s="2" t="s">
        <v>0</v>
      </c>
      <c r="J2" s="6" t="s">
        <v>30</v>
      </c>
      <c r="K2" s="6" t="s">
        <v>29</v>
      </c>
      <c r="L2" s="2" t="s">
        <v>0</v>
      </c>
      <c r="M2" s="6" t="s">
        <v>39</v>
      </c>
      <c r="N2" s="6" t="s">
        <v>57</v>
      </c>
      <c r="O2" s="2"/>
      <c r="P2" s="6" t="s">
        <v>118</v>
      </c>
      <c r="Q2" s="6" t="b">
        <v>1</v>
      </c>
      <c r="R2" s="2"/>
      <c r="S2" s="6" t="s">
        <v>204</v>
      </c>
      <c r="T2" s="6">
        <v>1</v>
      </c>
      <c r="U2" s="6">
        <v>11</v>
      </c>
      <c r="V2" s="6">
        <v>6</v>
      </c>
      <c r="W2" s="6">
        <v>100</v>
      </c>
      <c r="X2" s="2"/>
      <c r="Y2" t="s">
        <v>226</v>
      </c>
      <c r="Z2" t="s">
        <v>96</v>
      </c>
    </row>
    <row r="3" spans="1:26" x14ac:dyDescent="0.25">
      <c r="A3" s="6" t="s">
        <v>2</v>
      </c>
      <c r="B3" s="3" t="b">
        <v>0</v>
      </c>
      <c r="C3" s="48">
        <v>25</v>
      </c>
      <c r="D3" s="47">
        <v>1204</v>
      </c>
      <c r="E3" s="3" t="b">
        <v>0</v>
      </c>
      <c r="F3" s="2"/>
      <c r="G3" s="6" t="s">
        <v>213</v>
      </c>
      <c r="H3" s="6" t="s">
        <v>225</v>
      </c>
      <c r="I3" s="2"/>
      <c r="J3" s="6"/>
      <c r="K3" s="6"/>
      <c r="L3" s="2"/>
      <c r="M3" s="6" t="s">
        <v>52</v>
      </c>
      <c r="N3" s="6" t="s">
        <v>56</v>
      </c>
      <c r="O3" s="2"/>
      <c r="P3" s="6" t="s">
        <v>219</v>
      </c>
      <c r="Q3" s="6" t="b">
        <v>1</v>
      </c>
      <c r="R3" s="2"/>
      <c r="X3" s="2"/>
      <c r="Y3" t="s">
        <v>227</v>
      </c>
      <c r="Z3" t="s">
        <v>87</v>
      </c>
    </row>
    <row r="4" spans="1:26" x14ac:dyDescent="0.25">
      <c r="A4" s="6" t="s">
        <v>3</v>
      </c>
      <c r="B4" s="3" t="b">
        <v>0</v>
      </c>
      <c r="C4" s="48">
        <v>261</v>
      </c>
      <c r="F4" s="2"/>
      <c r="G4" s="6" t="s">
        <v>220</v>
      </c>
      <c r="H4" s="6" t="s">
        <v>244</v>
      </c>
      <c r="I4" s="2"/>
      <c r="J4" s="6" t="s">
        <v>114</v>
      </c>
      <c r="K4" s="6" t="s">
        <v>476</v>
      </c>
      <c r="L4" s="2"/>
      <c r="M4" s="6" t="s">
        <v>45</v>
      </c>
      <c r="N4" s="6">
        <v>50500</v>
      </c>
      <c r="O4" s="2"/>
      <c r="P4" s="6" t="s">
        <v>211</v>
      </c>
      <c r="Q4" s="6">
        <v>1</v>
      </c>
      <c r="R4" s="2"/>
      <c r="X4" s="2"/>
      <c r="Y4" t="s">
        <v>40</v>
      </c>
      <c r="Z4" t="s">
        <v>91</v>
      </c>
    </row>
    <row r="5" spans="1:26" x14ac:dyDescent="0.25">
      <c r="A5" s="6" t="s">
        <v>4</v>
      </c>
      <c r="B5" s="3" t="b">
        <v>0</v>
      </c>
      <c r="C5" s="48">
        <v>262</v>
      </c>
      <c r="F5" s="2"/>
      <c r="G5" s="6"/>
      <c r="H5" s="6"/>
      <c r="I5" s="2"/>
      <c r="J5" s="6" t="s">
        <v>115</v>
      </c>
      <c r="K5" s="6" t="s">
        <v>472</v>
      </c>
      <c r="L5" s="2"/>
      <c r="M5" s="6" t="s">
        <v>48</v>
      </c>
      <c r="N5" s="6">
        <f>VLOOKUP(TRUE,$B$2:$C$10,2,FALSE)</f>
        <v>40</v>
      </c>
      <c r="O5" s="2"/>
      <c r="P5" s="6"/>
      <c r="Q5" s="6"/>
      <c r="R5" s="2"/>
      <c r="X5" s="2"/>
      <c r="Y5" t="s">
        <v>228</v>
      </c>
      <c r="Z5" t="s">
        <v>121</v>
      </c>
    </row>
    <row r="6" spans="1:26" x14ac:dyDescent="0.25">
      <c r="A6" s="6" t="s">
        <v>5</v>
      </c>
      <c r="B6" s="3" t="b">
        <v>0</v>
      </c>
      <c r="C6" s="48">
        <v>27</v>
      </c>
      <c r="F6" s="2"/>
      <c r="I6" s="2"/>
      <c r="J6" s="6"/>
      <c r="K6" s="6"/>
      <c r="L6" s="2"/>
      <c r="M6" s="6" t="s">
        <v>452</v>
      </c>
      <c r="N6" s="6" t="s">
        <v>451</v>
      </c>
      <c r="O6" s="2" t="s">
        <v>0</v>
      </c>
      <c r="R6" s="2"/>
      <c r="X6" s="2"/>
      <c r="Y6" t="s">
        <v>229</v>
      </c>
      <c r="Z6" t="s">
        <v>86</v>
      </c>
    </row>
    <row r="7" spans="1:26" x14ac:dyDescent="0.25">
      <c r="A7" s="6" t="s">
        <v>6</v>
      </c>
      <c r="B7" s="3" t="b">
        <v>1</v>
      </c>
      <c r="C7" s="48">
        <v>40</v>
      </c>
      <c r="F7" s="2"/>
      <c r="I7" s="2"/>
      <c r="L7" s="2"/>
      <c r="M7" s="6" t="s">
        <v>453</v>
      </c>
      <c r="N7" s="6" t="s">
        <v>56</v>
      </c>
      <c r="O7" s="2"/>
      <c r="R7" s="2"/>
      <c r="X7" s="2"/>
      <c r="Y7" t="s">
        <v>230</v>
      </c>
      <c r="Z7" t="s">
        <v>231</v>
      </c>
    </row>
    <row r="8" spans="1:26" x14ac:dyDescent="0.25">
      <c r="A8" s="6" t="s">
        <v>7</v>
      </c>
      <c r="B8" s="3" t="b">
        <v>0</v>
      </c>
      <c r="C8" s="48">
        <v>41</v>
      </c>
      <c r="F8" s="2"/>
      <c r="I8" s="2"/>
      <c r="L8" s="2"/>
      <c r="M8" s="6" t="s">
        <v>457</v>
      </c>
      <c r="N8" s="6" t="s">
        <v>456</v>
      </c>
      <c r="O8" s="2"/>
      <c r="R8" s="2"/>
      <c r="X8" s="2"/>
      <c r="Y8" t="s">
        <v>232</v>
      </c>
      <c r="Z8" t="s">
        <v>233</v>
      </c>
    </row>
    <row r="9" spans="1:26" x14ac:dyDescent="0.25">
      <c r="A9" s="6" t="s">
        <v>8</v>
      </c>
      <c r="B9" s="3" t="b">
        <v>0</v>
      </c>
      <c r="C9" s="48">
        <v>30</v>
      </c>
      <c r="F9" s="2"/>
      <c r="I9" s="2"/>
      <c r="L9" s="2"/>
      <c r="M9" s="6" t="s">
        <v>23</v>
      </c>
      <c r="N9" s="6">
        <f>VLOOKUP(TRUE,CHOOSE({1,2},$E$2:$E$3,$D$2:$D$3),2,FALSE)</f>
        <v>1201</v>
      </c>
      <c r="O9" s="2"/>
      <c r="R9" s="2"/>
      <c r="X9" s="2"/>
      <c r="Y9" t="s">
        <v>234</v>
      </c>
      <c r="Z9" t="s">
        <v>234</v>
      </c>
    </row>
    <row r="10" spans="1:26" x14ac:dyDescent="0.25">
      <c r="A10" s="6" t="s">
        <v>9</v>
      </c>
      <c r="B10" s="3" t="b">
        <v>0</v>
      </c>
      <c r="C10" s="48">
        <v>33</v>
      </c>
      <c r="F10" s="2"/>
      <c r="I10" s="2"/>
      <c r="L10" s="2"/>
      <c r="O10" s="2"/>
      <c r="R10" s="2"/>
      <c r="X10" s="2"/>
      <c r="Y10" t="s">
        <v>235</v>
      </c>
      <c r="Z10" t="s">
        <v>105</v>
      </c>
    </row>
    <row r="11" spans="1:26" x14ac:dyDescent="0.25">
      <c r="C11" s="2" t="s">
        <v>0</v>
      </c>
      <c r="F11" s="2" t="s">
        <v>0</v>
      </c>
      <c r="I11" s="2" t="s">
        <v>0</v>
      </c>
      <c r="L11" s="2" t="s">
        <v>0</v>
      </c>
      <c r="O11" s="2" t="s">
        <v>0</v>
      </c>
      <c r="R11" s="2" t="s">
        <v>0</v>
      </c>
      <c r="X11" s="2" t="s">
        <v>0</v>
      </c>
      <c r="Y11" t="s">
        <v>236</v>
      </c>
      <c r="Z11" t="s">
        <v>237</v>
      </c>
    </row>
    <row r="12" spans="1:26" x14ac:dyDescent="0.25">
      <c r="C12" s="2" t="s">
        <v>0</v>
      </c>
      <c r="F12" s="2" t="s">
        <v>0</v>
      </c>
      <c r="I12" s="2" t="s">
        <v>0</v>
      </c>
      <c r="L12" s="2" t="s">
        <v>0</v>
      </c>
      <c r="O12" s="2" t="s">
        <v>0</v>
      </c>
      <c r="R12" s="2" t="s">
        <v>0</v>
      </c>
      <c r="X12" s="2" t="s">
        <v>0</v>
      </c>
      <c r="Y12" t="s">
        <v>238</v>
      </c>
      <c r="Z12" t="s">
        <v>239</v>
      </c>
    </row>
    <row r="13" spans="1:26" x14ac:dyDescent="0.25">
      <c r="C13" s="2" t="s">
        <v>0</v>
      </c>
      <c r="F13" s="2" t="s">
        <v>0</v>
      </c>
      <c r="I13" s="2" t="s">
        <v>0</v>
      </c>
      <c r="J13" t="s">
        <v>460</v>
      </c>
      <c r="L13" s="2" t="s">
        <v>0</v>
      </c>
      <c r="O13" s="2" t="s">
        <v>0</v>
      </c>
      <c r="R13" s="2" t="s">
        <v>0</v>
      </c>
      <c r="X13" s="2" t="s">
        <v>0</v>
      </c>
      <c r="Y13" t="s">
        <v>240</v>
      </c>
      <c r="Z13" t="s">
        <v>241</v>
      </c>
    </row>
    <row r="14" spans="1:26" x14ac:dyDescent="0.25">
      <c r="C14" s="2" t="s">
        <v>0</v>
      </c>
      <c r="F14" s="2" t="s">
        <v>0</v>
      </c>
      <c r="I14" s="2" t="s">
        <v>0</v>
      </c>
      <c r="J14" t="s">
        <v>461</v>
      </c>
      <c r="L14" s="2" t="s">
        <v>0</v>
      </c>
      <c r="O14" s="2" t="s">
        <v>0</v>
      </c>
      <c r="R14" s="2" t="s">
        <v>0</v>
      </c>
      <c r="X14" s="2" t="s">
        <v>0</v>
      </c>
      <c r="Y14" t="s">
        <v>242</v>
      </c>
      <c r="Z14" t="s">
        <v>243</v>
      </c>
    </row>
    <row r="15" spans="1:26" x14ac:dyDescent="0.25">
      <c r="C15" s="2" t="s">
        <v>0</v>
      </c>
      <c r="F15" s="2" t="s">
        <v>0</v>
      </c>
      <c r="I15" s="2" t="s">
        <v>0</v>
      </c>
      <c r="J15" t="s">
        <v>462</v>
      </c>
      <c r="L15" s="2" t="s">
        <v>0</v>
      </c>
      <c r="O15" s="2" t="s">
        <v>0</v>
      </c>
      <c r="R15" s="2" t="s">
        <v>0</v>
      </c>
      <c r="X15" s="2" t="s">
        <v>0</v>
      </c>
      <c r="Y15" t="s">
        <v>248</v>
      </c>
      <c r="Z15" t="s">
        <v>99</v>
      </c>
    </row>
    <row r="16" spans="1:26" x14ac:dyDescent="0.25">
      <c r="C16" s="2" t="s">
        <v>0</v>
      </c>
      <c r="F16" s="2" t="s">
        <v>0</v>
      </c>
      <c r="I16" s="2" t="s">
        <v>0</v>
      </c>
      <c r="L16" s="2" t="s">
        <v>0</v>
      </c>
      <c r="O16" s="2" t="s">
        <v>0</v>
      </c>
      <c r="R16" s="2" t="s">
        <v>0</v>
      </c>
      <c r="X16" s="2" t="s">
        <v>0</v>
      </c>
    </row>
    <row r="17" spans="3:24" x14ac:dyDescent="0.25">
      <c r="C17" s="2" t="s">
        <v>0</v>
      </c>
      <c r="F17" s="2" t="s">
        <v>0</v>
      </c>
      <c r="I17" s="2" t="s">
        <v>0</v>
      </c>
      <c r="L17" s="2" t="s">
        <v>0</v>
      </c>
      <c r="O17" s="2" t="s">
        <v>0</v>
      </c>
      <c r="R17" s="2" t="s">
        <v>0</v>
      </c>
      <c r="X17" s="2" t="s">
        <v>0</v>
      </c>
    </row>
    <row r="18" spans="3:24" x14ac:dyDescent="0.25">
      <c r="C18" s="2" t="s">
        <v>0</v>
      </c>
      <c r="F18" s="2" t="s">
        <v>0</v>
      </c>
      <c r="I18" s="2" t="s">
        <v>0</v>
      </c>
      <c r="L18" s="2" t="s">
        <v>0</v>
      </c>
      <c r="O18" s="2" t="s">
        <v>0</v>
      </c>
      <c r="R18" s="2" t="s">
        <v>0</v>
      </c>
      <c r="X18" s="2" t="s">
        <v>0</v>
      </c>
    </row>
    <row r="19" spans="3:24" x14ac:dyDescent="0.25">
      <c r="C19" s="2" t="s">
        <v>0</v>
      </c>
      <c r="F19" s="2" t="s">
        <v>0</v>
      </c>
      <c r="I19" s="2" t="s">
        <v>0</v>
      </c>
      <c r="L19" s="2" t="s">
        <v>0</v>
      </c>
      <c r="O19" s="2" t="s">
        <v>0</v>
      </c>
      <c r="R19" s="2" t="s">
        <v>0</v>
      </c>
      <c r="X19" s="2" t="s">
        <v>0</v>
      </c>
    </row>
    <row r="20" spans="3:24" x14ac:dyDescent="0.25">
      <c r="C20" s="2" t="s">
        <v>0</v>
      </c>
      <c r="F20" s="2" t="s">
        <v>0</v>
      </c>
      <c r="I20" s="2" t="s">
        <v>0</v>
      </c>
      <c r="L20" s="2" t="s">
        <v>0</v>
      </c>
      <c r="O20" s="2" t="s">
        <v>0</v>
      </c>
      <c r="R20" s="2" t="s">
        <v>0</v>
      </c>
      <c r="X20" s="2" t="s">
        <v>0</v>
      </c>
    </row>
    <row r="21" spans="3:24" x14ac:dyDescent="0.25">
      <c r="C21" s="2" t="s">
        <v>0</v>
      </c>
      <c r="F21" s="2" t="s">
        <v>0</v>
      </c>
      <c r="I21" s="2" t="s">
        <v>0</v>
      </c>
      <c r="L21" s="2" t="s">
        <v>0</v>
      </c>
      <c r="O21" s="2" t="s">
        <v>0</v>
      </c>
      <c r="R21" s="2" t="s">
        <v>0</v>
      </c>
      <c r="X21" s="2" t="s">
        <v>0</v>
      </c>
    </row>
  </sheetData>
  <dataValidations count="1">
    <dataValidation type="list" allowBlank="1" showInputMessage="1" showErrorMessage="1" sqref="B2:B10 E2:E3" xr:uid="{00000000-0002-0000-0700-000000000000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V19"/>
  <sheetViews>
    <sheetView workbookViewId="0">
      <selection activeCell="Q17" activeCellId="1" sqref="O5 Q17"/>
    </sheetView>
  </sheetViews>
  <sheetFormatPr defaultRowHeight="15" x14ac:dyDescent="0.25"/>
  <cols>
    <col min="1" max="1" width="25.85546875" bestFit="1" customWidth="1"/>
    <col min="2" max="2" width="20.7109375" bestFit="1" customWidth="1"/>
    <col min="3" max="3" width="2.140625" customWidth="1"/>
    <col min="4" max="4" width="19.5703125" bestFit="1" customWidth="1"/>
    <col min="5" max="5" width="19.7109375" customWidth="1"/>
    <col min="6" max="6" width="2.42578125" customWidth="1"/>
    <col min="7" max="7" width="19.5703125" bestFit="1" customWidth="1"/>
    <col min="8" max="8" width="20.42578125" bestFit="1" customWidth="1"/>
    <col min="9" max="9" width="9" customWidth="1"/>
    <col min="10" max="10" width="23.28515625" bestFit="1" customWidth="1"/>
    <col min="11" max="11" width="11.85546875" customWidth="1"/>
    <col min="12" max="12" width="10.28515625" customWidth="1"/>
    <col min="14" max="14" width="17.28515625" customWidth="1"/>
    <col min="15" max="15" width="12" customWidth="1"/>
    <col min="16" max="16" width="14" customWidth="1"/>
    <col min="18" max="18" width="23.7109375" bestFit="1" customWidth="1"/>
    <col min="19" max="19" width="16.7109375" customWidth="1"/>
    <col min="20" max="20" width="20.5703125" customWidth="1"/>
    <col min="22" max="22" width="18.140625" bestFit="1" customWidth="1"/>
  </cols>
  <sheetData>
    <row r="1" spans="1:22" x14ac:dyDescent="0.25">
      <c r="A1" s="30"/>
      <c r="B1" s="30"/>
      <c r="C1" s="29"/>
      <c r="D1" s="9" t="s">
        <v>58</v>
      </c>
      <c r="E1" s="9" t="s">
        <v>59</v>
      </c>
      <c r="G1" s="9" t="s">
        <v>58</v>
      </c>
      <c r="H1" s="9" t="s">
        <v>68</v>
      </c>
      <c r="J1" s="9" t="s">
        <v>107</v>
      </c>
      <c r="K1" s="9" t="s">
        <v>74</v>
      </c>
      <c r="L1" s="9" t="s">
        <v>108</v>
      </c>
      <c r="N1" s="9" t="s">
        <v>127</v>
      </c>
      <c r="O1" s="9" t="s">
        <v>125</v>
      </c>
      <c r="P1" s="9" t="s">
        <v>126</v>
      </c>
      <c r="R1" s="9" t="s">
        <v>121</v>
      </c>
      <c r="S1" s="9" t="s">
        <v>209</v>
      </c>
      <c r="T1" s="9" t="s">
        <v>210</v>
      </c>
      <c r="V1" s="9" t="s">
        <v>113</v>
      </c>
    </row>
    <row r="2" spans="1:22" x14ac:dyDescent="0.25">
      <c r="D2">
        <v>1</v>
      </c>
      <c r="E2" t="s">
        <v>60</v>
      </c>
      <c r="G2">
        <v>1</v>
      </c>
      <c r="H2" t="s">
        <v>69</v>
      </c>
      <c r="J2" t="s">
        <v>85</v>
      </c>
      <c r="K2" t="s">
        <v>86</v>
      </c>
      <c r="L2">
        <v>3</v>
      </c>
      <c r="N2" t="str">
        <f>O2&amp;" - "&amp;P2</f>
        <v>343 - PO</v>
      </c>
      <c r="O2">
        <v>343</v>
      </c>
      <c r="P2" t="s">
        <v>50</v>
      </c>
      <c r="R2" t="str">
        <f>S2 &amp;" - " &amp;T2</f>
        <v>3 - DTG - DITANGGUHKAN</v>
      </c>
      <c r="S2">
        <v>3</v>
      </c>
      <c r="T2" t="s">
        <v>205</v>
      </c>
      <c r="V2" t="s">
        <v>222</v>
      </c>
    </row>
    <row r="3" spans="1:22" x14ac:dyDescent="0.25">
      <c r="D3">
        <v>2</v>
      </c>
      <c r="E3" t="s">
        <v>61</v>
      </c>
      <c r="G3">
        <v>2</v>
      </c>
      <c r="H3" t="s">
        <v>70</v>
      </c>
      <c r="J3" t="s">
        <v>85</v>
      </c>
      <c r="K3" t="s">
        <v>87</v>
      </c>
      <c r="L3">
        <v>1.7000000000000001E-2</v>
      </c>
      <c r="N3" t="str">
        <f>O3&amp;" - "&amp;P3</f>
        <v>640 - SURAT JALAN</v>
      </c>
      <c r="O3">
        <v>640</v>
      </c>
      <c r="P3" t="s">
        <v>79</v>
      </c>
      <c r="R3" t="str">
        <f>S3 &amp;" - " &amp;T3</f>
        <v>5 - BBS - DIBEBASKAN</v>
      </c>
      <c r="S3">
        <v>5</v>
      </c>
      <c r="T3" t="s">
        <v>206</v>
      </c>
      <c r="V3" t="s">
        <v>223</v>
      </c>
    </row>
    <row r="4" spans="1:22" x14ac:dyDescent="0.25">
      <c r="D4">
        <v>3</v>
      </c>
      <c r="E4" t="s">
        <v>62</v>
      </c>
      <c r="G4">
        <v>3</v>
      </c>
      <c r="H4" t="s">
        <v>71</v>
      </c>
      <c r="J4" t="s">
        <v>88</v>
      </c>
      <c r="K4" t="s">
        <v>89</v>
      </c>
      <c r="L4">
        <v>0.34</v>
      </c>
      <c r="R4" t="str">
        <f>S4 &amp;" - " &amp;T4</f>
        <v>6 - TIDAK DIPUNGUT</v>
      </c>
      <c r="S4">
        <v>6</v>
      </c>
      <c r="T4" t="s">
        <v>207</v>
      </c>
      <c r="V4" t="s">
        <v>221</v>
      </c>
    </row>
    <row r="5" spans="1:22" x14ac:dyDescent="0.25">
      <c r="D5">
        <v>4</v>
      </c>
      <c r="E5" t="s">
        <v>63</v>
      </c>
      <c r="G5">
        <v>4</v>
      </c>
      <c r="H5" t="s">
        <v>72</v>
      </c>
      <c r="J5" t="s">
        <v>90</v>
      </c>
      <c r="K5" t="s">
        <v>91</v>
      </c>
      <c r="L5">
        <v>0.18</v>
      </c>
      <c r="R5" t="str">
        <f>S5 &amp;" - " &amp;T5</f>
        <v>7 - SUDAH DILUNASI</v>
      </c>
      <c r="S5">
        <v>7</v>
      </c>
      <c r="T5" t="s">
        <v>208</v>
      </c>
    </row>
    <row r="6" spans="1:22" x14ac:dyDescent="0.25">
      <c r="D6">
        <v>5</v>
      </c>
      <c r="E6" t="s">
        <v>64</v>
      </c>
      <c r="G6">
        <v>5</v>
      </c>
      <c r="H6" t="s">
        <v>67</v>
      </c>
      <c r="J6" t="s">
        <v>92</v>
      </c>
      <c r="K6" t="s">
        <v>91</v>
      </c>
      <c r="L6">
        <v>8.9999999999999993E-3</v>
      </c>
    </row>
    <row r="7" spans="1:22" x14ac:dyDescent="0.25">
      <c r="D7">
        <v>6</v>
      </c>
      <c r="E7" t="s">
        <v>65</v>
      </c>
      <c r="J7" t="s">
        <v>93</v>
      </c>
      <c r="K7" t="s">
        <v>91</v>
      </c>
      <c r="L7">
        <v>5.9999999999999995E-4</v>
      </c>
    </row>
    <row r="8" spans="1:22" x14ac:dyDescent="0.25">
      <c r="D8">
        <v>7</v>
      </c>
      <c r="E8" t="s">
        <v>66</v>
      </c>
      <c r="J8" t="s">
        <v>94</v>
      </c>
      <c r="K8" t="s">
        <v>91</v>
      </c>
      <c r="L8">
        <v>5.9999999999999995E-4</v>
      </c>
    </row>
    <row r="9" spans="1:22" x14ac:dyDescent="0.25">
      <c r="D9">
        <v>8</v>
      </c>
      <c r="E9" t="s">
        <v>67</v>
      </c>
      <c r="J9" t="s">
        <v>95</v>
      </c>
      <c r="K9" t="s">
        <v>87</v>
      </c>
      <c r="L9">
        <v>0.14000000000000001</v>
      </c>
    </row>
    <row r="10" spans="1:22" x14ac:dyDescent="0.25">
      <c r="J10" t="s">
        <v>95</v>
      </c>
      <c r="K10" t="s">
        <v>96</v>
      </c>
      <c r="L10">
        <v>0.14000000000000001</v>
      </c>
    </row>
    <row r="11" spans="1:22" x14ac:dyDescent="0.25">
      <c r="J11" t="s">
        <v>97</v>
      </c>
      <c r="K11" t="s">
        <v>86</v>
      </c>
      <c r="L11">
        <v>0.04</v>
      </c>
    </row>
    <row r="12" spans="1:22" x14ac:dyDescent="0.25">
      <c r="J12" t="s">
        <v>97</v>
      </c>
      <c r="K12" t="s">
        <v>91</v>
      </c>
      <c r="L12">
        <v>2.7999999999999998E-4</v>
      </c>
    </row>
    <row r="13" spans="1:22" x14ac:dyDescent="0.25">
      <c r="J13" t="s">
        <v>98</v>
      </c>
      <c r="K13" t="s">
        <v>99</v>
      </c>
      <c r="L13">
        <v>0.159</v>
      </c>
    </row>
    <row r="14" spans="1:22" x14ac:dyDescent="0.25">
      <c r="J14" t="s">
        <v>100</v>
      </c>
      <c r="K14" t="s">
        <v>91</v>
      </c>
      <c r="L14">
        <v>5.0000000000000001E-3</v>
      </c>
    </row>
    <row r="15" spans="1:22" x14ac:dyDescent="0.25">
      <c r="J15" t="s">
        <v>101</v>
      </c>
      <c r="K15" t="s">
        <v>91</v>
      </c>
      <c r="L15">
        <v>2.9999999999999997E-4</v>
      </c>
    </row>
    <row r="16" spans="1:22" x14ac:dyDescent="0.25">
      <c r="J16" t="s">
        <v>102</v>
      </c>
      <c r="K16" t="s">
        <v>91</v>
      </c>
      <c r="L16">
        <v>7.4999999999999997E-2</v>
      </c>
    </row>
    <row r="17" spans="10:12" x14ac:dyDescent="0.25">
      <c r="J17" t="s">
        <v>103</v>
      </c>
      <c r="K17" t="s">
        <v>91</v>
      </c>
      <c r="L17">
        <v>7.0000000000000001E-3</v>
      </c>
    </row>
    <row r="18" spans="10:12" x14ac:dyDescent="0.25">
      <c r="J18" t="s">
        <v>104</v>
      </c>
      <c r="K18" t="s">
        <v>105</v>
      </c>
      <c r="L18">
        <v>0.8</v>
      </c>
    </row>
    <row r="19" spans="10:12" x14ac:dyDescent="0.25">
      <c r="J19" t="s">
        <v>106</v>
      </c>
      <c r="K19" t="s">
        <v>87</v>
      </c>
      <c r="L19">
        <v>8.0000000000000004E-4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VERSI</vt:lpstr>
      <vt:lpstr>ReqHistory</vt:lpstr>
      <vt:lpstr>Validasi</vt:lpstr>
      <vt:lpstr>BARANG</vt:lpstr>
      <vt:lpstr>Q</vt:lpstr>
      <vt:lpstr>BARANGTARIF</vt:lpstr>
      <vt:lpstr>Setting</vt:lpstr>
      <vt:lpstr>Db_Dummy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melawati</cp:lastModifiedBy>
  <cp:lastPrinted>2023-07-14T03:21:57Z</cp:lastPrinted>
  <dcterms:created xsi:type="dcterms:W3CDTF">2023-04-11T02:47:24Z</dcterms:created>
  <dcterms:modified xsi:type="dcterms:W3CDTF">2024-12-16T07:36:02Z</dcterms:modified>
</cp:coreProperties>
</file>