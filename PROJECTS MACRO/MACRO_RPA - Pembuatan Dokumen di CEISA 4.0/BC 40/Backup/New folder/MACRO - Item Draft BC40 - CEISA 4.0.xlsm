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th file\MACRO_RPA - Pembuatan Dokumen di CEISA 4.0\BC 40\Backup\New folder\"/>
    </mc:Choice>
  </mc:AlternateContent>
  <xr:revisionPtr revIDLastSave="0" documentId="13_ncr:1_{35F39E55-64CE-405F-869E-ED3508AD8DC4}" xr6:coauthVersionLast="47" xr6:coauthVersionMax="47" xr10:uidLastSave="{00000000-0000-0000-0000-000000000000}"/>
  <bookViews>
    <workbookView xWindow="-120" yWindow="-120" windowWidth="20730" windowHeight="11160" activeTab="1" xr2:uid="{7E7A7F93-5039-4D12-8102-F8D7E7D5379D}"/>
  </bookViews>
  <sheets>
    <sheet name="(M)" sheetId="12" r:id="rId1"/>
    <sheet name="Sheet1" sheetId="119" r:id="rId2"/>
    <sheet name="VERSI" sheetId="71" state="hidden" r:id="rId3"/>
    <sheet name="ReqHistory" sheetId="20" state="hidden" r:id="rId4"/>
    <sheet name="Validasi" sheetId="25" state="hidden" r:id="rId5"/>
    <sheet name="BARANG" sheetId="46" state="hidden" r:id="rId6"/>
    <sheet name="Q" sheetId="118" state="hidden" r:id="rId7"/>
    <sheet name="BARANGTARIF" sheetId="47" state="hidden" r:id="rId8"/>
    <sheet name="Setting" sheetId="2" state="hidden" r:id="rId9"/>
    <sheet name="Db_Dummy" sheetId="30" state="hidden" r:id="rId10"/>
  </sheets>
  <functionGroups builtInGroupCount="19"/>
  <externalReferences>
    <externalReference r:id="rId11"/>
  </externalReferences>
  <definedNames>
    <definedName name="_xlnm._FilterDatabase" localSheetId="6" hidden="1">Q!$AA$1:$AB$104</definedName>
    <definedName name="_xlnm._FilterDatabase" localSheetId="4" hidden="1">Validasi!$U$3:$W$5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4" i="25" l="1"/>
  <c r="N5" i="2" l="1"/>
  <c r="F7" i="25" s="1"/>
  <c r="N9" i="2"/>
  <c r="F6" i="25"/>
  <c r="F4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<sst xmlns="http://schemas.openxmlformats.org/spreadsheetml/2006/main" count="715" uniqueCount="469">
  <si>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</si>
  <si>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</si>
  <si>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</si>
  <si>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</si>
  <si>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</si>
  <si>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</si>
  <si>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</si>
  <si>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</si>
  <si>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</si>
  <si>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</si>
  <si>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</si>
  <si>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</si>
  <si>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</si>
  <si>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</si>
  <si>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</si>
  <si>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</si>
  <si>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</si>
  <si>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</si>
  <si>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</si>
  <si>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</si>
  <si>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</si>
  <si>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</si>
  <si>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</si>
  <si>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</si>
  <si>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</si>
  <si>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</si>
  <si>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</si>
  <si>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</si>
  <si>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</si>
  <si>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</si>
  <si>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</si>
  <si>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</si>
  <si>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</si>
  <si>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</si>
  <si>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</si>
  <si>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</si>
  <si>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</si>
  <si>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</si>
  <si>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</si>
  <si>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</si>
  <si>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</si>
  <si>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</si>
  <si>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</si>
  <si>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</si>
  <si>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</si>
  <si>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</si>
  <si>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</si>
  <si>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</si>
  <si>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</si>
  <si>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</si>
  <si>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</si>
  <si>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</si>
  <si>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</si>
  <si>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</si>
  <si>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</si>
  <si>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</si>
  <si>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</si>
  <si>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</si>
  <si>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</si>
  <si>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</si>
  <si>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</si>
  <si>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</si>
  <si>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</si>
  <si>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</si>
  <si>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</si>
  <si>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</si>
  <si>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</si>
  <si>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</si>
  <si>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</si>
  <si>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</si>
  <si>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</si>
  <si>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</si>
  <si>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</si>
  <si>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</si>
  <si>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</si>
  <si>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</si>
  <si>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</si>
  <si>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</si>
  <si>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</si>
  <si>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</si>
  <si>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</si>
  <si>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</si>
  <si>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</si>
  <si>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</si>
  <si>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</si>
  <si>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</si>
  <si>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</si>
  <si>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</si>
  <si>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</si>
  <si>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</si>
  <si>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</si>
  <si>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</si>
  <si>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</si>
  <si>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</si>
  <si>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</si>
  <si>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</si>
  <si>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</si>
  <si>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</si>
  <si>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</si>
  <si>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</si>
  <si>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</si>
  <si>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</si>
  <si>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</si>
  <si>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</si>
  <si>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</si>
  <si>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</si>
  <si>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</si>
  <si>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</si>
  <si>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</si>
  <si>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</si>
  <si>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</si>
  <si>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</si>
  <si>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</si>
  <si>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</si>
  <si>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</si>
  <si>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</si>
  <si>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</si>
  <si>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</si>
  <si>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</si>
  <si>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</si>
  <si>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</si>
  <si>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</si>
  <si>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</si>
  <si>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</si>
  <si>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</si>
  <si>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</si>
  <si>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</si>
  <si>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</si>
  <si>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</si>
  <si>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</si>
  <si>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</si>
  <si>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</si>
  <si>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</si>
  <si>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</si>
  <si>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</si>
  <si>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</si>
  <si>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</si>
  <si>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</si>
  <si>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</si>
  <si>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</si>
  <si>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</si>
  <si>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</si>
  <si>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</si>
  <si>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</si>
  <si>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</si>
  <si>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</si>
  <si>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</si>
  <si>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</si>
  <si>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</si>
  <si>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</si>
  <si>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</si>
  <si>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</si>
  <si>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</si>
  <si>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</si>
  <si>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</si>
  <si>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</si>
  <si>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</si>
  <si>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</si>
  <si>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</si>
  <si>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</si>
  <si>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</si>
  <si>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</si>
  <si>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</si>
  <si>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</si>
  <si>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</si>
  <si>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</si>
  <si>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</si>
  <si>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</si>
  <si>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</si>
  <si>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</si>
  <si>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</si>
  <si>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</si>
  <si>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</si>
  <si>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</si>
  <si>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</si>
  <si>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</si>
  <si>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</si>
  <si>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</si>
  <si>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</si>
  <si>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</si>
  <si>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</si>
  <si>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</si>
  <si>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</si>
  <si>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</si>
  <si>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</si>
  <si>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</si>
  <si>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</si>
  <si>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</si>
  <si>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</si>
  <si>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</si>
  <si>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</si>
  <si>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</si>
  <si>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</si>
  <si>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</si>
  <si>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</si>
  <si>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</si>
  <si>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</si>
  <si>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</si>
  <si>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</si>
  <si>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</si>
  <si>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</si>
  <si>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</si>
  <si>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</si>
  <si>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</si>
  <si>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</si>
  <si>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</si>
  <si>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</si>
  <si>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</si>
  <si>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</si>
  <si>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</si>
  <si>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</si>
  <si>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</si>
  <si>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</si>
  <si>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</si>
  <si>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</si>
  <si>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</si>
  <si>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</si>
  <si>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</si>
  <si>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</si>
  <si>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</si>
  <si>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</si>
  <si>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</si>
  <si>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</si>
  <si>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</si>
  <si>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</si>
  <si>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</si>
  <si>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</si>
  <si>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</si>
  <si>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</si>
  <si>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</si>
  <si>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</si>
  <si>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</si>
  <si>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</si>
  <si>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</si>
  <si>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</si>
  <si>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</si>
  <si>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</si>
  <si>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</si>
  <si>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</si>
  <si>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</si>
  <si>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</si>
  <si>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</si>
  <si>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</si>
  <si>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</si>
  <si>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</si>
  <si>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</si>
  <si>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</si>
  <si>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</si>
  <si>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</si>
  <si>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</si>
  <si>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</si>
  <si>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</si>
  <si>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</si>
  <si>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</si>
  <si>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</si>
  <si>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</si>
  <si>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</si>
  <si>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</si>
  <si>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</si>
  <si>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</si>
  <si>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</si>
  <si>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</si>
  <si>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</si>
  <si>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</si>
  <si>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</si>
  <si>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</si>
  <si>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</si>
  <si>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</si>
  <si>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</si>
  <si>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</si>
  <si>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</si>
  <si>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</si>
  <si>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</si>
  <si>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</si>
  <si>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</si>
  <si>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</si>
  <si>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</si>
  <si>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</si>
  <si>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</si>
  <si>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</si>
  <si>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</si>
  <si>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</si>
  <si>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</si>
  <si>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</si>
  <si>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</si>
  <si>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</si>
  <si>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</si>
  <si>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</si>
  <si>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</si>
  <si>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</si>
  <si>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</si>
  <si>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</si>
  <si>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</si>
  <si>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</si>
  <si>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</si>
  <si>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</si>
  <si>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</si>
  <si>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</si>
  <si>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</si>
  <si>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</si>
  <si>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</si>
  <si>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</si>
  <si>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</si>
  <si>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</si>
  <si>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</si>
  <si>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</si>
  <si>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</si>
  <si>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</si>
  <si>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</si>
  <si>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</si>
  <si>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</si>
  <si>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</si>
  <si>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</si>
  <si>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</si>
  <si>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</si>
  <si>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</si>
  <si>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</si>
  <si>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</si>
  <si>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</si>
  <si>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</si>
  <si>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</si>
  <si>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</si>
  <si>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</si>
  <si>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</si>
  <si>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</si>
  <si>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</si>
  <si>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</si>
  <si>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</si>
  <si>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</si>
  <si>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</si>
  <si>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</si>
  <si>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</si>
  <si>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</si>
  <si>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</si>
  <si>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</si>
  <si>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</si>
  <si>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</si>
  <si>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</si>
  <si>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</si>
  <si>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</si>
  <si>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</si>
  <si>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</si>
  <si>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</si>
  <si>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</si>
  <si>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</si>
  <si>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</si>
  <si>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</si>
  <si>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</si>
  <si>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</si>
  <si>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</si>
  <si>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</si>
  <si>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</si>
  <si>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</si>
  <si>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</si>
  <si>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</si>
  <si>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</si>
  <si>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</si>
  <si>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</si>
  <si>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</si>
  <si>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</si>
  <si>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</si>
  <si>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</si>
  <si>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</si>
  <si>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</si>
  <si>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</si>
  <si>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</si>
  <si>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</si>
  <si>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</si>
  <si>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</si>
  <si>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</si>
  <si>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</si>
  <si>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</si>
  <si>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</si>
  <si>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</si>
  <si>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</si>
  <si>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</si>
  <si>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</si>
  <si>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</si>
  <si>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</si>
  <si>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</si>
  <si>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</si>
  <si>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</si>
  <si>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</si>
  <si>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</si>
  <si>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</si>
  <si>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</si>
  <si>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</si>
  <si>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</si>
  <si>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</si>
  <si>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</si>
  <si>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</si>
  <si>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</si>
  <si>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</si>
  <si>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</si>
  <si>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</si>
  <si>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</si>
  <si>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</si>
  <si>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</si>
  <si>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</si>
  <si>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</si>
  <si>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</si>
  <si>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</si>
  <si>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</si>
  <si>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</si>
  <si>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</si>
  <si>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</si>
  <si>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</si>
  <si>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</si>
  <si>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</si>
  <si>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</si>
  <si>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</si>
  <si>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</si>
  <si>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</si>
  <si>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</si>
  <si>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</si>
  <si>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</si>
  <si>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</si>
  <si>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</si>
  <si>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</si>
  <si>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</si>
  <si>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</si>
  <si>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</si>
  <si>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</si>
  <si>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</si>
  <si>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</si>
  <si>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</si>
  <si>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</si>
  <si>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</si>
  <si>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</si>
  <si>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</si>
  <si>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</si>
  <si>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</si>
  <si>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</si>
  <si>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</si>
  <si>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</si>
  <si>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</si>
  <si>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</si>
  <si>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</si>
  <si>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</si>
  <si>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</si>
  <si>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</si>
  <si>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</si>
  <si>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</si>
  <si>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</si>
  <si>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</si>
  <si>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</si>
  <si>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</si>
  <si>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</si>
  <si>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</si>
  <si>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</si>
  <si>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</si>
  <si>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</si>
  <si>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</si>
  <si>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</si>
  <si>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</si>
  <si>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</si>
  <si>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</si>
  <si>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</si>
  <si>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</si>
  <si>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</si>
  <si>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</si>
  <si>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USD</t>
  </si>
  <si>
    <t>GISTEX GARMEN INDONESIA</t>
  </si>
  <si>
    <t>JALAN PANYAWUNGAN KM 19, RW 004, RT 004, CILEUNYI WETAN, CILEUNYI, KAB. BANDUNG, JAWA BARAT, 40622</t>
  </si>
  <si>
    <t>CTN67% POLY30% SPX3% CVC DENIM FBRC WDTH 52 _x001D_,180GSM,NAVY,NISH</t>
  </si>
  <si>
    <t>D 8377 TN</t>
  </si>
  <si>
    <t>C:\Users\fandriyani\Downloads\00004031560820240809003653.xlsx</t>
  </si>
  <si>
    <t>C:\Users\fandriyani\Downloads\R554301C_GG0002_1783383_PDF.csv</t>
  </si>
  <si>
    <t>00004031560820240809003653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</si>
</sst>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8"/>
      <c r="J5" s="58"/>
      <c r="K5" s="58"/>
      <c r="L5" s="58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7" t="s">
        <v>15</v>
      </c>
      <c r="I8" s="57"/>
      <c r="J8" s="57"/>
      <c r="K8" s="57"/>
      <c r="L8" s="57"/>
      <c r="M8" s="57"/>
    </row>
    <row r="9" spans="1:14" s="8" customFormat="1" ht="76.5" customHeight="1" x14ac:dyDescent="0.25">
      <c r="H9" s="57"/>
      <c r="I9" s="57"/>
      <c r="J9" s="57"/>
      <c r="K9" s="57"/>
      <c r="L9" s="57"/>
      <c r="M9" s="57"/>
    </row>
    <row r="10" spans="1:14" s="8" customFormat="1" x14ac:dyDescent="0.25">
      <c r="H10" s="57"/>
      <c r="I10" s="57"/>
      <c r="J10" s="57"/>
      <c r="K10" s="57"/>
      <c r="L10" s="57"/>
      <c r="M10" s="57"/>
    </row>
    <row r="11" spans="1:14" s="8" customFormat="1" x14ac:dyDescent="0.25">
      <c r="H11" s="57"/>
      <c r="I11" s="57"/>
      <c r="J11" s="57"/>
      <c r="K11" s="57"/>
      <c r="L11" s="57"/>
      <c r="M11" s="57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8"/>
      <c r="I14" s="58"/>
      <c r="J14" s="58"/>
      <c r="K14" s="58"/>
      <c r="L14" s="58"/>
      <c r="M14" s="58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4D63-96D4-4B8B-9A33-0D912C174A62}">
  <dimension ref="A1"/>
  <sheetViews>
    <sheetView tabSelected="1"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938A-22A5-4F46-91CA-66705924CCD6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45513.67183958333</v>
      </c>
      <c r="D2" s="20">
        <f ca="1">NOW()</f>
        <v>45513.67183958333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8B39-91DC-470F-8CAF-F756340ACC9D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5A27-D79B-4E4D-8DDD-2B9974F4261D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t="s">
        <v>0</v>
      </c>
    </row>
    <row r="2" spans="1:42" ht="20.25" customHeight="1" x14ac:dyDescent="0.25">
      <c r="A2" s="63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4" t="s">
        <v>124</v>
      </c>
      <c r="Z2" s="65"/>
      <c r="AA2" s="65"/>
      <c r="AB2" s="66"/>
      <c r="AC2" s="59" t="s">
        <v>109</v>
      </c>
      <c r="AD2" s="60"/>
      <c r="AE2" s="60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63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63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24001744</v>
      </c>
      <c r="K4" s="33">
        <v>287413</v>
      </c>
      <c r="L4" s="33">
        <v>52081900</v>
      </c>
      <c r="M4" s="33" t="s">
        <v>464</v>
      </c>
      <c r="N4" s="21">
        <v>685.18</v>
      </c>
      <c r="O4" s="21" t="s">
        <v>231</v>
      </c>
      <c r="Q4" s="21" t="s">
        <v>461</v>
      </c>
      <c r="R4" s="21">
        <v>97656</v>
      </c>
      <c r="S4" s="21">
        <v>66911938.079999998</v>
      </c>
      <c r="U4">
        <v>1</v>
      </c>
      <c r="V4">
        <v>29</v>
      </c>
      <c r="W4" t="s">
        <v>121</v>
      </c>
      <c r="Y4">
        <v>1</v>
      </c>
      <c r="Z4" s="33">
        <v>24001744</v>
      </c>
      <c r="AA4" s="40">
        <v>45513</v>
      </c>
      <c r="AB4">
        <v>343</v>
      </c>
      <c r="AC4">
        <v>1</v>
      </c>
      <c r="AD4" t="s">
        <v>458</v>
      </c>
      <c r="AE4" t="s">
        <v>465</v>
      </c>
      <c r="AG4" t="s">
        <v>221</v>
      </c>
      <c r="AH4" t="s">
        <v>113</v>
      </c>
      <c r="AI4" s="40">
        <v>45425</v>
      </c>
      <c r="AJ4" t="str">
        <f>IF($D$3=1201,"BANDUNG","CIREBON")</f>
        <v>BANDUNG</v>
      </c>
      <c r="AL4">
        <v>686</v>
      </c>
    </row>
    <row r="5" spans="1:42" x14ac:dyDescent="0.25">
      <c r="A5" s="63"/>
      <c r="B5" s="23" t="s">
        <v>52</v>
      </c>
      <c r="C5" s="21"/>
      <c r="D5" s="25" t="s">
        <v>56</v>
      </c>
      <c r="E5" s="24"/>
      <c r="F5" s="24" t="b">
        <v>1</v>
      </c>
      <c r="G5" s="22"/>
      <c r="W5" s="33"/>
      <c r="Z5" s="50"/>
      <c r="AI5" s="40">
        <v>45425</v>
      </c>
    </row>
    <row r="6" spans="1:42" x14ac:dyDescent="0.25">
      <c r="A6" s="63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I6" s="56"/>
      <c r="Z6" s="50"/>
    </row>
    <row r="7" spans="1:42" x14ac:dyDescent="0.25">
      <c r="A7" s="63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  <c r="I7" s="56"/>
      <c r="Z7" s="50"/>
    </row>
    <row r="8" spans="1:42" x14ac:dyDescent="0.25">
      <c r="A8" s="63"/>
      <c r="B8" s="23" t="s">
        <v>47</v>
      </c>
      <c r="C8" s="22"/>
      <c r="D8" s="31" t="s">
        <v>468</v>
      </c>
      <c r="E8" s="24"/>
      <c r="F8" s="24" t="b">
        <v>1</v>
      </c>
      <c r="G8" s="22"/>
      <c r="I8" s="55"/>
      <c r="Z8" s="50"/>
    </row>
    <row r="9" spans="1:42" x14ac:dyDescent="0.25">
      <c r="A9" s="63"/>
      <c r="B9" s="23" t="s">
        <v>46</v>
      </c>
      <c r="C9" s="22"/>
      <c r="D9" s="24" t="s">
        <v>60</v>
      </c>
      <c r="E9" s="24"/>
      <c r="F9" s="24" t="b">
        <v>1</v>
      </c>
      <c r="G9" s="22"/>
      <c r="I9" s="55"/>
      <c r="Z9" s="50"/>
    </row>
    <row r="10" spans="1:42" x14ac:dyDescent="0.25">
      <c r="A10" s="63"/>
      <c r="B10" s="23" t="s">
        <v>49</v>
      </c>
      <c r="C10" s="22"/>
      <c r="D10" s="24" t="s">
        <v>69</v>
      </c>
      <c r="E10" s="24"/>
      <c r="F10" s="24" t="b">
        <v>1</v>
      </c>
      <c r="G10" s="22"/>
      <c r="I10" s="55"/>
      <c r="Z10" s="50"/>
    </row>
    <row r="11" spans="1:42" x14ac:dyDescent="0.25">
      <c r="A11" s="63"/>
      <c r="B11" s="23"/>
      <c r="C11" s="22"/>
      <c r="D11" s="24"/>
      <c r="E11" s="24"/>
      <c r="F11" s="24"/>
      <c r="G11" s="22"/>
      <c r="I11" s="55"/>
      <c r="Z11" s="50"/>
    </row>
    <row r="12" spans="1:42" ht="12" customHeight="1" x14ac:dyDescent="0.25">
      <c r="A12" s="63"/>
      <c r="B12" s="10"/>
      <c r="C12" s="10"/>
      <c r="D12" s="10"/>
      <c r="E12" s="10"/>
      <c r="F12" s="10"/>
      <c r="G12" s="22"/>
      <c r="I12" s="55"/>
    </row>
    <row r="13" spans="1:42" ht="16.5" customHeight="1" x14ac:dyDescent="0.25">
      <c r="A13" s="63"/>
      <c r="B13" s="22"/>
      <c r="C13" s="22"/>
      <c r="D13" s="22"/>
      <c r="E13" s="22"/>
      <c r="F13" s="22"/>
      <c r="G13" s="22"/>
      <c r="I13" s="55"/>
    </row>
    <row r="14" spans="1:42" ht="20.25" customHeight="1" x14ac:dyDescent="0.25">
      <c r="A14" s="61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  <c r="I14" s="55"/>
    </row>
    <row r="15" spans="1:42" x14ac:dyDescent="0.25">
      <c r="A15" s="61"/>
      <c r="B15" s="23" t="s">
        <v>54</v>
      </c>
      <c r="C15" s="21"/>
      <c r="D15" s="25" t="s">
        <v>462</v>
      </c>
      <c r="E15" s="24"/>
      <c r="F15" s="24" t="b">
        <v>1</v>
      </c>
      <c r="G15" s="22"/>
      <c r="I15" s="55"/>
    </row>
    <row r="16" spans="1:42" x14ac:dyDescent="0.25">
      <c r="A16" s="61"/>
      <c r="B16" s="23" t="s">
        <v>39</v>
      </c>
      <c r="C16" s="22"/>
      <c r="D16" s="31" t="s">
        <v>57</v>
      </c>
      <c r="E16" s="24"/>
      <c r="F16" s="24" t="b">
        <v>1</v>
      </c>
      <c r="G16" s="22"/>
      <c r="I16" s="55"/>
    </row>
    <row r="17" spans="1:9" ht="120" x14ac:dyDescent="0.25">
      <c r="A17" s="61"/>
      <c r="B17" s="23" t="s">
        <v>455</v>
      </c>
      <c r="C17" s="22"/>
      <c r="D17" s="52" t="s">
        <v>463</v>
      </c>
      <c r="E17" s="24"/>
      <c r="F17" s="24" t="b">
        <v>1</v>
      </c>
      <c r="G17" s="22"/>
      <c r="I17" s="54"/>
    </row>
    <row r="18" spans="1:9" ht="16.5" customHeight="1" x14ac:dyDescent="0.25">
      <c r="A18" s="61"/>
      <c r="B18" s="22"/>
      <c r="C18" s="22"/>
      <c r="D18" s="22"/>
      <c r="E18" s="22"/>
      <c r="F18" s="22"/>
      <c r="G18" s="22"/>
      <c r="I18" s="54"/>
    </row>
    <row r="19" spans="1:9" x14ac:dyDescent="0.25">
      <c r="I19" s="54"/>
    </row>
    <row r="20" spans="1:9" x14ac:dyDescent="0.25">
      <c r="I20" s="54"/>
    </row>
    <row r="21" spans="1:9" x14ac:dyDescent="0.25">
      <c r="I21" s="54"/>
    </row>
    <row r="22" spans="1:9" x14ac:dyDescent="0.25">
      <c r="I22" s="54"/>
    </row>
    <row r="23" spans="1:9" x14ac:dyDescent="0.25">
      <c r="I23" s="54"/>
    </row>
    <row r="24" spans="1:9" x14ac:dyDescent="0.25">
      <c r="I24" s="54"/>
    </row>
    <row r="25" spans="1:9" x14ac:dyDescent="0.25">
      <c r="I25" s="54"/>
    </row>
    <row r="26" spans="1:9" x14ac:dyDescent="0.25">
      <c r="I26" s="53"/>
    </row>
    <row r="27" spans="1:9" x14ac:dyDescent="0.25">
      <c r="I27" s="53"/>
    </row>
    <row r="28" spans="1:9" x14ac:dyDescent="0.25">
      <c r="I28" s="53"/>
    </row>
    <row r="29" spans="1:9" x14ac:dyDescent="0.25">
      <c r="I29" s="53"/>
    </row>
    <row r="30" spans="1:9" x14ac:dyDescent="0.25">
      <c r="I30" s="53"/>
    </row>
    <row r="31" spans="1:9" x14ac:dyDescent="0.25">
      <c r="I31" s="53"/>
    </row>
    <row r="32" spans="1:9" x14ac:dyDescent="0.25">
      <c r="I32" s="53"/>
    </row>
    <row r="33" spans="9:9" x14ac:dyDescent="0.25">
      <c r="I33" s="53"/>
    </row>
    <row r="34" spans="9:9" x14ac:dyDescent="0.25">
      <c r="I34" s="53"/>
    </row>
    <row r="1048575" spans="27:27" x14ac:dyDescent="0.25">
      <c r="AA1048575"/>
    </row>
    <row r="1048576" spans="27:27" x14ac:dyDescent="0.25">
      <c r="AA1048576"/>
    </row>
  </sheetData>
  <autoFilter ref="U3:W5" xr:uid="{74945A27-D79B-4E4D-8DDD-2B9974F4261D}">
    <sortState xmlns:xlrd2="http://schemas.microsoft.com/office/spreadsheetml/2017/richdata2" ref="U4:W5">
      <sortCondition ref="U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99FB-D7EE-4362-9445-DD00DCD16B9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52081900</v>
      </c>
      <c r="D2">
        <v>287413</v>
      </c>
      <c r="E2" t="s">
        <v>464</v>
      </c>
      <c r="J2" t="s">
        <v>231</v>
      </c>
      <c r="K2">
        <v>685.18</v>
      </c>
      <c r="L2" t="s">
        <v>121</v>
      </c>
      <c r="M2">
        <v>29</v>
      </c>
      <c r="T2" s="43">
        <v>685.18</v>
      </c>
      <c r="AH2">
        <v>66911938.079999998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76B2-C83F-43BC-8A2A-0F3FBCD4430F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99F876B2-C83F-43BC-8A2A-0F3FBCD4430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A12D-30D9-4DEF-928A-19D14E3386A6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231</v>
      </c>
      <c r="L2">
        <v>685.18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Z21"/>
  <sheetViews>
    <sheetView topLeftCell="C1" zoomScale="85" zoomScaleNormal="85" workbookViewId="0">
      <selection activeCell="N10" sqref="N10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466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467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disablePrompts="1" count="1">
    <dataValidation type="list" allowBlank="1" showInputMessage="1" showErrorMessage="1" sqref="B2:B10 E2:E3" xr:uid="{6CFE8AA0-0DC0-4F0B-81EE-1A630B7F60A7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BEAF-888B-4127-B3B7-EC199EFD9B8D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Sheet1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fandriyani</cp:lastModifiedBy>
  <cp:lastPrinted>2023-07-14T03:21:57Z</cp:lastPrinted>
  <dcterms:created xsi:type="dcterms:W3CDTF">2023-04-11T02:47:24Z</dcterms:created>
  <dcterms:modified xsi:type="dcterms:W3CDTF">2024-08-09T09:08:06Z</dcterms:modified>
</cp:coreProperties>
</file>