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40\"/>
    </mc:Choice>
  </mc:AlternateContent>
  <xr:revisionPtr revIDLastSave="0" documentId="13_ncr:1_{E7075559-E81B-4954-B4D8-E56DD43CF79B}" xr6:coauthVersionLast="47" xr6:coauthVersionMax="47" xr10:uidLastSave="{00000000-0000-0000-0000-000000000000}"/>
  <bookViews>
    <workbookView xWindow="-120" yWindow="-120" windowWidth="20640" windowHeight="11160" xr2:uid="{7E7A7F93-5039-4D12-8102-F8D7E7D5379D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state="hidden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Validasi!$U$3:$W$6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25" l="1"/>
  <c r="N5" i="2" l="1"/>
  <c r="F7" i="25" s="1"/>
  <c r="N9" i="2"/>
  <c r="F6" i="25"/>
  <c r="F4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<sst xmlns="http://schemas.openxmlformats.org/spreadsheetml/2006/main" count="715" uniqueCount="470">
  <si>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</si>
  <si>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</si>
  <si>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</si>
  <si>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</si>
  <si>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</si>
  <si>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</si>
  <si>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</si>
  <si>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</si>
  <si>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</si>
  <si>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</si>
  <si>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</si>
  <si>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</si>
  <si>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</si>
  <si>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</si>
  <si>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</si>
  <si>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</si>
  <si>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</si>
  <si>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</si>
  <si>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</si>
  <si>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</si>
  <si>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</si>
  <si>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</si>
  <si>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</si>
  <si>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</si>
  <si>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</si>
  <si>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</si>
  <si>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</si>
  <si>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</si>
  <si>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</si>
  <si>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</si>
  <si>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</si>
  <si>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</si>
  <si>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</si>
  <si>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</si>
  <si>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</si>
  <si>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</si>
  <si>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</si>
  <si>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</si>
  <si>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</si>
  <si>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</si>
  <si>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</si>
  <si>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</si>
  <si>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</si>
  <si>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</si>
  <si>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</si>
  <si>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</si>
  <si>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</si>
  <si>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</si>
  <si>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</si>
  <si>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</si>
  <si>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</si>
  <si>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</si>
  <si>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</si>
  <si>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</si>
  <si>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</si>
  <si>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</si>
  <si>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</si>
  <si>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</si>
  <si>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</si>
  <si>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</si>
  <si>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</si>
  <si>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</si>
  <si>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</si>
  <si>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</si>
  <si>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</si>
  <si>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</si>
  <si>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</si>
  <si>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</si>
  <si>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</si>
  <si>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</si>
  <si>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</si>
  <si>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</si>
  <si>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</si>
  <si>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</si>
  <si>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</si>
  <si>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</si>
  <si>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</si>
  <si>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</si>
  <si>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</si>
  <si>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</si>
  <si>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</si>
  <si>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</si>
  <si>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</si>
  <si>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</si>
  <si>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</si>
  <si>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</si>
  <si>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</si>
  <si>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</si>
  <si>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</si>
  <si>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</si>
  <si>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</si>
  <si>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</si>
  <si>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</si>
  <si>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</si>
  <si>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</si>
  <si>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</si>
  <si>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</si>
  <si>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</si>
  <si>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</si>
  <si>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</si>
  <si>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</si>
  <si>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</si>
  <si>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</si>
  <si>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</si>
  <si>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</si>
  <si>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</si>
  <si>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</si>
  <si>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</si>
  <si>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</si>
  <si>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</si>
  <si>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</si>
  <si>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</si>
  <si>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</si>
  <si>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</si>
  <si>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</si>
  <si>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</si>
  <si>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</si>
  <si>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</si>
  <si>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</si>
  <si>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</si>
  <si>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</si>
  <si>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</si>
  <si>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</si>
  <si>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</si>
  <si>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</si>
  <si>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</si>
  <si>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</si>
  <si>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</si>
  <si>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</si>
  <si>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</si>
  <si>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</si>
  <si>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</si>
  <si>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</si>
  <si>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</si>
  <si>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</si>
  <si>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</si>
  <si>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</si>
  <si>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</si>
  <si>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</si>
  <si>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</si>
  <si>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</si>
  <si>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</si>
  <si>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</si>
  <si>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</si>
  <si>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</si>
  <si>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</si>
  <si>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</si>
  <si>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</si>
  <si>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</si>
  <si>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</si>
  <si>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</si>
  <si>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</si>
  <si>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</si>
  <si>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</si>
  <si>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</si>
  <si>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</si>
  <si>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</si>
  <si>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</si>
  <si>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</si>
  <si>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</si>
  <si>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</si>
  <si>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</si>
  <si>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</si>
  <si>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</si>
  <si>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</si>
  <si>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</si>
  <si>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</si>
  <si>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</si>
  <si>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</si>
  <si>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</si>
  <si>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</si>
  <si>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</si>
  <si>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</si>
  <si>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</si>
  <si>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</si>
  <si>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</si>
  <si>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</si>
  <si>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</si>
  <si>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</si>
  <si>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</si>
  <si>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</si>
  <si>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</si>
  <si>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</si>
  <si>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</si>
  <si>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</si>
  <si>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</si>
  <si>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</si>
  <si>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</si>
  <si>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</si>
  <si>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</si>
  <si>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</si>
  <si>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</si>
  <si>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</si>
  <si>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</si>
  <si>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</si>
  <si>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</si>
  <si>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</si>
  <si>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</si>
  <si>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</si>
  <si>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</si>
  <si>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</si>
  <si>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</si>
  <si>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</si>
  <si>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</si>
  <si>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</si>
  <si>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</si>
  <si>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</si>
  <si>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</si>
  <si>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</si>
  <si>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</si>
  <si>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</si>
  <si>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</si>
  <si>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</si>
  <si>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</si>
  <si>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</si>
  <si>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</si>
  <si>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</si>
  <si>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</si>
  <si>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</si>
  <si>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</si>
  <si>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</si>
  <si>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</si>
  <si>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</si>
  <si>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</si>
  <si>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</si>
  <si>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</si>
  <si>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</si>
  <si>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</si>
  <si>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</si>
  <si>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</si>
  <si>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</si>
  <si>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</si>
  <si>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</si>
  <si>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</si>
  <si>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</si>
  <si>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</si>
  <si>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</si>
  <si>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</si>
  <si>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</si>
  <si>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</si>
  <si>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</si>
  <si>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</si>
  <si>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</si>
  <si>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</si>
  <si>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</si>
  <si>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</si>
  <si>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</si>
  <si>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</si>
  <si>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</si>
  <si>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</si>
  <si>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</si>
  <si>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</si>
  <si>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</si>
  <si>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</si>
  <si>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</si>
  <si>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</si>
  <si>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</si>
  <si>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</si>
  <si>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</si>
  <si>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</si>
  <si>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</si>
  <si>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</si>
  <si>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</si>
  <si>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</si>
  <si>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</si>
  <si>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</si>
  <si>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</si>
  <si>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</si>
  <si>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</si>
  <si>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</si>
  <si>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</si>
  <si>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</si>
  <si>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</si>
  <si>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</si>
  <si>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</si>
  <si>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</si>
  <si>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</si>
  <si>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</si>
  <si>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</si>
  <si>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</si>
  <si>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</si>
  <si>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</si>
  <si>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</si>
  <si>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</si>
  <si>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</si>
  <si>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</si>
  <si>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</si>
  <si>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</si>
  <si>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</si>
  <si>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</si>
  <si>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</si>
  <si>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</si>
  <si>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</si>
  <si>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</si>
  <si>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</si>
  <si>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</si>
  <si>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</si>
  <si>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</si>
  <si>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</si>
  <si>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</si>
  <si>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</si>
  <si>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</si>
  <si>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</si>
  <si>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</si>
  <si>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</si>
  <si>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</si>
  <si>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</si>
  <si>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</si>
  <si>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</si>
  <si>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</si>
  <si>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</si>
  <si>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</si>
  <si>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</si>
  <si>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</si>
  <si>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</si>
  <si>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</si>
  <si>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</si>
  <si>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</si>
  <si>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</si>
  <si>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</si>
  <si>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</si>
  <si>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</si>
  <si>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</si>
  <si>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</si>
  <si>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</si>
  <si>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</si>
  <si>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</si>
  <si>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</si>
  <si>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</si>
  <si>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</si>
  <si>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</si>
  <si>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</si>
  <si>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</si>
  <si>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</si>
  <si>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</si>
  <si>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</si>
  <si>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</si>
  <si>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</si>
  <si>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</si>
  <si>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</si>
  <si>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</si>
  <si>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</si>
  <si>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</si>
  <si>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</si>
  <si>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</si>
  <si>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</si>
  <si>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</si>
  <si>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</si>
  <si>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</si>
  <si>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</si>
  <si>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</si>
  <si>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</si>
  <si>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</si>
  <si>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</si>
  <si>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</si>
  <si>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</si>
  <si>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</si>
  <si>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</si>
  <si>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</si>
  <si>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</si>
  <si>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</si>
  <si>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</si>
  <si>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</si>
  <si>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</si>
  <si>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</si>
  <si>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</si>
  <si>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</si>
  <si>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</si>
  <si>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</si>
  <si>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</si>
  <si>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</si>
  <si>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</si>
  <si>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</si>
  <si>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</si>
  <si>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</si>
  <si>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</si>
  <si>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</si>
  <si>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</si>
  <si>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</si>
  <si>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</si>
  <si>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</si>
  <si>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</si>
  <si>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</si>
  <si>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</si>
  <si>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</si>
  <si>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</si>
  <si>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</si>
  <si>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</si>
  <si>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</si>
  <si>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</si>
  <si>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</si>
  <si>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</si>
  <si>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</si>
  <si>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</si>
  <si>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</si>
  <si>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</si>
  <si>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</si>
  <si>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</si>
  <si>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</si>
  <si>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</si>
  <si>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</si>
  <si>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</si>
  <si>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</si>
  <si>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</si>
  <si>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</si>
  <si>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</si>
  <si>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</si>
  <si>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</si>
  <si>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</si>
  <si>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</si>
  <si>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</si>
  <si>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</si>
  <si>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</si>
  <si>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</si>
  <si>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</si>
  <si>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</si>
  <si>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</si>
  <si>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</si>
  <si>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</si>
  <si>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</si>
  <si>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</si>
  <si>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</si>
  <si>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</si>
  <si>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</si>
  <si>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</si>
  <si>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</si>
  <si>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</si>
  <si>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</si>
  <si>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</si>
  <si>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</si>
  <si>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</si>
  <si>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</si>
  <si>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</si>
  <si>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</si>
  <si>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</si>
  <si>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</si>
  <si>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</si>
  <si>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</si>
  <si>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</si>
  <si>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</si>
  <si>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</si>
  <si>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</si>
  <si>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</si>
  <si>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</si>
  <si>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</si>
  <si>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</si>
  <si>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</si>
  <si>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</si>
  <si>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</si>
  <si>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</si>
  <si>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</si>
  <si>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</si>
  <si>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</si>
  <si>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</si>
  <si>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</si>
  <si>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</si>
  <si>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</si>
  <si>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</si>
  <si>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</si>
  <si>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</si>
  <si>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</si>
  <si>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USD</t>
  </si>
  <si>
    <t>KAHATEX</t>
  </si>
  <si>
    <t>JL CIJERAH CIGONDEWAH GIRANG, NO. 16, RW 032, RT 001, MELONG, CIMAHI SELATAN, KOTA CIMAHI, JAWA BARAT, 40534</t>
  </si>
  <si>
    <t>011045861092000</t>
  </si>
  <si>
    <t>C:\Users\fandriyani\Downloads\00004031560820240723003397.xlsx</t>
  </si>
  <si>
    <t>C:\Users\fandriyani\Downloads\R554301C_GG0002_1770632_PDF.csv</t>
  </si>
  <si>
    <t>00004031560820240723003397</t>
  </si>
  <si>
    <t>CTN67% POLY30% SPX3% CVC DENIM FBRC WDTH 52"180G,SXE BLU,NISH</t>
  </si>
  <si>
    <t>D 8716 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</si>
</sst>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L7" sqref="L7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4"/>
      <c r="J5" s="54"/>
      <c r="K5" s="54"/>
      <c r="L5" s="54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3" t="s">
        <v>15</v>
      </c>
      <c r="I8" s="53"/>
      <c r="J8" s="53"/>
      <c r="K8" s="53"/>
      <c r="L8" s="53"/>
      <c r="M8" s="53"/>
    </row>
    <row r="9" spans="1:14" s="8" customFormat="1" ht="76.5" customHeight="1" x14ac:dyDescent="0.25">
      <c r="H9" s="53"/>
      <c r="I9" s="53"/>
      <c r="J9" s="53"/>
      <c r="K9" s="53"/>
      <c r="L9" s="53"/>
      <c r="M9" s="53"/>
    </row>
    <row r="10" spans="1:14" s="8" customFormat="1" x14ac:dyDescent="0.25">
      <c r="H10" s="53"/>
      <c r="I10" s="53"/>
      <c r="J10" s="53"/>
      <c r="K10" s="53"/>
      <c r="L10" s="53"/>
      <c r="M10" s="53"/>
    </row>
    <row r="11" spans="1:14" s="8" customFormat="1" x14ac:dyDescent="0.25">
      <c r="H11" s="53"/>
      <c r="I11" s="53"/>
      <c r="J11" s="53"/>
      <c r="K11" s="53"/>
      <c r="L11" s="53"/>
      <c r="M11" s="53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4"/>
      <c r="I14" s="54"/>
      <c r="J14" s="54"/>
      <c r="K14" s="54"/>
      <c r="L14" s="54"/>
      <c r="M14" s="54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938A-22A5-4F46-91CA-66705924CCD6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45498.461754629629</v>
      </c>
      <c r="D2" s="20">
        <f ca="1">NOW()</f>
        <v>45498.461754629629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8B39-91DC-470F-8CAF-F756340ACC9D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5A27-D79B-4E4D-8DDD-2B9974F4261D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t="s">
        <v>0</v>
      </c>
    </row>
    <row r="2" spans="1:42" ht="20.25" customHeight="1" x14ac:dyDescent="0.25">
      <c r="A2" s="59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0" t="s">
        <v>124</v>
      </c>
      <c r="Z2" s="61"/>
      <c r="AA2" s="61"/>
      <c r="AB2" s="62"/>
      <c r="AC2" s="55" t="s">
        <v>109</v>
      </c>
      <c r="AD2" s="56"/>
      <c r="AE2" s="56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59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59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24001743</v>
      </c>
      <c r="K4" s="33">
        <v>287414</v>
      </c>
      <c r="L4" s="33">
        <v>52081900</v>
      </c>
      <c r="M4" s="33" t="s">
        <v>468</v>
      </c>
      <c r="N4" s="21">
        <v>115.85</v>
      </c>
      <c r="O4" s="21" t="s">
        <v>231</v>
      </c>
      <c r="Q4" s="21" t="s">
        <v>461</v>
      </c>
      <c r="R4" s="21">
        <v>97392</v>
      </c>
      <c r="S4" s="21">
        <v>11282863.199999999</v>
      </c>
      <c r="U4">
        <v>1</v>
      </c>
      <c r="V4">
        <v>5</v>
      </c>
      <c r="W4" s="33" t="s">
        <v>121</v>
      </c>
      <c r="Y4">
        <v>1</v>
      </c>
      <c r="Z4" s="50">
        <v>24001743</v>
      </c>
      <c r="AA4" s="40">
        <v>45496</v>
      </c>
      <c r="AB4">
        <v>343</v>
      </c>
      <c r="AC4">
        <v>1</v>
      </c>
      <c r="AD4" t="s">
        <v>458</v>
      </c>
      <c r="AE4" t="s">
        <v>469</v>
      </c>
      <c r="AG4" t="s">
        <v>221</v>
      </c>
      <c r="AH4" t="s">
        <v>113</v>
      </c>
      <c r="AI4" s="40">
        <v>45345</v>
      </c>
      <c r="AJ4" t="str">
        <f>IF($D$3=1201,"BANDUNG","CIREBON")</f>
        <v>BANDUNG</v>
      </c>
      <c r="AL4">
        <v>116</v>
      </c>
    </row>
    <row r="5" spans="1:42" x14ac:dyDescent="0.25">
      <c r="A5" s="59"/>
      <c r="B5" s="23" t="s">
        <v>52</v>
      </c>
      <c r="C5" s="21"/>
      <c r="D5" s="25" t="s">
        <v>56</v>
      </c>
      <c r="E5" s="24"/>
      <c r="F5" s="24" t="b">
        <v>1</v>
      </c>
      <c r="G5" s="22"/>
      <c r="Z5" s="50"/>
      <c r="AI5" s="40">
        <v>45345</v>
      </c>
    </row>
    <row r="6" spans="1:42" x14ac:dyDescent="0.25">
      <c r="A6" s="59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Z6" s="50"/>
    </row>
    <row r="7" spans="1:42" x14ac:dyDescent="0.25">
      <c r="A7" s="59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</row>
    <row r="8" spans="1:42" x14ac:dyDescent="0.25">
      <c r="A8" s="59"/>
      <c r="B8" s="23" t="s">
        <v>47</v>
      </c>
      <c r="C8" s="22"/>
      <c r="D8" s="31" t="s">
        <v>467</v>
      </c>
      <c r="E8" s="24"/>
      <c r="F8" s="24" t="b">
        <v>1</v>
      </c>
      <c r="G8" s="22"/>
      <c r="Z8" s="50"/>
    </row>
    <row r="9" spans="1:42" x14ac:dyDescent="0.25">
      <c r="A9" s="59"/>
      <c r="B9" s="23" t="s">
        <v>46</v>
      </c>
      <c r="C9" s="22"/>
      <c r="D9" s="24" t="s">
        <v>60</v>
      </c>
      <c r="E9" s="24"/>
      <c r="F9" s="24" t="b">
        <v>1</v>
      </c>
      <c r="G9" s="22"/>
      <c r="Z9" s="50"/>
    </row>
    <row r="10" spans="1:42" x14ac:dyDescent="0.25">
      <c r="A10" s="59"/>
      <c r="B10" s="23" t="s">
        <v>49</v>
      </c>
      <c r="C10" s="22"/>
      <c r="D10" s="24" t="s">
        <v>69</v>
      </c>
      <c r="E10" s="24"/>
      <c r="F10" s="24" t="b">
        <v>1</v>
      </c>
      <c r="G10" s="22"/>
      <c r="Z10" s="50"/>
    </row>
    <row r="11" spans="1:42" x14ac:dyDescent="0.25">
      <c r="A11" s="59"/>
      <c r="B11" s="23"/>
      <c r="C11" s="22"/>
      <c r="D11" s="24"/>
      <c r="E11" s="24"/>
      <c r="F11" s="24"/>
      <c r="G11" s="22"/>
      <c r="Z11" s="50"/>
    </row>
    <row r="12" spans="1:42" ht="12" customHeight="1" x14ac:dyDescent="0.25">
      <c r="A12" s="59"/>
      <c r="B12" s="10"/>
      <c r="C12" s="10"/>
      <c r="D12" s="10"/>
      <c r="E12" s="10"/>
      <c r="F12" s="10"/>
      <c r="G12" s="22"/>
    </row>
    <row r="13" spans="1:42" ht="16.5" customHeight="1" x14ac:dyDescent="0.25">
      <c r="A13" s="59"/>
      <c r="B13" s="22"/>
      <c r="C13" s="22"/>
      <c r="D13" s="22"/>
      <c r="E13" s="22"/>
      <c r="F13" s="22"/>
      <c r="G13" s="22"/>
    </row>
    <row r="14" spans="1:42" ht="20.25" customHeight="1" x14ac:dyDescent="0.25">
      <c r="A14" s="57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</row>
    <row r="15" spans="1:42" x14ac:dyDescent="0.25">
      <c r="A15" s="57"/>
      <c r="B15" s="23" t="s">
        <v>54</v>
      </c>
      <c r="C15" s="21"/>
      <c r="D15" s="25" t="s">
        <v>462</v>
      </c>
      <c r="E15" s="24"/>
      <c r="F15" s="24" t="b">
        <v>1</v>
      </c>
      <c r="G15" s="22"/>
    </row>
    <row r="16" spans="1:42" x14ac:dyDescent="0.25">
      <c r="A16" s="57"/>
      <c r="B16" s="23" t="s">
        <v>39</v>
      </c>
      <c r="C16" s="22"/>
      <c r="D16" s="31" t="s">
        <v>464</v>
      </c>
      <c r="E16" s="24"/>
      <c r="F16" s="24" t="b">
        <v>1</v>
      </c>
      <c r="G16" s="22"/>
    </row>
    <row r="17" spans="1:7" ht="120" x14ac:dyDescent="0.25">
      <c r="A17" s="57"/>
      <c r="B17" s="23" t="s">
        <v>455</v>
      </c>
      <c r="C17" s="22"/>
      <c r="D17" s="52" t="s">
        <v>463</v>
      </c>
      <c r="E17" s="24"/>
      <c r="F17" s="24" t="b">
        <v>1</v>
      </c>
      <c r="G17" s="22"/>
    </row>
    <row r="18" spans="1:7" ht="16.5" customHeight="1" x14ac:dyDescent="0.25">
      <c r="A18" s="57"/>
      <c r="B18" s="22"/>
      <c r="C18" s="22"/>
      <c r="D18" s="22"/>
      <c r="E18" s="22"/>
      <c r="F18" s="22"/>
      <c r="G18" s="22"/>
    </row>
    <row r="1048575" spans="27:27" x14ac:dyDescent="0.25">
      <c r="AA1048575"/>
    </row>
    <row r="1048576" spans="27:27" x14ac:dyDescent="0.25">
      <c r="AA1048576"/>
    </row>
  </sheetData>
  <autoFilter ref="U3:W6" xr:uid="{74945A27-D79B-4E4D-8DDD-2B9974F4261D}">
    <sortState xmlns:xlrd2="http://schemas.microsoft.com/office/spreadsheetml/2017/richdata2" ref="U4:W6">
      <sortCondition ref="U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99FB-D7EE-4362-9445-DD00DCD16B9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52081900</v>
      </c>
      <c r="D2">
        <v>287414</v>
      </c>
      <c r="E2" t="s">
        <v>468</v>
      </c>
      <c r="J2" t="s">
        <v>231</v>
      </c>
      <c r="K2">
        <v>115.85</v>
      </c>
      <c r="L2" t="s">
        <v>121</v>
      </c>
      <c r="M2">
        <v>5</v>
      </c>
      <c r="T2" s="43">
        <v>115.85</v>
      </c>
      <c r="AH2">
        <v>11282863.199999999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76B2-C83F-43BC-8A2A-0F3FBCD4430F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99F876B2-C83F-43BC-8A2A-0F3FBCD4430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A12D-30D9-4DEF-928A-19D14E3386A6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231</v>
      </c>
      <c r="L2">
        <v>115.85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Z21"/>
  <sheetViews>
    <sheetView topLeftCell="C1" zoomScale="85" zoomScaleNormal="85" workbookViewId="0">
      <selection activeCell="N10" sqref="N10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465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466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disablePrompts="1" count="1">
    <dataValidation type="list" allowBlank="1" showInputMessage="1" showErrorMessage="1" sqref="B2:B10 E2:E3" xr:uid="{6CFE8AA0-0DC0-4F0B-81EE-1A630B7F60A7}">
      <formula1>"TRUE,FALSE"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BEAF-888B-4127-B3B7-EC199EFD9B8D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2024-07-25T04:04:56Z</dcterms:modified>
</cp:coreProperties>
</file>