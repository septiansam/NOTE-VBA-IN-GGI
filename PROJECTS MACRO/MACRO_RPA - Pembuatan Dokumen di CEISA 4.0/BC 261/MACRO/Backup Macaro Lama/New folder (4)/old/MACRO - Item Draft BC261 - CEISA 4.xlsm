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BC 261\MACRO\"/>
    </mc:Choice>
  </mc:AlternateContent>
  <xr:revisionPtr revIDLastSave="0" documentId="13_ncr:1_{7800B3B9-6B13-4A0B-A914-8487B75BA211}" xr6:coauthVersionLast="47" xr6:coauthVersionMax="47" xr10:uidLastSave="{00000000-0000-0000-0000-000000000000}"/>
  <bookViews>
    <workbookView xWindow="-120" yWindow="-120" windowWidth="20730" windowHeight="11160" tabRatio="685" activeTab="3" xr2:uid="{7E7A7F93-5039-4D12-8102-F8D7E7D5379D}"/>
  </bookViews>
  <sheets>
    <sheet name="(M)" sheetId="12" r:id="rId1"/>
    <sheet name="BARANG" sheetId="132" state="hidden" r:id="rId2"/>
    <sheet name="DV_Items" sheetId="137" r:id="rId3"/>
    <sheet name="DV_Entitas" sheetId="139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BARANG!$A$1:$A$2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F6" i="137"/>
  <c r="I6" i="137"/>
  <c r="L6" i="137"/>
  <c r="O6" i="137"/>
  <c r="R6" i="137"/>
  <c r="U6" i="137"/>
  <c r="X6" i="137"/>
  <c r="AA6" i="137"/>
  <c r="AD6" i="137"/>
  <c r="AG6" i="137"/>
  <c r="AJ6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<sst xmlns="http://schemas.openxmlformats.org/spreadsheetml/2006/main" count="384" uniqueCount="209">
  <si>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</si>
  <si>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</si>
  <si>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</si>
  <si>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</si>
  <si>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</si>
  <si>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</si>
  <si>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</si>
  <si>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</si>
  <si>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</si>
  <si>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</si>
  <si>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</si>
  <si>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</si>
  <si>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</si>
  <si>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</si>
  <si>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</si>
  <si>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</si>
  <si>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</si>
  <si>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</si>
  <si>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</si>
  <si>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</si>
  <si>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</si>
  <si>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</si>
  <si>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</si>
  <si>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</si>
  <si>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</si>
  <si>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</si>
  <si>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</si>
  <si>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</si>
  <si>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</si>
  <si>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</si>
  <si>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</si>
  <si>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</si>
  <si>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</si>
  <si>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</si>
  <si>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</si>
  <si>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</si>
  <si>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</si>
  <si>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</si>
  <si>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</si>
  <si>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</si>
  <si>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</si>
  <si>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</si>
  <si>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</si>
  <si>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</si>
  <si>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</si>
  <si>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</si>
  <si>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</si>
  <si>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</si>
  <si>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</si>
  <si>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</si>
  <si>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</si>
  <si>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</si>
  <si>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</si>
  <si>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</si>
  <si>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</si>
  <si>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</si>
  <si>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</si>
  <si>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</si>
  <si>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</si>
  <si>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</si>
  <si>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</si>
  <si>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</si>
  <si>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</si>
  <si>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</si>
  <si>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</si>
  <si>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</si>
  <si>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</si>
  <si>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</si>
  <si>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</si>
  <si>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</si>
  <si>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</si>
  <si>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</si>
  <si>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</si>
  <si>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</si>
  <si>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</si>
  <si>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</si>
  <si>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</si>
  <si>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</si>
  <si>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</si>
  <si>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</si>
  <si>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</si>
  <si>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</si>
  <si>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</si>
  <si>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</si>
  <si>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</si>
  <si>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</si>
  <si>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</si>
  <si>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</si>
  <si>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</si>
  <si>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</si>
  <si>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</si>
  <si>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</si>
  <si>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</si>
  <si>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</si>
  <si>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</si>
  <si>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</si>
  <si>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</si>
  <si>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</si>
  <si>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</si>
  <si>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</si>
  <si>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</si>
  <si>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</si>
  <si>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</si>
  <si>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</si>
  <si>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</si>
  <si>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</si>
  <si>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</si>
  <si>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</si>
  <si>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</si>
  <si>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</si>
  <si>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</si>
  <si>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</si>
  <si>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</si>
  <si>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</si>
  <si>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</si>
  <si>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</si>
  <si>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</si>
  <si>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</si>
  <si>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</si>
  <si>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</si>
  <si>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</si>
  <si>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</si>
  <si>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</si>
  <si>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</si>
  <si>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</si>
  <si>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</si>
  <si>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</si>
  <si>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</si>
  <si>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</si>
  <si>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</si>
  <si>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</si>
  <si>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</si>
  <si>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</si>
  <si>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</si>
  <si>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</si>
  <si>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</si>
  <si>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</si>
  <si>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</si>
  <si>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</si>
  <si>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</si>
  <si>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</si>
  <si>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</si>
  <si>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</si>
  <si>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</si>
  <si>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</si>
  <si>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</si>
  <si>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</si>
  <si>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</si>
  <si>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</si>
  <si>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</si>
  <si>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</si>
  <si>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</si>
  <si>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</si>
  <si>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</si>
  <si>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</si>
  <si>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</si>
  <si>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</si>
  <si>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</si>
  <si>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</si>
  <si>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</si>
  <si>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</si>
  <si>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</si>
  <si>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</si>
  <si>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</si>
  <si>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</si>
  <si>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</si>
  <si>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</si>
  <si>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</si>
  <si>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</si>
  <si>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</si>
  <si>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</si>
  <si>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</si>
  <si>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</si>
  <si>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</si>
  <si>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</si>
  <si>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</si>
  <si>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</si>
  <si>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</si>
  <si>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</si>
  <si>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</si>
  <si>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</si>
  <si>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</si>
  <si>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</si>
  <si>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</si>
  <si>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</si>
  <si>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</si>
  <si>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</si>
  <si>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Warna Default/ga dibhapus</t>
  </si>
  <si>
    <t>Total CIF</t>
  </si>
  <si>
    <t>BARANG (SERI BARANG KE 1)</t>
  </si>
  <si>
    <t>0820230643</t>
  </si>
  <si>
    <t>TRUE</t>
  </si>
  <si>
    <t>ASURANSI PERISAI LISTRIK NASIONAL. PT</t>
  </si>
  <si>
    <t>24001037/O4/MAKLOON</t>
  </si>
  <si>
    <t>2024-05-08</t>
  </si>
  <si>
    <t>\\10.8.0.35\Bersama\path file\MACRO_RPA - Pembuatan Dokumen di CEISA 4.0\BC 261\MACRO\UjiDokumen_FormatForGCC_1201_BC.261.xlsx</t>
  </si>
  <si>
    <t>C:\Users\yanto\Downloads\BC 261 24001043-1201 08052024  .xlsx</t>
  </si>
  <si>
    <t>00026131560820240508000907</t>
  </si>
  <si>
    <t>TC SPANDEX SOLID 2X2RIB,230GSM</t>
  </si>
  <si>
    <t>287312</t>
  </si>
  <si>
    <t>02/23/2024</t>
  </si>
  <si>
    <t>C:\Users\yanto\Downloads\00026131560820240508000907 (1).xlsx</t>
  </si>
  <si>
    <t>2024050907</t>
  </si>
  <si>
    <t>24001043/O4/MAKLOON</t>
  </si>
  <si>
    <t>2024-04-27</t>
  </si>
  <si>
    <t>00238-M/BPJ/CB/2</t>
  </si>
  <si>
    <t>2024-04-29</t>
  </si>
  <si>
    <t>APLN.06.S05.24.097682</t>
  </si>
  <si>
    <t>S-198/KBC.0903/KBC.090312/2024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</si>
</sst>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&quot;$&quot;#,##0.00"/>
    <numFmt numFmtId="166" formatCode="mm/dd/yy;@"/>
    <numFmt numFmtId="167" formatCode="dd\-mm\-yyyy"/>
    <numFmt numFmtId="168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43" fontId="22" fillId="37" borderId="0" xfId="46" applyFont="1" applyFill="1" applyAlignment="1">
      <alignment horizontal="left"/>
    </xf>
    <xf numFmtId="164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5" fontId="0" fillId="0" borderId="0" xfId="0" applyNumberFormat="1"/>
    <xf numFmtId="43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6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7" fontId="37" fillId="44" borderId="17" xfId="0" applyNumberFormat="1" applyFont="1" applyFill="1" applyBorder="1" applyAlignment="1">
      <alignment horizontal="center"/>
    </xf>
    <xf numFmtId="167" fontId="37" fillId="44" borderId="0" xfId="0" applyNumberFormat="1" applyFont="1" applyFill="1" applyAlignment="1">
      <alignment horizontal="center"/>
    </xf>
    <xf numFmtId="167" fontId="37" fillId="44" borderId="15" xfId="0" applyNumberFormat="1" applyFont="1" applyFill="1" applyBorder="1" applyAlignment="1">
      <alignment horizontal="center"/>
    </xf>
    <xf numFmtId="167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8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7" fontId="36" fillId="45" borderId="21" xfId="0" applyNumberFormat="1" applyFont="1" applyFill="1" applyBorder="1" applyAlignment="1">
      <alignment horizontal="center"/>
    </xf>
    <xf numFmtId="167" fontId="36" fillId="45" borderId="22" xfId="0" applyNumberFormat="1" applyFont="1" applyFill="1" applyBorder="1" applyAlignment="1">
      <alignment horizontal="center"/>
    </xf>
    <xf numFmtId="167" fontId="36" fillId="45" borderId="14" xfId="0" applyNumberFormat="1" applyFont="1" applyFill="1" applyBorder="1" applyAlignment="1">
      <alignment horizontal="center"/>
    </xf>
    <xf numFmtId="167" fontId="36" fillId="45" borderId="16" xfId="0" applyNumberFormat="1" applyFont="1" applyFill="1" applyBorder="1" applyAlignment="1">
      <alignment horizontal="center"/>
    </xf>
    <xf numFmtId="167" fontId="36" fillId="45" borderId="19" xfId="0" applyNumberFormat="1" applyFont="1" applyFill="1" applyBorder="1" applyAlignment="1">
      <alignment horizontal="center"/>
    </xf>
    <xf numFmtId="167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2" activePane="bottomLeft" state="frozen"/>
      <selection pane="bottomLeft" activeCell="J13" sqref="J13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7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199</v>
      </c>
      <c r="C2">
        <v>60069000</v>
      </c>
      <c r="D2" t="s">
        <v>198</v>
      </c>
      <c r="E2">
        <v>1565.31</v>
      </c>
      <c r="F2" s="5" t="s">
        <v>26</v>
      </c>
      <c r="G2">
        <v>7826.55</v>
      </c>
      <c r="H2" s="16" t="s">
        <v>114</v>
      </c>
      <c r="I2" s="16">
        <v>40</v>
      </c>
      <c r="J2">
        <v>614168</v>
      </c>
      <c r="K2" t="s">
        <v>200</v>
      </c>
      <c r="L2" t="s">
        <v>27</v>
      </c>
      <c r="M2">
        <v>0</v>
      </c>
      <c r="N2">
        <v>11</v>
      </c>
      <c r="P2">
        <v>0</v>
      </c>
      <c r="Q2" s="5">
        <v>126398782.5</v>
      </c>
      <c r="R2">
        <v>57</v>
      </c>
      <c r="S2" t="s">
        <v>18</v>
      </c>
      <c r="T2">
        <v>1565.31</v>
      </c>
      <c r="W2" s="34"/>
    </row>
    <row r="3" spans="1:26" x14ac:dyDescent="0.25">
      <c r="K3"/>
      <c r="W3" s="34"/>
    </row>
    <row r="4" spans="1:26" x14ac:dyDescent="0.25">
      <c r="K4"/>
      <c r="W4" s="34"/>
    </row>
    <row r="5" spans="1:26" x14ac:dyDescent="0.25">
      <c r="K5"/>
      <c r="W5" s="34"/>
    </row>
    <row r="6" spans="1:26" x14ac:dyDescent="0.25">
      <c r="K6"/>
      <c r="W6" s="34"/>
    </row>
    <row r="7" spans="1:26" x14ac:dyDescent="0.25">
      <c r="K7"/>
      <c r="W7" s="34"/>
    </row>
    <row r="8" spans="1:26" x14ac:dyDescent="0.25">
      <c r="K8"/>
      <c r="W8" s="34"/>
    </row>
    <row r="9" spans="1:26" x14ac:dyDescent="0.25">
      <c r="K9"/>
      <c r="W9" s="34"/>
    </row>
    <row r="10" spans="1:26" x14ac:dyDescent="0.25">
      <c r="K10"/>
      <c r="L10" s="5"/>
      <c r="V10" s="30"/>
      <c r="W10" s="34"/>
    </row>
    <row r="11" spans="1:26" x14ac:dyDescent="0.25">
      <c r="K11"/>
      <c r="W11" s="34"/>
    </row>
    <row r="12" spans="1:26" x14ac:dyDescent="0.25">
      <c r="K12"/>
      <c r="W12" s="34"/>
    </row>
    <row r="13" spans="1:26" x14ac:dyDescent="0.25">
      <c r="K13"/>
      <c r="W13" s="34"/>
    </row>
    <row r="14" spans="1:26" x14ac:dyDescent="0.25">
      <c r="K14"/>
      <c r="W14" s="34"/>
    </row>
    <row r="15" spans="1:26" x14ac:dyDescent="0.25">
      <c r="F15" s="28"/>
      <c r="K15"/>
      <c r="L15" s="5"/>
      <c r="M15" s="20"/>
      <c r="N15" s="18"/>
      <c r="P15" s="18"/>
      <c r="V15" s="30"/>
      <c r="W15" s="34"/>
      <c r="Z15" s="30"/>
    </row>
    <row r="16" spans="1:26" x14ac:dyDescent="0.25">
      <c r="K16"/>
      <c r="W16" s="34"/>
    </row>
    <row r="17" spans="11:23" x14ac:dyDescent="0.25">
      <c r="K17"/>
      <c r="W17" s="34"/>
    </row>
    <row r="18" spans="11:23" x14ac:dyDescent="0.25">
      <c r="K18"/>
      <c r="W18" s="34"/>
    </row>
    <row r="19" spans="11:23" x14ac:dyDescent="0.25">
      <c r="K19"/>
      <c r="L19" s="5"/>
      <c r="V19" s="30"/>
      <c r="W19" s="34"/>
    </row>
    <row r="20" spans="11:23" x14ac:dyDescent="0.25">
      <c r="K20"/>
      <c r="W20" s="34"/>
    </row>
    <row r="21" spans="11:23" x14ac:dyDescent="0.25">
      <c r="K21"/>
      <c r="L21" s="5"/>
      <c r="V21" s="30"/>
      <c r="W21" s="34"/>
    </row>
    <row r="22" spans="11:23" x14ac:dyDescent="0.25">
      <c r="K22"/>
      <c r="W22" s="34"/>
    </row>
    <row r="23" spans="11:23" x14ac:dyDescent="0.25">
      <c r="K23"/>
      <c r="W23" s="34"/>
    </row>
    <row r="24" spans="11:23" x14ac:dyDescent="0.25">
      <c r="K24"/>
      <c r="W24" s="34"/>
    </row>
    <row r="25" spans="11:23" x14ac:dyDescent="0.25">
      <c r="K25"/>
      <c r="W25" s="34"/>
    </row>
    <row r="26" spans="11:23" x14ac:dyDescent="0.25">
      <c r="K26"/>
      <c r="W26" s="34"/>
    </row>
    <row r="27" spans="11:23" x14ac:dyDescent="0.25">
      <c r="K27"/>
    </row>
    <row r="28" spans="11:23" x14ac:dyDescent="0.25">
      <c r="K28"/>
      <c r="L28" s="5"/>
      <c r="M28" s="20"/>
      <c r="N28" s="18"/>
      <c r="P28" s="18"/>
      <c r="V28" s="30"/>
      <c r="W28" s="34"/>
    </row>
    <row r="29" spans="11:23" x14ac:dyDescent="0.25">
      <c r="K29"/>
    </row>
    <row r="30" spans="11:23" x14ac:dyDescent="0.25">
      <c r="K30" s="79"/>
      <c r="L30" s="5"/>
      <c r="M30" s="20"/>
      <c r="N30" s="18"/>
      <c r="P30" s="18"/>
      <c r="V30" s="30"/>
      <c r="W30" s="34"/>
    </row>
    <row r="31" spans="11:23" x14ac:dyDescent="0.25">
      <c r="K31" s="79"/>
    </row>
    <row r="32" spans="1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6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I6" sqref="I6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1" width="33.85546875" bestFit="1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83" t="s">
        <v>133</v>
      </c>
      <c r="B4" s="83"/>
      <c r="C4" s="48" t="s">
        <v>126</v>
      </c>
      <c r="D4" s="84" t="s">
        <v>134</v>
      </c>
      <c r="E4" s="83"/>
      <c r="F4" s="48" t="s">
        <v>126</v>
      </c>
      <c r="G4" s="84" t="s">
        <v>127</v>
      </c>
      <c r="H4" s="83"/>
      <c r="I4" s="48" t="s">
        <v>126</v>
      </c>
      <c r="J4" s="84" t="s">
        <v>135</v>
      </c>
      <c r="K4" s="83"/>
      <c r="L4" s="48" t="s">
        <v>126</v>
      </c>
      <c r="M4" s="84" t="s">
        <v>136</v>
      </c>
      <c r="N4" s="83"/>
      <c r="O4" s="48" t="s">
        <v>126</v>
      </c>
      <c r="P4" s="85" t="s">
        <v>137</v>
      </c>
      <c r="Q4" s="86"/>
      <c r="R4" s="48" t="s">
        <v>126</v>
      </c>
      <c r="S4" s="84" t="s">
        <v>138</v>
      </c>
      <c r="T4" s="83"/>
      <c r="U4" s="48" t="s">
        <v>126</v>
      </c>
      <c r="V4" s="84" t="s">
        <v>139</v>
      </c>
      <c r="W4" s="83"/>
      <c r="X4" s="48" t="s">
        <v>126</v>
      </c>
      <c r="Y4" s="85" t="s">
        <v>140</v>
      </c>
      <c r="Z4" s="86"/>
      <c r="AA4" s="48" t="s">
        <v>126</v>
      </c>
      <c r="AB4" s="84" t="s">
        <v>19</v>
      </c>
      <c r="AC4" s="83"/>
      <c r="AD4" s="48" t="s">
        <v>126</v>
      </c>
      <c r="AE4" s="84" t="s">
        <v>160</v>
      </c>
      <c r="AF4" s="83"/>
      <c r="AG4" s="48" t="s">
        <v>126</v>
      </c>
      <c r="AH4" s="87" t="s">
        <v>141</v>
      </c>
      <c r="AI4" s="88"/>
      <c r="AJ4" s="48" t="s">
        <v>126</v>
      </c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1</v>
      </c>
      <c r="V5" s="44" t="s">
        <v>142</v>
      </c>
      <c r="W5" s="41" t="s">
        <v>143</v>
      </c>
      <c r="X5" s="48" t="b">
        <f>_xlfn.IFNA(VLOOKUP(FALSE,X6:X1048576,1,FALSE),TRUE)</f>
        <v>1</v>
      </c>
      <c r="Y5" s="44" t="s">
        <v>142</v>
      </c>
      <c r="Z5" s="41" t="s">
        <v>143</v>
      </c>
      <c r="AA5" s="48" t="b">
        <f>_xlfn.IFNA(VLOOKUP(FALSE,AA6:AA1048576,1,FALSE),TRUE)</f>
        <v>1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90"/>
      <c r="AN5" s="44"/>
      <c r="AO5" s="41"/>
      <c r="AP5" s="90"/>
      <c r="AQ5" s="44"/>
      <c r="AR5" s="41"/>
      <c r="AS5" s="90"/>
      <c r="AT5" s="44"/>
      <c r="AU5" s="41"/>
      <c r="AV5" s="90"/>
      <c r="AW5" s="44"/>
      <c r="AX5" s="41"/>
      <c r="AY5" s="90"/>
      <c r="AZ5" s="92"/>
    </row>
    <row r="6" spans="1:52" x14ac:dyDescent="0.25">
      <c r="A6">
        <v>1</v>
      </c>
      <c r="B6">
        <v>1</v>
      </c>
      <c r="C6" t="b">
        <f>A6=B6</f>
        <v>1</v>
      </c>
      <c r="D6">
        <v>60069000</v>
      </c>
      <c r="E6">
        <v>60069000</v>
      </c>
      <c r="F6" t="b">
        <f>D6=E6</f>
        <v>1</v>
      </c>
      <c r="G6" t="s">
        <v>199</v>
      </c>
      <c r="H6" t="s">
        <v>199</v>
      </c>
      <c r="I6" t="b">
        <f>G6=H6</f>
        <v>1</v>
      </c>
      <c r="J6" t="s">
        <v>198</v>
      </c>
      <c r="K6" t="s">
        <v>198</v>
      </c>
      <c r="L6" t="b">
        <f>J6=K6</f>
        <v>1</v>
      </c>
      <c r="M6" t="s">
        <v>27</v>
      </c>
      <c r="N6" t="s">
        <v>27</v>
      </c>
      <c r="O6" t="b">
        <f>M6=N6</f>
        <v>1</v>
      </c>
      <c r="P6">
        <v>1565.31</v>
      </c>
      <c r="Q6">
        <v>1565.31</v>
      </c>
      <c r="R6" t="b">
        <f>P6=Q6</f>
        <v>1</v>
      </c>
      <c r="S6" t="s">
        <v>18</v>
      </c>
      <c r="T6" t="s">
        <v>18</v>
      </c>
      <c r="U6" t="b">
        <f>S6=T6</f>
        <v>1</v>
      </c>
      <c r="V6">
        <v>57</v>
      </c>
      <c r="W6">
        <v>57</v>
      </c>
      <c r="X6" t="b">
        <f>V6=W6</f>
        <v>1</v>
      </c>
      <c r="Y6">
        <v>1565.31</v>
      </c>
      <c r="Z6">
        <v>1565.31</v>
      </c>
      <c r="AA6" t="b">
        <f>Y6=Z6</f>
        <v>1</v>
      </c>
      <c r="AB6">
        <v>7826.55</v>
      </c>
      <c r="AC6">
        <v>7826.55</v>
      </c>
      <c r="AD6" t="b">
        <f>AB6=AC6</f>
        <v>1</v>
      </c>
      <c r="AE6">
        <v>126398782.5</v>
      </c>
      <c r="AF6">
        <v>126398782.5</v>
      </c>
      <c r="AG6" t="b">
        <f>AE6=AF6</f>
        <v>1</v>
      </c>
      <c r="AH6" t="s">
        <v>114</v>
      </c>
      <c r="AI6" t="s">
        <v>114</v>
      </c>
      <c r="AJ6" t="b">
        <f>AH6=AI6</f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tabSelected="1" workbookViewId="0">
      <pane xSplit="3" ySplit="5" topLeftCell="Z6" activePane="bottomRight" state="frozen"/>
      <selection pane="topRight" activeCell="D1" sqref="D1"/>
      <selection pane="bottomLeft" activeCell="A6" sqref="A6"/>
      <selection pane="bottomRight" activeCell="AB17" sqref="AB17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8" max="8" width="16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83" t="s">
        <v>145</v>
      </c>
      <c r="B4" s="83"/>
      <c r="C4" s="89" t="s">
        <v>126</v>
      </c>
      <c r="D4" s="84" t="s">
        <v>157</v>
      </c>
      <c r="E4" s="83"/>
      <c r="F4" s="89" t="s">
        <v>126</v>
      </c>
      <c r="G4" s="84" t="s">
        <v>148</v>
      </c>
      <c r="H4" s="83"/>
      <c r="I4" s="89" t="s">
        <v>126</v>
      </c>
      <c r="J4" s="85" t="s">
        <v>147</v>
      </c>
      <c r="K4" s="86"/>
      <c r="L4" s="89" t="s">
        <v>126</v>
      </c>
      <c r="M4" s="84" t="s">
        <v>146</v>
      </c>
      <c r="N4" s="83"/>
      <c r="O4" s="89" t="s">
        <v>126</v>
      </c>
      <c r="P4" s="84" t="s">
        <v>149</v>
      </c>
      <c r="Q4" s="83"/>
      <c r="R4" s="89" t="s">
        <v>126</v>
      </c>
      <c r="S4" s="84" t="s">
        <v>150</v>
      </c>
      <c r="T4" s="83"/>
      <c r="U4" s="89" t="s">
        <v>126</v>
      </c>
      <c r="V4" s="84" t="s">
        <v>153</v>
      </c>
      <c r="W4" s="83"/>
      <c r="X4" s="89" t="s">
        <v>126</v>
      </c>
      <c r="Y4" s="84" t="s">
        <v>154</v>
      </c>
      <c r="Z4" s="83"/>
      <c r="AA4" s="89" t="s">
        <v>126</v>
      </c>
      <c r="AB4" s="85" t="s">
        <v>155</v>
      </c>
      <c r="AC4" s="86"/>
      <c r="AD4" s="89" t="s">
        <v>126</v>
      </c>
      <c r="AE4" s="84" t="s">
        <v>156</v>
      </c>
      <c r="AF4" s="83"/>
      <c r="AG4" s="89" t="s">
        <v>126</v>
      </c>
      <c r="AH4" s="87"/>
      <c r="AI4" s="88"/>
      <c r="AJ4" s="89"/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  <c r="BA4" s="47"/>
    </row>
    <row r="5" spans="1:53" ht="15.75" x14ac:dyDescent="0.25">
      <c r="A5" s="42" t="s">
        <v>142</v>
      </c>
      <c r="B5" s="41" t="s">
        <v>143</v>
      </c>
      <c r="C5" s="90"/>
      <c r="D5" s="44" t="s">
        <v>142</v>
      </c>
      <c r="E5" s="41" t="s">
        <v>143</v>
      </c>
      <c r="F5" s="90"/>
      <c r="G5" s="44" t="s">
        <v>142</v>
      </c>
      <c r="H5" s="41" t="s">
        <v>143</v>
      </c>
      <c r="I5" s="90"/>
      <c r="J5" s="44" t="s">
        <v>142</v>
      </c>
      <c r="K5" s="41" t="s">
        <v>143</v>
      </c>
      <c r="L5" s="90"/>
      <c r="M5" s="44" t="s">
        <v>142</v>
      </c>
      <c r="N5" s="41" t="s">
        <v>143</v>
      </c>
      <c r="O5" s="90"/>
      <c r="P5" s="43" t="s">
        <v>142</v>
      </c>
      <c r="Q5" s="41" t="s">
        <v>143</v>
      </c>
      <c r="R5" s="90"/>
      <c r="S5" s="43" t="s">
        <v>142</v>
      </c>
      <c r="T5" s="41" t="s">
        <v>143</v>
      </c>
      <c r="U5" s="90"/>
      <c r="V5" s="44" t="s">
        <v>142</v>
      </c>
      <c r="W5" s="41" t="s">
        <v>143</v>
      </c>
      <c r="X5" s="90"/>
      <c r="Y5" s="44" t="s">
        <v>142</v>
      </c>
      <c r="Z5" s="41" t="s">
        <v>143</v>
      </c>
      <c r="AA5" s="90"/>
      <c r="AB5" s="44" t="s">
        <v>142</v>
      </c>
      <c r="AC5" s="41" t="s">
        <v>143</v>
      </c>
      <c r="AD5" s="90"/>
      <c r="AE5" s="44" t="s">
        <v>142</v>
      </c>
      <c r="AF5" s="41" t="s">
        <v>143</v>
      </c>
      <c r="AG5" s="90"/>
      <c r="AH5" s="44"/>
      <c r="AI5" s="41"/>
      <c r="AJ5" s="90"/>
      <c r="AK5" s="44"/>
      <c r="AL5" s="41"/>
      <c r="AM5" s="90"/>
      <c r="AN5" s="44"/>
      <c r="AO5" s="41"/>
      <c r="AP5" s="90"/>
      <c r="AQ5" s="44"/>
      <c r="AR5" s="41"/>
      <c r="AS5" s="90"/>
      <c r="AT5" s="44"/>
      <c r="AU5" s="41"/>
      <c r="AV5" s="90"/>
      <c r="AW5" s="44"/>
      <c r="AX5" s="41"/>
      <c r="AY5" s="90"/>
      <c r="AZ5" s="92"/>
    </row>
    <row r="6" spans="1:53" x14ac:dyDescent="0.25">
      <c r="A6" t="s">
        <v>203</v>
      </c>
      <c r="B6" t="s">
        <v>203</v>
      </c>
      <c r="C6" t="b">
        <f>A6=B6</f>
        <v>1</v>
      </c>
      <c r="D6" s="30" t="s">
        <v>204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16150</v>
      </c>
      <c r="K6">
        <v>16150</v>
      </c>
      <c r="L6" t="b">
        <f>J6=K6</f>
        <v>1</v>
      </c>
      <c r="M6">
        <v>124169000</v>
      </c>
      <c r="N6">
        <v>124169000</v>
      </c>
      <c r="O6" t="b">
        <f>M6=N6</f>
        <v>1</v>
      </c>
      <c r="P6" t="s">
        <v>205</v>
      </c>
      <c r="Q6" t="s">
        <v>205</v>
      </c>
      <c r="R6" t="b">
        <f>P6=Q6</f>
        <v>1</v>
      </c>
      <c r="S6" s="30" t="s">
        <v>206</v>
      </c>
      <c r="T6" s="30" t="s">
        <v>206</v>
      </c>
      <c r="U6" t="b">
        <f>S6=T6</f>
        <v>1</v>
      </c>
      <c r="V6" t="s">
        <v>207</v>
      </c>
      <c r="W6" t="s">
        <v>207</v>
      </c>
      <c r="X6" t="b">
        <f>V6=W6</f>
        <v>1</v>
      </c>
      <c r="Y6" s="30" t="s">
        <v>206</v>
      </c>
      <c r="Z6" s="30" t="s">
        <v>206</v>
      </c>
      <c r="AA6" t="b">
        <f>Y6=Z6</f>
        <v>1</v>
      </c>
      <c r="AB6" t="s">
        <v>208</v>
      </c>
      <c r="AC6" t="s">
        <v>208</v>
      </c>
      <c r="AD6" t="b">
        <f>AB6=AC6</f>
        <v>1</v>
      </c>
      <c r="AE6" s="30" t="s">
        <v>206</v>
      </c>
      <c r="AF6" s="30" t="s">
        <v>206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14" sqref="D14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22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0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1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189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60069000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 t="str">
        <f>IF(C9=TRUE,DV_Items!H$6,"")</f>
        <v>287312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TC SPANDEX SOLID 2X2RIB,230GSM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KGM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1565.31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1</v>
      </c>
      <c r="D13" s="51" t="str">
        <f>IF(C13=TRUE,DV_Items!T$6,"")</f>
        <v>PK</v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1</v>
      </c>
      <c r="D14" s="51">
        <f>IF(C14=TRUE,DV_Items!W$6,"")</f>
        <v>57</v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1</v>
      </c>
      <c r="D15" s="51">
        <f>IF(C15=TRUE,DV_Items!Z$6,"")</f>
        <v>1565.31</v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7826.55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126398782.5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ID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24001043/O4/MAKLOON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16150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124169000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00238-M/BPJ/CB/2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2024-04-29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APLN.06.S05.24.097682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2024-04-29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S-198/KBC.0903/KBC.090312/2024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2024-04-29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202</v>
      </c>
      <c r="D2" t="s">
        <v>193</v>
      </c>
      <c r="E2" s="30" t="s">
        <v>194</v>
      </c>
      <c r="F2">
        <v>1250</v>
      </c>
      <c r="G2">
        <v>1250</v>
      </c>
      <c r="H2">
        <v>0</v>
      </c>
      <c r="I2" s="72" t="s">
        <v>191</v>
      </c>
      <c r="J2" s="72" t="s">
        <v>191</v>
      </c>
      <c r="K2" s="72" t="s">
        <v>191</v>
      </c>
      <c r="L2" s="78" t="s">
        <v>191</v>
      </c>
      <c r="M2" s="72" t="s">
        <v>191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187</v>
      </c>
      <c r="G1" s="32"/>
    </row>
    <row r="2" spans="1:8" hidden="1" x14ac:dyDescent="0.25"/>
    <row r="3" spans="1:8" hidden="1" x14ac:dyDescent="0.25"/>
    <row r="4" spans="1:8" x14ac:dyDescent="0.25">
      <c r="B4" t="s">
        <v>190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201</v>
      </c>
      <c r="C6" t="s">
        <v>76</v>
      </c>
      <c r="D6" s="2" t="s">
        <v>106</v>
      </c>
      <c r="E6" s="2">
        <f>SUM(BARANG!$Q$2:$Q$1048576)</f>
        <v>126398782.5</v>
      </c>
      <c r="G6" s="2">
        <v>57</v>
      </c>
      <c r="H6" s="2" t="s">
        <v>18</v>
      </c>
    </row>
    <row r="7" spans="1:8" x14ac:dyDescent="0.25">
      <c r="A7" s="2" t="s">
        <v>54</v>
      </c>
      <c r="B7" s="2" t="s">
        <v>196</v>
      </c>
      <c r="C7" t="s">
        <v>76</v>
      </c>
      <c r="D7" s="2" t="s">
        <v>107</v>
      </c>
      <c r="E7" s="2">
        <f>SUM(BARANG!$T$2:$T$1048576)</f>
        <v>1565.31</v>
      </c>
    </row>
    <row r="8" spans="1:8" x14ac:dyDescent="0.25">
      <c r="A8" s="2" t="s">
        <v>77</v>
      </c>
      <c r="B8" s="17" t="s">
        <v>197</v>
      </c>
      <c r="C8" t="s">
        <v>76</v>
      </c>
      <c r="D8" s="2" t="s">
        <v>108</v>
      </c>
      <c r="E8" s="2">
        <v>1596.616</v>
      </c>
    </row>
    <row r="9" spans="1:8" x14ac:dyDescent="0.25">
      <c r="A9" s="2" t="s">
        <v>104</v>
      </c>
      <c r="B9" s="2">
        <v>1</v>
      </c>
      <c r="C9" t="s">
        <v>76</v>
      </c>
      <c r="D9" s="76" t="s">
        <v>119</v>
      </c>
      <c r="E9" s="76" t="s">
        <v>192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188</v>
      </c>
      <c r="E10" s="2">
        <f>SUM(BARANG!$G$2:$G$1048576)</f>
        <v>7826.55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16150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 t="s">
        <v>195</v>
      </c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/PSB/GG/V/2024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yanto yanto</cp:lastModifiedBy>
  <cp:lastPrinted>2023-07-14T03:21:57Z</cp:lastPrinted>
  <dcterms:created xsi:type="dcterms:W3CDTF">2023-04-11T02:47:24Z</dcterms:created>
  <dcterms:modified xsi:type="dcterms:W3CDTF">2024-05-22T03:57:43Z</dcterms:modified>
</cp:coreProperties>
</file>