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261\MACRO\Backup Macaro Lama\New folder (2)\"/>
    </mc:Choice>
  </mc:AlternateContent>
  <xr:revisionPtr revIDLastSave="0" documentId="13_ncr:1_{0915422D-96B8-4EC9-89DA-8743AFDF585E}" xr6:coauthVersionLast="47" xr6:coauthVersionMax="47" xr10:uidLastSave="{00000000-0000-0000-0000-000000000000}"/>
  <bookViews>
    <workbookView xWindow="-120" yWindow="-120" windowWidth="20640" windowHeight="11160" tabRatio="685" xr2:uid="{7E7A7F93-5039-4D12-8102-F8D7E7D5379D}"/>
  </bookViews>
  <sheets>
    <sheet name="(M)" sheetId="12" r:id="rId1"/>
    <sheet name="BARANG" sheetId="132" state="hidden" r:id="rId2"/>
    <sheet name="DV_Items" sheetId="137" r:id="rId3"/>
    <sheet name="DV_Entitas" sheetId="139" r:id="rId4"/>
    <sheet name="DV_Summary" sheetId="135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BARANG!$A$1:$Z$5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C9" i="137"/>
  <c r="F6" i="137"/>
  <c r="F7" i="137"/>
  <c r="F8" i="137"/>
  <c r="F9" i="137"/>
  <c r="I6" i="137"/>
  <c r="I7" i="137"/>
  <c r="I8" i="137"/>
  <c r="I9" i="137"/>
  <c r="L6" i="137"/>
  <c r="L7" i="137"/>
  <c r="L8" i="137"/>
  <c r="L9" i="137"/>
  <c r="O6" i="137"/>
  <c r="O7" i="137"/>
  <c r="O8" i="137"/>
  <c r="O9" i="137"/>
  <c r="R6" i="137"/>
  <c r="R7" i="137"/>
  <c r="R8" i="137"/>
  <c r="R9" i="137"/>
  <c r="U6" i="137"/>
  <c r="U7" i="137"/>
  <c r="U8" i="137"/>
  <c r="U9" i="137"/>
  <c r="X6" i="137"/>
  <c r="X7" i="137"/>
  <c r="X8" i="137"/>
  <c r="X9" i="137"/>
  <c r="AA6" i="137"/>
  <c r="AA7" i="137"/>
  <c r="AA8" i="137"/>
  <c r="AA9" i="137"/>
  <c r="AD6" i="137"/>
  <c r="AD7" i="137"/>
  <c r="AD8" i="137"/>
  <c r="AD9" i="137"/>
  <c r="AG6" i="137"/>
  <c r="AG7" i="137"/>
  <c r="AG8" i="137"/>
  <c r="AG9" i="137"/>
  <c r="AJ6" i="137"/>
  <c r="AJ7" i="137"/>
  <c r="AJ8" i="137"/>
  <c r="AJ9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<sst xmlns="http://schemas.openxmlformats.org/spreadsheetml/2006/main" count="432" uniqueCount="216">
  <si>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</si>
  <si>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</si>
  <si>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</si>
  <si>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</si>
  <si>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</si>
  <si>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</si>
  <si>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</si>
  <si>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</si>
  <si>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</si>
  <si>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</si>
  <si>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</si>
  <si>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</si>
  <si>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</si>
  <si>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</si>
  <si>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</si>
  <si>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</si>
  <si>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</si>
  <si>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</si>
  <si>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</si>
  <si>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</si>
  <si>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</si>
  <si>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</si>
  <si>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</si>
  <si>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</si>
  <si>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</si>
  <si>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</si>
  <si>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</si>
  <si>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</si>
  <si>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</si>
  <si>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</si>
  <si>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</si>
  <si>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</si>
  <si>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</si>
  <si>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</si>
  <si>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</si>
  <si>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</si>
  <si>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</si>
  <si>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</si>
  <si>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</si>
  <si>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</si>
  <si>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</si>
  <si>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</si>
  <si>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</si>
  <si>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</si>
  <si>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</si>
  <si>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</si>
  <si>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</si>
  <si>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</si>
  <si>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</si>
  <si>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</si>
  <si>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</si>
  <si>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</si>
  <si>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</si>
  <si>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</si>
  <si>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</si>
  <si>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</si>
  <si>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</si>
  <si>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</si>
  <si>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</si>
  <si>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</si>
  <si>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</si>
  <si>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</si>
  <si>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</si>
  <si>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</si>
  <si>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</si>
  <si>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</si>
  <si>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</si>
  <si>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</si>
  <si>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</si>
  <si>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</si>
  <si>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</si>
  <si>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</si>
  <si>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</si>
  <si>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</si>
  <si>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</si>
  <si>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</si>
  <si>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</si>
  <si>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</si>
  <si>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</si>
  <si>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</si>
  <si>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</si>
  <si>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</si>
  <si>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</si>
  <si>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</si>
  <si>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</si>
  <si>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</si>
  <si>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</si>
  <si>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</si>
  <si>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</si>
  <si>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</si>
  <si>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</si>
  <si>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</si>
  <si>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</si>
  <si>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</si>
  <si>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</si>
  <si>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</si>
  <si>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</si>
  <si>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</si>
  <si>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</si>
  <si>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</si>
  <si>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</si>
  <si>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</si>
  <si>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</si>
  <si>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</si>
  <si>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</si>
  <si>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</si>
  <si>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</si>
  <si>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</si>
  <si>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</si>
  <si>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</si>
  <si>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</si>
  <si>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</si>
  <si>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</si>
  <si>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</si>
  <si>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</si>
  <si>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</si>
  <si>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</si>
  <si>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</si>
  <si>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</si>
  <si>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</si>
  <si>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</si>
  <si>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</si>
  <si>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</si>
  <si>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</si>
  <si>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</si>
  <si>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</si>
  <si>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</si>
  <si>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</si>
  <si>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</si>
  <si>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</si>
  <si>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</si>
  <si>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</si>
  <si>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</si>
  <si>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</si>
  <si>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</si>
  <si>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</si>
  <si>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</si>
  <si>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</si>
  <si>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</si>
  <si>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</si>
  <si>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</si>
  <si>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</si>
  <si>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</si>
  <si>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</si>
  <si>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</si>
  <si>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</si>
  <si>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</si>
  <si>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</si>
  <si>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</si>
  <si>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</si>
  <si>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</si>
  <si>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</si>
  <si>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</si>
  <si>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</si>
  <si>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</si>
  <si>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</si>
  <si>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</si>
  <si>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</si>
  <si>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</si>
  <si>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</si>
  <si>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</si>
  <si>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</si>
  <si>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</si>
  <si>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</si>
  <si>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</si>
  <si>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</si>
  <si>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</si>
  <si>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</si>
  <si>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</si>
  <si>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</si>
  <si>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</si>
  <si>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</si>
  <si>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</si>
  <si>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</si>
  <si>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</si>
  <si>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</si>
  <si>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</si>
  <si>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</si>
  <si>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</si>
  <si>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</si>
  <si>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</si>
  <si>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</si>
  <si>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</si>
  <si>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</si>
  <si>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</si>
  <si>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</si>
  <si>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</si>
  <si>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ASURANSI SINAR MAS, PT</t>
  </si>
  <si>
    <t>Warna Default/ga dibhapus</t>
  </si>
  <si>
    <t>Total CIF</t>
  </si>
  <si>
    <t>BARANG (SERI BARANG KE 1)</t>
  </si>
  <si>
    <t>0820230643</t>
  </si>
  <si>
    <t>TRUE</t>
  </si>
  <si>
    <t>HANGER</t>
  </si>
  <si>
    <t>SIZE STICKER NISHIMATSUYA</t>
  </si>
  <si>
    <t>272291</t>
  </si>
  <si>
    <t>CARTON BOX</t>
  </si>
  <si>
    <t>24001005/O4/MAKLOON</t>
  </si>
  <si>
    <t>2024030452</t>
  </si>
  <si>
    <t>2024-03-15</t>
  </si>
  <si>
    <t>00026131560820240315000451</t>
  </si>
  <si>
    <t>240695/240696/240697</t>
  </si>
  <si>
    <t>CTN67% POLY30% SPX3% CVC DENIM</t>
  </si>
  <si>
    <t>238380</t>
  </si>
  <si>
    <t>287413</t>
  </si>
  <si>
    <t>11/20/2023</t>
  </si>
  <si>
    <t>02/28/2024</t>
  </si>
  <si>
    <t>24001020/O4/MAKLOON</t>
  </si>
  <si>
    <t>2024-03-05</t>
  </si>
  <si>
    <t>0708/eBPJ/CB /2024</t>
  </si>
  <si>
    <t>2024-03-07</t>
  </si>
  <si>
    <t>APLN.06.S05.24.093400</t>
  </si>
  <si>
    <t>S-125/KBC.0903/KBC.090312/2024</t>
  </si>
  <si>
    <t>2024-03-06</t>
  </si>
  <si>
    <t>C:\Users\hadi\Downloads\00026131560820240315000451.xlsx</t>
  </si>
  <si>
    <t>C:\Users\hadi\Downloads\BC 261 24001020-1201 15032024  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</si>
</sst>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0.0%"/>
    <numFmt numFmtId="166" formatCode="&quot;$&quot;#,##0.00"/>
    <numFmt numFmtId="167" formatCode="mm/dd/yy;@"/>
    <numFmt numFmtId="168" formatCode="dd\-mm\-yyyy"/>
    <numFmt numFmtId="169" formatCode="yyyy\-mm\-dd"/>
  </numFmts>
  <fonts count="47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9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164" fontId="22" fillId="37" borderId="0" xfId="46" applyFont="1" applyFill="1" applyAlignment="1">
      <alignment horizontal="left"/>
    </xf>
    <xf numFmtId="165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6" fontId="0" fillId="0" borderId="0" xfId="0" applyNumberFormat="1"/>
    <xf numFmtId="164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7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8" fontId="37" fillId="44" borderId="17" xfId="0" applyNumberFormat="1" applyFont="1" applyFill="1" applyBorder="1" applyAlignment="1">
      <alignment horizontal="center"/>
    </xf>
    <xf numFmtId="168" fontId="37" fillId="44" borderId="0" xfId="0" applyNumberFormat="1" applyFont="1" applyFill="1" applyAlignment="1">
      <alignment horizontal="center"/>
    </xf>
    <xf numFmtId="168" fontId="37" fillId="44" borderId="15" xfId="0" applyNumberFormat="1" applyFont="1" applyFill="1" applyBorder="1" applyAlignment="1">
      <alignment horizontal="center"/>
    </xf>
    <xf numFmtId="168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9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8" fontId="36" fillId="45" borderId="19" xfId="0" applyNumberFormat="1" applyFont="1" applyFill="1" applyBorder="1" applyAlignment="1">
      <alignment horizontal="center"/>
    </xf>
    <xf numFmtId="168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168" fontId="36" fillId="45" borderId="22" xfId="0" applyNumberFormat="1" applyFont="1" applyFill="1" applyBorder="1" applyAlignment="1">
      <alignment horizontal="center"/>
    </xf>
    <xf numFmtId="168" fontId="36" fillId="45" borderId="21" xfId="0" applyNumberFormat="1" applyFont="1" applyFill="1" applyBorder="1" applyAlignment="1">
      <alignment horizontal="center"/>
    </xf>
    <xf numFmtId="168" fontId="36" fillId="45" borderId="14" xfId="0" applyNumberFormat="1" applyFont="1" applyFill="1" applyBorder="1" applyAlignment="1">
      <alignment horizontal="center"/>
    </xf>
    <xf numFmtId="168" fontId="36" fillId="45" borderId="16" xfId="0" applyNumberFormat="1" applyFont="1" applyFill="1" applyBorder="1" applyAlignment="1">
      <alignment horizont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Q9" sqref="Q9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4"/>
      <c r="B5" s="84"/>
      <c r="C5" s="84"/>
      <c r="D5" s="84"/>
      <c r="E5" s="84"/>
      <c r="F5" s="84"/>
      <c r="G5" s="84"/>
      <c r="H5" s="69" t="s">
        <v>0</v>
      </c>
      <c r="I5" s="83"/>
      <c r="J5" s="83"/>
      <c r="K5" s="83"/>
      <c r="L5" s="83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2" t="s">
        <v>1</v>
      </c>
      <c r="I8" s="82"/>
      <c r="J8" s="82"/>
      <c r="K8" s="82"/>
      <c r="L8" s="82"/>
      <c r="M8" s="82"/>
    </row>
    <row r="9" spans="1:14" s="74" customFormat="1" ht="76.5" customHeight="1" x14ac:dyDescent="0.25">
      <c r="H9" s="82"/>
      <c r="I9" s="82"/>
      <c r="J9" s="82"/>
      <c r="K9" s="82"/>
      <c r="L9" s="82"/>
      <c r="M9" s="82"/>
    </row>
    <row r="10" spans="1:14" s="74" customFormat="1" x14ac:dyDescent="0.25">
      <c r="H10" s="82"/>
      <c r="I10" s="82"/>
      <c r="J10" s="82"/>
      <c r="K10" s="82"/>
      <c r="L10" s="82"/>
      <c r="M10" s="82"/>
    </row>
    <row r="11" spans="1:14" s="74" customFormat="1" x14ac:dyDescent="0.25">
      <c r="H11" s="82"/>
      <c r="I11" s="82"/>
      <c r="J11" s="82"/>
      <c r="K11" s="82"/>
      <c r="L11" s="82"/>
      <c r="M11" s="82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3"/>
      <c r="I14" s="83"/>
      <c r="J14" s="83"/>
      <c r="K14" s="83"/>
      <c r="L14" s="83"/>
      <c r="M14" s="83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41"/>
  <sheetViews>
    <sheetView zoomScale="70" zoomScaleNormal="70" workbookViewId="0">
      <pane ySplit="1" topLeftCell="A2" activePane="bottomLeft" state="frozen"/>
      <selection pane="bottomLeft" activeCell="J23" sqref="J23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31.5703125" customWidth="1"/>
    <col min="11" max="11" width="37.710937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5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 t="s">
        <v>195</v>
      </c>
      <c r="C2">
        <v>39249090</v>
      </c>
      <c r="D2" t="s">
        <v>193</v>
      </c>
      <c r="E2">
        <v>54000</v>
      </c>
      <c r="F2" s="5" t="s">
        <v>4</v>
      </c>
      <c r="G2">
        <v>4860</v>
      </c>
      <c r="H2" s="16" t="s">
        <v>115</v>
      </c>
      <c r="I2" s="16">
        <v>23</v>
      </c>
      <c r="J2" s="81">
        <v>902178</v>
      </c>
      <c r="K2" s="80">
        <v>45204</v>
      </c>
      <c r="L2" t="s">
        <v>12</v>
      </c>
      <c r="M2">
        <v>20</v>
      </c>
      <c r="N2">
        <v>11</v>
      </c>
      <c r="P2">
        <v>2.5</v>
      </c>
      <c r="Q2" s="5">
        <v>75981240</v>
      </c>
      <c r="R2">
        <v>1</v>
      </c>
      <c r="S2" t="s">
        <v>18</v>
      </c>
      <c r="T2">
        <v>1</v>
      </c>
      <c r="W2" s="34"/>
    </row>
    <row r="3" spans="1:26" x14ac:dyDescent="0.25">
      <c r="A3">
        <v>2</v>
      </c>
      <c r="B3" t="s">
        <v>201</v>
      </c>
      <c r="C3">
        <v>48211090</v>
      </c>
      <c r="D3" t="s">
        <v>194</v>
      </c>
      <c r="E3">
        <v>54000</v>
      </c>
      <c r="F3" s="5" t="s">
        <v>4</v>
      </c>
      <c r="G3">
        <v>270</v>
      </c>
      <c r="H3" s="16" t="s">
        <v>115</v>
      </c>
      <c r="I3" s="16">
        <v>23</v>
      </c>
      <c r="J3" s="81">
        <v>903288</v>
      </c>
      <c r="K3" s="81" t="s">
        <v>205</v>
      </c>
      <c r="L3" t="s">
        <v>12</v>
      </c>
      <c r="M3">
        <v>5</v>
      </c>
      <c r="N3">
        <v>11</v>
      </c>
      <c r="P3">
        <v>2.5</v>
      </c>
      <c r="Q3" s="5">
        <v>4221180</v>
      </c>
      <c r="R3">
        <v>1</v>
      </c>
      <c r="S3" t="s">
        <v>18</v>
      </c>
      <c r="T3">
        <v>1</v>
      </c>
      <c r="W3" s="34"/>
    </row>
    <row r="4" spans="1:26" x14ac:dyDescent="0.25">
      <c r="A4">
        <v>3</v>
      </c>
      <c r="B4" t="s">
        <v>203</v>
      </c>
      <c r="C4">
        <v>48192000</v>
      </c>
      <c r="D4" t="s">
        <v>196</v>
      </c>
      <c r="E4">
        <v>698</v>
      </c>
      <c r="F4" s="5" t="s">
        <v>4</v>
      </c>
      <c r="G4">
        <v>734.3</v>
      </c>
      <c r="H4" s="16" t="s">
        <v>114</v>
      </c>
      <c r="I4" s="16">
        <v>40</v>
      </c>
      <c r="J4" s="81">
        <v>930325</v>
      </c>
      <c r="K4" s="80">
        <v>45282</v>
      </c>
      <c r="L4" t="s">
        <v>12</v>
      </c>
      <c r="M4">
        <v>0</v>
      </c>
      <c r="N4">
        <v>11</v>
      </c>
      <c r="P4">
        <v>0</v>
      </c>
      <c r="Q4" s="5">
        <v>11479983.66</v>
      </c>
      <c r="R4">
        <v>1</v>
      </c>
      <c r="S4" t="s">
        <v>18</v>
      </c>
      <c r="T4">
        <v>1</v>
      </c>
      <c r="W4" s="34"/>
    </row>
    <row r="5" spans="1:26" x14ac:dyDescent="0.25">
      <c r="A5">
        <v>4</v>
      </c>
      <c r="B5" t="s">
        <v>204</v>
      </c>
      <c r="C5">
        <v>52081900</v>
      </c>
      <c r="D5" t="s">
        <v>202</v>
      </c>
      <c r="E5">
        <v>600.29999999999995</v>
      </c>
      <c r="F5" s="5" t="s">
        <v>26</v>
      </c>
      <c r="G5">
        <v>3721.86</v>
      </c>
      <c r="H5" s="16" t="s">
        <v>114</v>
      </c>
      <c r="I5" s="16">
        <v>40</v>
      </c>
      <c r="J5" s="81">
        <v>615615</v>
      </c>
      <c r="K5" s="81" t="s">
        <v>206</v>
      </c>
      <c r="L5" t="s">
        <v>27</v>
      </c>
      <c r="M5">
        <v>0</v>
      </c>
      <c r="N5">
        <v>11</v>
      </c>
      <c r="P5">
        <v>0</v>
      </c>
      <c r="Q5" s="5">
        <v>58187559.240000002</v>
      </c>
      <c r="R5">
        <v>1</v>
      </c>
      <c r="S5" t="s">
        <v>18</v>
      </c>
      <c r="T5">
        <v>1</v>
      </c>
      <c r="W5" s="34"/>
    </row>
    <row r="6" spans="1:26" x14ac:dyDescent="0.25">
      <c r="J6" s="81"/>
      <c r="K6" s="81"/>
      <c r="W6" s="34"/>
    </row>
    <row r="7" spans="1:26" x14ac:dyDescent="0.25">
      <c r="J7" s="81"/>
      <c r="K7" s="81"/>
      <c r="W7" s="34"/>
    </row>
    <row r="8" spans="1:26" x14ac:dyDescent="0.25">
      <c r="J8" s="81"/>
      <c r="K8" s="81"/>
      <c r="W8" s="34"/>
    </row>
    <row r="9" spans="1:26" x14ac:dyDescent="0.25">
      <c r="J9" s="81"/>
      <c r="K9" s="81"/>
      <c r="W9" s="34"/>
    </row>
    <row r="10" spans="1:26" x14ac:dyDescent="0.25">
      <c r="K10"/>
      <c r="L10" s="5"/>
      <c r="V10" s="30"/>
      <c r="W10" s="34"/>
    </row>
    <row r="11" spans="1:26" x14ac:dyDescent="0.25">
      <c r="K11"/>
      <c r="W11" s="34"/>
    </row>
    <row r="12" spans="1:26" x14ac:dyDescent="0.25">
      <c r="K12"/>
      <c r="W12" s="34"/>
    </row>
    <row r="13" spans="1:26" x14ac:dyDescent="0.25">
      <c r="K13"/>
      <c r="W13" s="34"/>
    </row>
    <row r="14" spans="1:26" x14ac:dyDescent="0.25">
      <c r="K14"/>
      <c r="W14" s="34"/>
    </row>
    <row r="15" spans="1:26" x14ac:dyDescent="0.25">
      <c r="F15" s="28"/>
      <c r="K15"/>
      <c r="L15" s="5"/>
      <c r="M15" s="20"/>
      <c r="N15" s="18"/>
      <c r="P15" s="18"/>
      <c r="V15" s="30"/>
      <c r="W15" s="34"/>
      <c r="Z15" s="30"/>
    </row>
    <row r="16" spans="1:26" x14ac:dyDescent="0.25">
      <c r="K16"/>
      <c r="W16" s="34"/>
    </row>
    <row r="17" spans="11:23" x14ac:dyDescent="0.25">
      <c r="K17"/>
      <c r="W17" s="34"/>
    </row>
    <row r="18" spans="11:23" x14ac:dyDescent="0.25">
      <c r="K18"/>
      <c r="W18" s="34"/>
    </row>
    <row r="19" spans="11:23" x14ac:dyDescent="0.25">
      <c r="K19"/>
      <c r="L19" s="5"/>
      <c r="V19" s="30"/>
      <c r="W19" s="34"/>
    </row>
    <row r="20" spans="11:23" x14ac:dyDescent="0.25">
      <c r="K20"/>
      <c r="W20" s="34"/>
    </row>
    <row r="21" spans="11:23" x14ac:dyDescent="0.25">
      <c r="K21"/>
      <c r="L21" s="5"/>
      <c r="V21" s="30"/>
      <c r="W21" s="34"/>
    </row>
    <row r="22" spans="11:23" x14ac:dyDescent="0.25">
      <c r="K22"/>
      <c r="W22" s="34"/>
    </row>
    <row r="23" spans="11:23" x14ac:dyDescent="0.25">
      <c r="K23"/>
      <c r="W23" s="34"/>
    </row>
    <row r="24" spans="11:23" x14ac:dyDescent="0.25">
      <c r="K24"/>
      <c r="W24" s="34"/>
    </row>
    <row r="25" spans="11:23" x14ac:dyDescent="0.25">
      <c r="K25"/>
      <c r="W25" s="34"/>
    </row>
    <row r="26" spans="11:23" x14ac:dyDescent="0.25">
      <c r="K26"/>
      <c r="W26" s="34"/>
    </row>
    <row r="27" spans="11:23" x14ac:dyDescent="0.25">
      <c r="K27"/>
    </row>
    <row r="28" spans="11:23" x14ac:dyDescent="0.25">
      <c r="K28"/>
      <c r="L28" s="5"/>
      <c r="M28" s="20"/>
      <c r="N28" s="18"/>
      <c r="P28" s="18"/>
      <c r="V28" s="30"/>
      <c r="W28" s="34"/>
    </row>
    <row r="29" spans="11:23" x14ac:dyDescent="0.25">
      <c r="K29"/>
    </row>
    <row r="30" spans="11:23" x14ac:dyDescent="0.25">
      <c r="K30" s="79"/>
      <c r="L30" s="5"/>
      <c r="M30" s="20"/>
      <c r="N30" s="18"/>
      <c r="P30" s="18"/>
      <c r="V30" s="30"/>
      <c r="W30" s="34"/>
    </row>
    <row r="31" spans="11:23" x14ac:dyDescent="0.25">
      <c r="K31" s="79"/>
    </row>
    <row r="32" spans="11:23" x14ac:dyDescent="0.25">
      <c r="K32" s="79"/>
      <c r="W32" s="34"/>
    </row>
    <row r="33" spans="11:23" x14ac:dyDescent="0.25">
      <c r="K33" s="79"/>
      <c r="W33" s="34"/>
    </row>
    <row r="34" spans="11:23" x14ac:dyDescent="0.25">
      <c r="K34" s="79"/>
    </row>
    <row r="35" spans="11:23" x14ac:dyDescent="0.25">
      <c r="K35" s="79"/>
    </row>
    <row r="36" spans="11:23" x14ac:dyDescent="0.25">
      <c r="K36" s="79"/>
    </row>
    <row r="37" spans="11:23" x14ac:dyDescent="0.25">
      <c r="K37" s="79"/>
    </row>
    <row r="38" spans="11:23" x14ac:dyDescent="0.25">
      <c r="K38" s="79"/>
      <c r="W38" s="34"/>
    </row>
    <row r="39" spans="11:23" x14ac:dyDescent="0.25">
      <c r="K39" s="79"/>
    </row>
    <row r="40" spans="11:23" x14ac:dyDescent="0.25">
      <c r="K40" s="79"/>
      <c r="W40" s="34"/>
    </row>
    <row r="41" spans="11:23" x14ac:dyDescent="0.25">
      <c r="K41" s="79"/>
    </row>
  </sheetData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9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9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45" t="s">
        <v>152</v>
      </c>
    </row>
    <row r="2" spans="1:52" x14ac:dyDescent="0.25">
      <c r="A2" s="30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92" t="s">
        <v>133</v>
      </c>
      <c r="B4" s="92"/>
      <c r="C4" s="48" t="s">
        <v>126</v>
      </c>
      <c r="D4" s="91" t="s">
        <v>134</v>
      </c>
      <c r="E4" s="92"/>
      <c r="F4" s="48" t="s">
        <v>126</v>
      </c>
      <c r="G4" s="91" t="s">
        <v>127</v>
      </c>
      <c r="H4" s="92"/>
      <c r="I4" s="48" t="s">
        <v>126</v>
      </c>
      <c r="J4" s="91" t="s">
        <v>135</v>
      </c>
      <c r="K4" s="92"/>
      <c r="L4" s="48" t="s">
        <v>126</v>
      </c>
      <c r="M4" s="91" t="s">
        <v>136</v>
      </c>
      <c r="N4" s="92"/>
      <c r="O4" s="48" t="s">
        <v>126</v>
      </c>
      <c r="P4" s="93" t="s">
        <v>137</v>
      </c>
      <c r="Q4" s="94"/>
      <c r="R4" s="48" t="s">
        <v>126</v>
      </c>
      <c r="S4" s="91" t="s">
        <v>138</v>
      </c>
      <c r="T4" s="92"/>
      <c r="U4" s="48" t="s">
        <v>126</v>
      </c>
      <c r="V4" s="91" t="s">
        <v>139</v>
      </c>
      <c r="W4" s="92"/>
      <c r="X4" s="48" t="s">
        <v>126</v>
      </c>
      <c r="Y4" s="93" t="s">
        <v>140</v>
      </c>
      <c r="Z4" s="94"/>
      <c r="AA4" s="48" t="s">
        <v>126</v>
      </c>
      <c r="AB4" s="91" t="s">
        <v>19</v>
      </c>
      <c r="AC4" s="92"/>
      <c r="AD4" s="48" t="s">
        <v>126</v>
      </c>
      <c r="AE4" s="91" t="s">
        <v>160</v>
      </c>
      <c r="AF4" s="92"/>
      <c r="AG4" s="48" t="s">
        <v>126</v>
      </c>
      <c r="AH4" s="85" t="s">
        <v>141</v>
      </c>
      <c r="AI4" s="86"/>
      <c r="AJ4" s="48" t="s">
        <v>126</v>
      </c>
      <c r="AK4" s="85"/>
      <c r="AL4" s="86"/>
      <c r="AM4" s="87"/>
      <c r="AN4" s="85"/>
      <c r="AO4" s="86"/>
      <c r="AP4" s="87"/>
      <c r="AQ4" s="85"/>
      <c r="AR4" s="86"/>
      <c r="AS4" s="87"/>
      <c r="AT4" s="85"/>
      <c r="AU4" s="86"/>
      <c r="AV4" s="87"/>
      <c r="AW4" s="85"/>
      <c r="AX4" s="86"/>
      <c r="AY4" s="87"/>
      <c r="AZ4" s="89"/>
    </row>
    <row r="5" spans="1:52" ht="15.75" x14ac:dyDescent="0.25">
      <c r="A5" s="42" t="s">
        <v>142</v>
      </c>
      <c r="B5" s="41" t="s">
        <v>143</v>
      </c>
      <c r="C5" s="48" t="b">
        <f>_xlfn.IFNA(VLOOKUP(FALSE,C6:C1048576,1,FALSE),TRUE)</f>
        <v>1</v>
      </c>
      <c r="D5" s="43" t="s">
        <v>142</v>
      </c>
      <c r="E5" s="41" t="s">
        <v>143</v>
      </c>
      <c r="F5" s="48" t="b">
        <f>_xlfn.IFNA(VLOOKUP(FALSE,F6:F1048576,1,FALSE),TRUE)</f>
        <v>1</v>
      </c>
      <c r="G5" s="43" t="s">
        <v>142</v>
      </c>
      <c r="H5" s="41" t="s">
        <v>143</v>
      </c>
      <c r="I5" s="48" t="b">
        <f>_xlfn.IFNA(VLOOKUP(FALSE,I6:I1048576,1,FALSE),TRUE)</f>
        <v>1</v>
      </c>
      <c r="J5" s="44" t="s">
        <v>142</v>
      </c>
      <c r="K5" s="41" t="s">
        <v>143</v>
      </c>
      <c r="L5" s="48" t="b">
        <f>_xlfn.IFNA(VLOOKUP(FALSE,L6:L1048576,1,FALSE),TRUE)</f>
        <v>1</v>
      </c>
      <c r="M5" s="44" t="s">
        <v>142</v>
      </c>
      <c r="N5" s="41" t="s">
        <v>143</v>
      </c>
      <c r="O5" s="48" t="b">
        <f>_xlfn.IFNA(VLOOKUP(FALSE,O6:O1048576,1,FALSE),TRUE)</f>
        <v>1</v>
      </c>
      <c r="P5" s="44" t="s">
        <v>142</v>
      </c>
      <c r="Q5" s="41" t="s">
        <v>143</v>
      </c>
      <c r="R5" s="48" t="b">
        <f>_xlfn.IFNA(VLOOKUP(FALSE,R6:R1048576,1,FALSE),TRUE)</f>
        <v>1</v>
      </c>
      <c r="S5" s="44" t="s">
        <v>142</v>
      </c>
      <c r="T5" s="41" t="s">
        <v>143</v>
      </c>
      <c r="U5" s="48" t="b">
        <f>_xlfn.IFNA(VLOOKUP(FALSE,U6:U1048576,1,FALSE),TRUE)</f>
        <v>0</v>
      </c>
      <c r="V5" s="44" t="s">
        <v>142</v>
      </c>
      <c r="W5" s="41" t="s">
        <v>143</v>
      </c>
      <c r="X5" s="48" t="b">
        <f>_xlfn.IFNA(VLOOKUP(FALSE,X6:X1048576,1,FALSE),TRUE)</f>
        <v>0</v>
      </c>
      <c r="Y5" s="44" t="s">
        <v>142</v>
      </c>
      <c r="Z5" s="41" t="s">
        <v>143</v>
      </c>
      <c r="AA5" s="48" t="b">
        <f>_xlfn.IFNA(VLOOKUP(FALSE,AA6:AA1048576,1,FALSE),TRUE)</f>
        <v>0</v>
      </c>
      <c r="AB5" s="44" t="s">
        <v>142</v>
      </c>
      <c r="AC5" s="41" t="s">
        <v>143</v>
      </c>
      <c r="AD5" s="48" t="b">
        <f>_xlfn.IFNA(VLOOKUP(FALSE,AD6:AD1048576,1,FALSE),TRUE)</f>
        <v>1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88"/>
      <c r="AN5" s="44"/>
      <c r="AO5" s="41"/>
      <c r="AP5" s="88"/>
      <c r="AQ5" s="44"/>
      <c r="AR5" s="41"/>
      <c r="AS5" s="88"/>
      <c r="AT5" s="44"/>
      <c r="AU5" s="41"/>
      <c r="AV5" s="88"/>
      <c r="AW5" s="44"/>
      <c r="AX5" s="41"/>
      <c r="AY5" s="88"/>
      <c r="AZ5" s="90"/>
    </row>
    <row r="6" spans="1:52" x14ac:dyDescent="0.25">
      <c r="A6">
        <v>1</v>
      </c>
      <c r="B6">
        <v>1</v>
      </c>
      <c r="C6" t="b">
        <f t="shared" ref="C6:C9" si="0">A6=B6</f>
        <v>1</v>
      </c>
      <c r="D6">
        <v>39249090</v>
      </c>
      <c r="E6">
        <v>39249090</v>
      </c>
      <c r="F6" t="b">
        <f t="shared" ref="F6:F9" si="1">D6=E6</f>
        <v>1</v>
      </c>
      <c r="G6" t="s">
        <v>195</v>
      </c>
      <c r="H6" t="s">
        <v>195</v>
      </c>
      <c r="I6" t="b">
        <f t="shared" ref="I6:I9" si="2">G6=H6</f>
        <v>1</v>
      </c>
      <c r="J6" t="s">
        <v>193</v>
      </c>
      <c r="K6" t="s">
        <v>193</v>
      </c>
      <c r="L6" t="b">
        <f t="shared" ref="L6:L9" si="3">J6=K6</f>
        <v>1</v>
      </c>
      <c r="M6" t="s">
        <v>12</v>
      </c>
      <c r="N6" t="s">
        <v>12</v>
      </c>
      <c r="O6" t="b">
        <f t="shared" ref="O6:O9" si="4">M6=N6</f>
        <v>1</v>
      </c>
      <c r="P6">
        <v>54000</v>
      </c>
      <c r="Q6">
        <v>54000</v>
      </c>
      <c r="R6" t="b">
        <f t="shared" ref="R6:R9" si="5">P6=Q6</f>
        <v>1</v>
      </c>
      <c r="S6" t="s">
        <v>18</v>
      </c>
      <c r="T6" t="s">
        <v>39</v>
      </c>
      <c r="U6" t="b">
        <f t="shared" ref="U6:U9" si="6">S6=T6</f>
        <v>0</v>
      </c>
      <c r="V6">
        <v>1</v>
      </c>
      <c r="W6">
        <v>68</v>
      </c>
      <c r="X6" t="b">
        <f t="shared" ref="X6:X9" si="7">V6=W6</f>
        <v>0</v>
      </c>
      <c r="Y6">
        <v>1</v>
      </c>
      <c r="Z6">
        <v>16.2</v>
      </c>
      <c r="AA6" t="b">
        <f t="shared" ref="AA6:AA9" si="8">Y6=Z6</f>
        <v>0</v>
      </c>
      <c r="AB6">
        <v>4860</v>
      </c>
      <c r="AC6">
        <v>4860</v>
      </c>
      <c r="AD6" t="b">
        <f t="shared" ref="AD6:AD9" si="9">AB6=AC6</f>
        <v>1</v>
      </c>
      <c r="AE6">
        <v>75981240</v>
      </c>
      <c r="AF6">
        <v>75981240</v>
      </c>
      <c r="AG6" t="b">
        <f t="shared" ref="AG6:AG9" si="10">AE6=AF6</f>
        <v>1</v>
      </c>
      <c r="AH6" t="s">
        <v>115</v>
      </c>
      <c r="AI6" t="s">
        <v>115</v>
      </c>
      <c r="AJ6" t="b">
        <f t="shared" ref="AJ6:AJ9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48211090</v>
      </c>
      <c r="E7">
        <v>48211090</v>
      </c>
      <c r="F7" t="b">
        <f t="shared" si="1"/>
        <v>1</v>
      </c>
      <c r="G7" t="s">
        <v>201</v>
      </c>
      <c r="H7" t="s">
        <v>201</v>
      </c>
      <c r="I7" t="b">
        <f t="shared" si="2"/>
        <v>1</v>
      </c>
      <c r="J7" t="s">
        <v>194</v>
      </c>
      <c r="K7" t="s">
        <v>194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54000</v>
      </c>
      <c r="Q7">
        <v>54000</v>
      </c>
      <c r="R7" t="b">
        <f t="shared" si="5"/>
        <v>1</v>
      </c>
      <c r="S7" t="s">
        <v>18</v>
      </c>
      <c r="T7" t="s">
        <v>39</v>
      </c>
      <c r="U7" t="b">
        <f t="shared" si="6"/>
        <v>0</v>
      </c>
      <c r="V7">
        <v>1</v>
      </c>
      <c r="W7">
        <v>1</v>
      </c>
      <c r="X7" t="b">
        <f t="shared" si="7"/>
        <v>1</v>
      </c>
      <c r="Y7">
        <v>1</v>
      </c>
      <c r="Z7">
        <v>16.2</v>
      </c>
      <c r="AA7" t="b">
        <f t="shared" si="8"/>
        <v>0</v>
      </c>
      <c r="AB7">
        <v>270</v>
      </c>
      <c r="AC7">
        <v>270</v>
      </c>
      <c r="AD7" t="b">
        <f t="shared" si="9"/>
        <v>1</v>
      </c>
      <c r="AE7">
        <v>4221180</v>
      </c>
      <c r="AF7">
        <v>4221180</v>
      </c>
      <c r="AG7" t="b">
        <f t="shared" si="10"/>
        <v>1</v>
      </c>
      <c r="AH7" t="s">
        <v>115</v>
      </c>
      <c r="AI7" t="s">
        <v>115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48192000</v>
      </c>
      <c r="E8">
        <v>48192000</v>
      </c>
      <c r="F8" t="b">
        <f t="shared" si="1"/>
        <v>1</v>
      </c>
      <c r="G8" t="s">
        <v>203</v>
      </c>
      <c r="H8" t="s">
        <v>203</v>
      </c>
      <c r="I8" t="b">
        <f t="shared" si="2"/>
        <v>1</v>
      </c>
      <c r="J8" t="s">
        <v>196</v>
      </c>
      <c r="K8" t="s">
        <v>196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698</v>
      </c>
      <c r="Q8">
        <v>698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1</v>
      </c>
      <c r="W8">
        <v>70</v>
      </c>
      <c r="X8" t="b">
        <f t="shared" si="7"/>
        <v>0</v>
      </c>
      <c r="Y8">
        <v>1</v>
      </c>
      <c r="Z8">
        <v>34.9</v>
      </c>
      <c r="AA8" t="b">
        <f t="shared" si="8"/>
        <v>0</v>
      </c>
      <c r="AB8">
        <v>734.3</v>
      </c>
      <c r="AC8">
        <v>734.3</v>
      </c>
      <c r="AD8" t="b">
        <f t="shared" si="9"/>
        <v>1</v>
      </c>
      <c r="AE8">
        <v>11479983.66</v>
      </c>
      <c r="AF8">
        <v>11479983.66</v>
      </c>
      <c r="AG8" t="b">
        <f t="shared" si="10"/>
        <v>1</v>
      </c>
      <c r="AH8" t="s">
        <v>114</v>
      </c>
      <c r="AI8" t="s">
        <v>114</v>
      </c>
      <c r="AJ8" t="b">
        <f t="shared" si="11"/>
        <v>1</v>
      </c>
    </row>
    <row r="9" spans="1:52" x14ac:dyDescent="0.25">
      <c r="A9">
        <v>4</v>
      </c>
      <c r="B9">
        <v>4</v>
      </c>
      <c r="C9" t="b">
        <f t="shared" si="0"/>
        <v>1</v>
      </c>
      <c r="D9">
        <v>52081900</v>
      </c>
      <c r="E9">
        <v>52081900</v>
      </c>
      <c r="F9" t="b">
        <f t="shared" si="1"/>
        <v>1</v>
      </c>
      <c r="G9" t="s">
        <v>204</v>
      </c>
      <c r="H9" t="s">
        <v>204</v>
      </c>
      <c r="I9" t="b">
        <f t="shared" si="2"/>
        <v>1</v>
      </c>
      <c r="J9" t="s">
        <v>202</v>
      </c>
      <c r="K9" t="s">
        <v>202</v>
      </c>
      <c r="L9" t="b">
        <f t="shared" si="3"/>
        <v>1</v>
      </c>
      <c r="M9" t="s">
        <v>27</v>
      </c>
      <c r="N9" t="s">
        <v>27</v>
      </c>
      <c r="O9" t="b">
        <f t="shared" si="4"/>
        <v>1</v>
      </c>
      <c r="P9">
        <v>600.29999999999995</v>
      </c>
      <c r="Q9">
        <v>600.29999999999995</v>
      </c>
      <c r="R9" t="b">
        <f t="shared" si="5"/>
        <v>1</v>
      </c>
      <c r="S9" t="s">
        <v>18</v>
      </c>
      <c r="T9" t="s">
        <v>18</v>
      </c>
      <c r="U9" t="b">
        <f t="shared" si="6"/>
        <v>1</v>
      </c>
      <c r="V9">
        <v>1</v>
      </c>
      <c r="W9">
        <v>25</v>
      </c>
      <c r="X9" t="b">
        <f t="shared" si="7"/>
        <v>0</v>
      </c>
      <c r="Y9">
        <v>1</v>
      </c>
      <c r="Z9">
        <v>600.29999999999995</v>
      </c>
      <c r="AA9" t="b">
        <f t="shared" si="8"/>
        <v>0</v>
      </c>
      <c r="AB9">
        <v>3721.86</v>
      </c>
      <c r="AC9">
        <v>3721.86</v>
      </c>
      <c r="AD9" t="b">
        <f t="shared" si="9"/>
        <v>1</v>
      </c>
      <c r="AE9">
        <v>58187559.240000002</v>
      </c>
      <c r="AF9">
        <v>58187559.240000002</v>
      </c>
      <c r="AG9" t="b">
        <f t="shared" si="10"/>
        <v>1</v>
      </c>
      <c r="AH9" t="s">
        <v>114</v>
      </c>
      <c r="AI9" t="s">
        <v>114</v>
      </c>
      <c r="AJ9" t="b">
        <f t="shared" si="11"/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Z6" activePane="bottomRight" state="frozen"/>
      <selection pane="topRight" activeCell="D1" sqref="D1"/>
      <selection pane="bottomLeft" activeCell="A6" sqref="A6"/>
      <selection pane="bottomRight" activeCell="AF6" sqref="AF6"/>
    </sheetView>
  </sheetViews>
  <sheetFormatPr defaultRowHeight="15" x14ac:dyDescent="0.25"/>
  <cols>
    <col min="1" max="1" width="25.5703125" bestFit="1" customWidth="1"/>
    <col min="2" max="2" width="22.85546875" bestFit="1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8" max="8" width="16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92" t="s">
        <v>145</v>
      </c>
      <c r="B4" s="92"/>
      <c r="C4" s="87" t="s">
        <v>126</v>
      </c>
      <c r="D4" s="91" t="s">
        <v>157</v>
      </c>
      <c r="E4" s="92"/>
      <c r="F4" s="87" t="s">
        <v>126</v>
      </c>
      <c r="G4" s="91" t="s">
        <v>148</v>
      </c>
      <c r="H4" s="92"/>
      <c r="I4" s="87" t="s">
        <v>126</v>
      </c>
      <c r="J4" s="93" t="s">
        <v>147</v>
      </c>
      <c r="K4" s="94"/>
      <c r="L4" s="87" t="s">
        <v>126</v>
      </c>
      <c r="M4" s="91" t="s">
        <v>146</v>
      </c>
      <c r="N4" s="92"/>
      <c r="O4" s="87" t="s">
        <v>126</v>
      </c>
      <c r="P4" s="91" t="s">
        <v>149</v>
      </c>
      <c r="Q4" s="92"/>
      <c r="R4" s="87" t="s">
        <v>126</v>
      </c>
      <c r="S4" s="91" t="s">
        <v>150</v>
      </c>
      <c r="T4" s="92"/>
      <c r="U4" s="87" t="s">
        <v>126</v>
      </c>
      <c r="V4" s="91" t="s">
        <v>153</v>
      </c>
      <c r="W4" s="92"/>
      <c r="X4" s="87" t="s">
        <v>126</v>
      </c>
      <c r="Y4" s="91" t="s">
        <v>154</v>
      </c>
      <c r="Z4" s="92"/>
      <c r="AA4" s="87" t="s">
        <v>126</v>
      </c>
      <c r="AB4" s="93" t="s">
        <v>155</v>
      </c>
      <c r="AC4" s="94"/>
      <c r="AD4" s="87" t="s">
        <v>126</v>
      </c>
      <c r="AE4" s="91" t="s">
        <v>156</v>
      </c>
      <c r="AF4" s="92"/>
      <c r="AG4" s="87" t="s">
        <v>126</v>
      </c>
      <c r="AH4" s="85"/>
      <c r="AI4" s="86"/>
      <c r="AJ4" s="87"/>
      <c r="AK4" s="85"/>
      <c r="AL4" s="86"/>
      <c r="AM4" s="87"/>
      <c r="AN4" s="85"/>
      <c r="AO4" s="86"/>
      <c r="AP4" s="87"/>
      <c r="AQ4" s="85"/>
      <c r="AR4" s="86"/>
      <c r="AS4" s="87"/>
      <c r="AT4" s="85"/>
      <c r="AU4" s="86"/>
      <c r="AV4" s="87"/>
      <c r="AW4" s="85"/>
      <c r="AX4" s="86"/>
      <c r="AY4" s="87"/>
      <c r="AZ4" s="89"/>
      <c r="BA4" s="47"/>
    </row>
    <row r="5" spans="1:53" ht="15.75" x14ac:dyDescent="0.25">
      <c r="A5" s="42" t="s">
        <v>142</v>
      </c>
      <c r="B5" s="41" t="s">
        <v>143</v>
      </c>
      <c r="C5" s="88"/>
      <c r="D5" s="44" t="s">
        <v>142</v>
      </c>
      <c r="E5" s="41" t="s">
        <v>143</v>
      </c>
      <c r="F5" s="88"/>
      <c r="G5" s="44" t="s">
        <v>142</v>
      </c>
      <c r="H5" s="41" t="s">
        <v>143</v>
      </c>
      <c r="I5" s="88"/>
      <c r="J5" s="44" t="s">
        <v>142</v>
      </c>
      <c r="K5" s="41" t="s">
        <v>143</v>
      </c>
      <c r="L5" s="88"/>
      <c r="M5" s="44" t="s">
        <v>142</v>
      </c>
      <c r="N5" s="41" t="s">
        <v>143</v>
      </c>
      <c r="O5" s="88"/>
      <c r="P5" s="43" t="s">
        <v>142</v>
      </c>
      <c r="Q5" s="41" t="s">
        <v>143</v>
      </c>
      <c r="R5" s="88"/>
      <c r="S5" s="43" t="s">
        <v>142</v>
      </c>
      <c r="T5" s="41" t="s">
        <v>143</v>
      </c>
      <c r="U5" s="88"/>
      <c r="V5" s="44" t="s">
        <v>142</v>
      </c>
      <c r="W5" s="41" t="s">
        <v>143</v>
      </c>
      <c r="X5" s="88"/>
      <c r="Y5" s="44" t="s">
        <v>142</v>
      </c>
      <c r="Z5" s="41" t="s">
        <v>143</v>
      </c>
      <c r="AA5" s="88"/>
      <c r="AB5" s="44" t="s">
        <v>142</v>
      </c>
      <c r="AC5" s="41" t="s">
        <v>143</v>
      </c>
      <c r="AD5" s="88"/>
      <c r="AE5" s="44" t="s">
        <v>142</v>
      </c>
      <c r="AF5" s="41" t="s">
        <v>143</v>
      </c>
      <c r="AG5" s="88"/>
      <c r="AH5" s="44"/>
      <c r="AI5" s="41"/>
      <c r="AJ5" s="88"/>
      <c r="AK5" s="44"/>
      <c r="AL5" s="41"/>
      <c r="AM5" s="88"/>
      <c r="AN5" s="44"/>
      <c r="AO5" s="41"/>
      <c r="AP5" s="88"/>
      <c r="AQ5" s="44"/>
      <c r="AR5" s="41"/>
      <c r="AS5" s="88"/>
      <c r="AT5" s="44"/>
      <c r="AU5" s="41"/>
      <c r="AV5" s="88"/>
      <c r="AW5" s="44"/>
      <c r="AX5" s="41"/>
      <c r="AY5" s="88"/>
      <c r="AZ5" s="90"/>
    </row>
    <row r="6" spans="1:53" x14ac:dyDescent="0.25">
      <c r="A6" t="s">
        <v>207</v>
      </c>
      <c r="B6" t="s">
        <v>207</v>
      </c>
      <c r="C6" t="b">
        <f>A6=B6</f>
        <v>1</v>
      </c>
      <c r="D6" s="30" t="s">
        <v>208</v>
      </c>
      <c r="E6" s="30"/>
      <c r="F6" t="b">
        <f>D6=E6</f>
        <v>0</v>
      </c>
      <c r="G6" s="30" t="s">
        <v>9</v>
      </c>
      <c r="H6" t="s">
        <v>9</v>
      </c>
      <c r="I6" t="b">
        <f>G6=H6</f>
        <v>1</v>
      </c>
      <c r="J6">
        <v>15634</v>
      </c>
      <c r="K6">
        <v>15634</v>
      </c>
      <c r="L6" t="b">
        <f>J6=K6</f>
        <v>1</v>
      </c>
      <c r="M6">
        <v>752283000</v>
      </c>
      <c r="N6">
        <v>752283000</v>
      </c>
      <c r="O6" t="b">
        <f>M6=N6</f>
        <v>1</v>
      </c>
      <c r="P6" t="s">
        <v>209</v>
      </c>
      <c r="Q6" t="s">
        <v>209</v>
      </c>
      <c r="R6" t="b">
        <f>P6=Q6</f>
        <v>1</v>
      </c>
      <c r="S6" s="30" t="s">
        <v>210</v>
      </c>
      <c r="T6" s="30" t="s">
        <v>210</v>
      </c>
      <c r="U6" t="b">
        <f>S6=T6</f>
        <v>1</v>
      </c>
      <c r="V6" t="s">
        <v>211</v>
      </c>
      <c r="W6" t="s">
        <v>211</v>
      </c>
      <c r="X6" t="b">
        <f>V6=W6</f>
        <v>1</v>
      </c>
      <c r="Y6" s="30" t="s">
        <v>210</v>
      </c>
      <c r="Z6" s="30" t="s">
        <v>210</v>
      </c>
      <c r="AA6" t="b">
        <f>Y6=Z6</f>
        <v>1</v>
      </c>
      <c r="AB6" t="s">
        <v>212</v>
      </c>
      <c r="AC6" t="s">
        <v>212</v>
      </c>
      <c r="AD6" t="b">
        <f>AB6=AC6</f>
        <v>1</v>
      </c>
      <c r="AE6" s="30" t="s">
        <v>213</v>
      </c>
      <c r="AF6" s="30" t="s">
        <v>213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7" sqref="E17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6" t="s">
        <v>164</v>
      </c>
      <c r="B1" s="96"/>
      <c r="C1" s="57">
        <f>COUNTIF(C7:C29,TRUE)</f>
        <v>19</v>
      </c>
      <c r="D1" s="52"/>
      <c r="E1" s="53"/>
      <c r="F1" s="66"/>
    </row>
    <row r="2" spans="1:7" ht="15" customHeight="1" x14ac:dyDescent="0.25">
      <c r="A2" s="96" t="s">
        <v>165</v>
      </c>
      <c r="B2" s="96"/>
      <c r="C2" s="57">
        <f>COUNTIF(C7:C29,FALSE)</f>
        <v>3</v>
      </c>
      <c r="D2" s="52"/>
      <c r="E2" s="54"/>
      <c r="F2" s="66"/>
      <c r="G2" s="36" t="s">
        <v>129</v>
      </c>
    </row>
    <row r="3" spans="1:7" ht="28.5" customHeight="1" x14ac:dyDescent="0.25">
      <c r="A3" s="97" t="s">
        <v>163</v>
      </c>
      <c r="B3" s="97"/>
      <c r="C3" s="55" t="b">
        <f>IF(C1=22,TRUE,FALSE)</f>
        <v>0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5" t="s">
        <v>190</v>
      </c>
      <c r="B6" s="95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1</v>
      </c>
      <c r="D7" s="51">
        <f>IF(C7=TRUE,DV_Items!B$6,"")</f>
        <v>1</v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1</v>
      </c>
      <c r="D8" s="51">
        <f>IF(C8=TRUE,DV_Items!E$6,"")</f>
        <v>39249090</v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1</v>
      </c>
      <c r="D9" s="51" t="str">
        <f>IF(C9=TRUE,DV_Items!H$6,"")</f>
        <v>272291</v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1</v>
      </c>
      <c r="D10" s="51" t="str">
        <f>IF(C10=TRUE,DV_Items!K$6,"")</f>
        <v>HANGER</v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1</v>
      </c>
      <c r="D11" s="51" t="str">
        <f>IF(C11=TRUE,DV_Items!N$6,"")</f>
        <v>PCE</v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1</v>
      </c>
      <c r="D12" s="51">
        <f>IF(C12=TRUE,DV_Items!Q$6,"")</f>
        <v>54000</v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0</v>
      </c>
      <c r="D13" s="51" t="str">
        <f>IF(C13=TRUE,DV_Items!T$6,"")</f>
        <v/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0</v>
      </c>
      <c r="D14" s="51" t="str">
        <f>IF(C14=TRUE,DV_Items!W$6,"")</f>
        <v/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0</v>
      </c>
      <c r="D15" s="51" t="str">
        <f>IF(C15=TRUE,DV_Items!Z$6,"")</f>
        <v/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1</v>
      </c>
      <c r="D16" s="51">
        <f>IF(C16=TRUE,DV_Items!AC$6,"")</f>
        <v>4860</v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75981240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CN</v>
      </c>
      <c r="E18" s="40"/>
      <c r="F18" s="39"/>
    </row>
    <row r="19" spans="1:6" x14ac:dyDescent="0.25">
      <c r="A19" s="95" t="s">
        <v>162</v>
      </c>
      <c r="B19" s="95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24001020/O4/MAKLOON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15634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1</v>
      </c>
      <c r="D23" s="51">
        <f>IF(C23=TRUE,DV_Entitas!N$6,"")</f>
        <v>752283000</v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0708/eBPJ/CB /2024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2024-03-07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1</v>
      </c>
      <c r="D26" s="51" t="str">
        <f>IF(C26=TRUE,DV_Entitas!W$6,"")</f>
        <v>APLN.06.S05.24.093400</v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1</v>
      </c>
      <c r="D27" s="51" t="str">
        <f>IF(C27=TRUE,DV_Entitas!Z6,"")</f>
        <v>2024-03-07</v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S-125/KBC.0903/KBC.090312/2024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2024-03-06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198</v>
      </c>
      <c r="D2" t="s">
        <v>197</v>
      </c>
      <c r="E2" s="30" t="s">
        <v>199</v>
      </c>
      <c r="F2">
        <v>319494</v>
      </c>
      <c r="G2">
        <v>319494</v>
      </c>
      <c r="H2">
        <v>0</v>
      </c>
      <c r="I2" s="72" t="s">
        <v>192</v>
      </c>
      <c r="J2" s="72" t="s">
        <v>192</v>
      </c>
      <c r="K2" s="72" t="s">
        <v>192</v>
      </c>
      <c r="L2" s="78" t="s">
        <v>192</v>
      </c>
      <c r="M2" s="72" t="s"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188</v>
      </c>
      <c r="G1" s="32"/>
    </row>
    <row r="2" spans="1:8" hidden="1" x14ac:dyDescent="0.25"/>
    <row r="3" spans="1:8" hidden="1" x14ac:dyDescent="0.25"/>
    <row r="4" spans="1:8" x14ac:dyDescent="0.25">
      <c r="B4" t="s">
        <v>191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214</v>
      </c>
      <c r="C6" t="s">
        <v>76</v>
      </c>
      <c r="D6" s="2" t="s">
        <v>106</v>
      </c>
      <c r="E6" s="2">
        <f>SUM(BARANG!$Q$2:$Q$1048576)</f>
        <v>149869962.90000001</v>
      </c>
      <c r="G6" s="2">
        <v>3</v>
      </c>
      <c r="H6" s="2" t="s">
        <v>18</v>
      </c>
    </row>
    <row r="7" spans="1:8" x14ac:dyDescent="0.25">
      <c r="A7" s="2" t="s">
        <v>54</v>
      </c>
      <c r="B7" s="2" t="s">
        <v>215</v>
      </c>
      <c r="C7" t="s">
        <v>76</v>
      </c>
      <c r="D7" s="2" t="s">
        <v>107</v>
      </c>
      <c r="E7" s="2">
        <f>SUM(BARANG!$T$2:$T$1048576)</f>
        <v>4</v>
      </c>
    </row>
    <row r="8" spans="1:8" x14ac:dyDescent="0.25">
      <c r="A8" s="2" t="s">
        <v>77</v>
      </c>
      <c r="B8" s="17" t="s">
        <v>200</v>
      </c>
      <c r="C8" t="s">
        <v>76</v>
      </c>
      <c r="D8" s="2" t="s">
        <v>108</v>
      </c>
      <c r="E8" s="2">
        <v>5</v>
      </c>
    </row>
    <row r="9" spans="1:8" x14ac:dyDescent="0.25">
      <c r="A9" s="2" t="s">
        <v>104</v>
      </c>
      <c r="B9" s="2">
        <v>4</v>
      </c>
      <c r="C9" t="s">
        <v>76</v>
      </c>
      <c r="D9" s="76" t="s">
        <v>119</v>
      </c>
      <c r="E9" s="76" t="s">
        <v>187</v>
      </c>
    </row>
    <row r="10" spans="1:8" x14ac:dyDescent="0.25">
      <c r="A10" s="2" t="s">
        <v>120</v>
      </c>
      <c r="B10" s="2">
        <v>0</v>
      </c>
      <c r="C10" t="s">
        <v>76</v>
      </c>
      <c r="D10" s="2" t="s">
        <v>189</v>
      </c>
      <c r="E10" s="2">
        <f>SUM(BARANG!$G$2:$G$1048576)</f>
        <v>9586.16</v>
      </c>
    </row>
    <row r="11" spans="1:8" x14ac:dyDescent="0.25">
      <c r="A11" s="2" t="s">
        <v>121</v>
      </c>
      <c r="B11" s="2">
        <v>0</v>
      </c>
      <c r="C11" t="s">
        <v>76</v>
      </c>
      <c r="D11" s="2"/>
      <c r="E11" s="2"/>
    </row>
    <row r="12" spans="1:8" x14ac:dyDescent="0.25">
      <c r="A12" s="2" t="s">
        <v>112</v>
      </c>
      <c r="B12" s="2">
        <v>15634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/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/PSB/GG/III/2024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III/2024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D28" sqref="D28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2024-03-15T07:14:50Z</dcterms:modified>
</cp:coreProperties>
</file>