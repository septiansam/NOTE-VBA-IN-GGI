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261\"/>
    </mc:Choice>
  </mc:AlternateContent>
  <xr:revisionPtr revIDLastSave="0" documentId="13_ncr:1_{A0F9A8E5-59DF-4A8F-8E38-0CF195949C30}" xr6:coauthVersionLast="47" xr6:coauthVersionMax="47" xr10:uidLastSave="{00000000-0000-0000-0000-000000000000}"/>
  <bookViews>
    <workbookView xWindow="-120" yWindow="-120" windowWidth="20730" windowHeight="11160" tabRatio="685" xr2:uid="{7E7A7F93-5039-4D12-8102-F8D7E7D5379D}"/>
  </bookViews>
  <sheets>
    <sheet name="(M)" sheetId="12" r:id="rId1"/>
    <sheet name="BARANG" sheetId="132" state="hidden" r:id="rId2"/>
    <sheet name="DV_Items" sheetId="137" state="hidden" r:id="rId3"/>
    <sheet name="DV_Entitas" sheetId="139" state="hidden" r:id="rId4"/>
    <sheet name="DV_Summary" sheetId="135" state="hidden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BARANG!$A$1:$Z$59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F6" i="137"/>
  <c r="I6" i="137"/>
  <c r="L6" i="137"/>
  <c r="O6" i="137"/>
  <c r="R6" i="137"/>
  <c r="U6" i="137"/>
  <c r="X6" i="137"/>
  <c r="AA6" i="137"/>
  <c r="AD6" i="137"/>
  <c r="AG6" i="137"/>
  <c r="AJ6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<sst xmlns="http://schemas.openxmlformats.org/spreadsheetml/2006/main" count="722" uniqueCount="311">
  <si>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</si>
  <si>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</si>
  <si>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</si>
  <si>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</si>
  <si>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</si>
  <si>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</si>
  <si>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</si>
  <si>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</si>
  <si>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</si>
  <si>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</si>
  <si>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</si>
  <si>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</si>
  <si>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</si>
  <si>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</si>
  <si>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</si>
  <si>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</si>
  <si>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</si>
  <si>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</si>
  <si>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</si>
  <si>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</si>
  <si>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</si>
  <si>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</si>
  <si>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</si>
  <si>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</si>
  <si>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</si>
  <si>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</si>
  <si>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</si>
  <si>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</si>
  <si>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</si>
  <si>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</si>
  <si>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</si>
  <si>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</si>
  <si>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</si>
  <si>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</si>
  <si>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</si>
  <si>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</si>
  <si>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</si>
  <si>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</si>
  <si>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</si>
  <si>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</si>
  <si>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</si>
  <si>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</si>
  <si>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</si>
  <si>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</si>
  <si>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</si>
  <si>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</si>
  <si>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</si>
  <si>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</si>
  <si>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</si>
  <si>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</si>
  <si>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</si>
  <si>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</si>
  <si>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</si>
  <si>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</si>
  <si>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</si>
  <si>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</si>
  <si>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</si>
  <si>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</si>
  <si>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</si>
  <si>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</si>
  <si>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</si>
  <si>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</si>
  <si>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</si>
  <si>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</si>
  <si>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</si>
  <si>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</si>
  <si>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</si>
  <si>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</si>
  <si>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</si>
  <si>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</si>
  <si>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</si>
  <si>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</si>
  <si>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</si>
  <si>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</si>
  <si>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</si>
  <si>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</si>
  <si>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</si>
  <si>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</si>
  <si>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</si>
  <si>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</si>
  <si>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</si>
  <si>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</si>
  <si>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</si>
  <si>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</si>
  <si>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</si>
  <si>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</si>
  <si>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</si>
  <si>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</si>
  <si>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</si>
  <si>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</si>
  <si>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</si>
  <si>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</si>
  <si>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</si>
  <si>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</si>
  <si>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</si>
  <si>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</si>
  <si>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</si>
  <si>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</si>
  <si>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</si>
  <si>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</si>
  <si>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</si>
  <si>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</si>
  <si>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</si>
  <si>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</si>
  <si>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</si>
  <si>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</si>
  <si>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</si>
  <si>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</si>
  <si>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</si>
  <si>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</si>
  <si>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</si>
  <si>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</si>
  <si>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</si>
  <si>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</si>
  <si>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</si>
  <si>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</si>
  <si>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</si>
  <si>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</si>
  <si>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</si>
  <si>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</si>
  <si>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</si>
  <si>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</si>
  <si>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</si>
  <si>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</si>
  <si>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</si>
  <si>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</si>
  <si>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</si>
  <si>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</si>
  <si>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</si>
  <si>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</si>
  <si>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</si>
  <si>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</si>
  <si>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</si>
  <si>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</si>
  <si>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</si>
  <si>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</si>
  <si>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</si>
  <si>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</si>
  <si>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</si>
  <si>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</si>
  <si>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</si>
  <si>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</si>
  <si>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</si>
  <si>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</si>
  <si>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</si>
  <si>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</si>
  <si>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</si>
  <si>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</si>
  <si>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</si>
  <si>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</si>
  <si>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</si>
  <si>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</si>
  <si>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</si>
  <si>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</si>
  <si>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</si>
  <si>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</si>
  <si>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</si>
  <si>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</si>
  <si>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</si>
  <si>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</si>
  <si>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</si>
  <si>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</si>
  <si>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</si>
  <si>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</si>
  <si>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</si>
  <si>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</si>
  <si>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</si>
  <si>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</si>
  <si>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</si>
  <si>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</si>
  <si>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</si>
  <si>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</si>
  <si>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</si>
  <si>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</si>
  <si>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</si>
  <si>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</si>
  <si>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</si>
  <si>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</si>
  <si>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</si>
  <si>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</si>
  <si>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</si>
  <si>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</si>
  <si>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</si>
  <si>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</si>
  <si>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</si>
  <si>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</si>
  <si>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</si>
  <si>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Warna Default/ga dibhapus</t>
  </si>
  <si>
    <t>Total CIF</t>
  </si>
  <si>
    <t>BARANG (SERI BARANG KE 1)</t>
  </si>
  <si>
    <t>0820230643</t>
  </si>
  <si>
    <t>TRUE</t>
  </si>
  <si>
    <t>ASURANSI PERISAI LISTRIK NASIONAL. PT</t>
  </si>
  <si>
    <t>2024-11-18</t>
  </si>
  <si>
    <t>CARTON,ECT AND MULLEN 275#</t>
  </si>
  <si>
    <t>290842</t>
  </si>
  <si>
    <t>24001093/O4/1201/MAKLOON</t>
  </si>
  <si>
    <t>2024-10-02</t>
  </si>
  <si>
    <t>00650/BPJ/CB/2024</t>
  </si>
  <si>
    <t>2024-10-07</t>
  </si>
  <si>
    <t>APLN.06.S05.24.110536</t>
  </si>
  <si>
    <t>S-547/KBC.0903/KBC.090304/2024</t>
  </si>
  <si>
    <t>2024112896</t>
  </si>
  <si>
    <t>C:\Users\melawati\Downloads\00026131560820241209003076 (1).xlsx</t>
  </si>
  <si>
    <t>00026131560820241209003076</t>
  </si>
  <si>
    <t>292571/297888/297887</t>
  </si>
  <si>
    <t>300359/300360/300835/300836/300358</t>
  </si>
  <si>
    <t>300361/300681</t>
  </si>
  <si>
    <t>300364/300371</t>
  </si>
  <si>
    <t>300849/300850/300851/300852/300853/300854/300855</t>
  </si>
  <si>
    <t>300856/300857/300685/300687/300688/302230/302231</t>
  </si>
  <si>
    <t>300885/300886/300887/300888/300889/300890/300891</t>
  </si>
  <si>
    <t>300892/300893/300693/300695/300696/302233/302234</t>
  </si>
  <si>
    <t>302235/298543/298544/298545/298546/298547/298549</t>
  </si>
  <si>
    <t>298550/298435/298436/298437/298438/298439/298440</t>
  </si>
  <si>
    <t>298441/298442/297549/297550/297551/297531/297539</t>
  </si>
  <si>
    <t>297541/297542/297570/297571/297572/297573/297574</t>
  </si>
  <si>
    <t>290819/291589/293942</t>
  </si>
  <si>
    <t>290817/291817/290952/293849</t>
  </si>
  <si>
    <t>290818/290954</t>
  </si>
  <si>
    <t>290820/290821/290822/290823</t>
  </si>
  <si>
    <t>290828/290832</t>
  </si>
  <si>
    <t>290955/290956/290957/290959/291595/291596/290964</t>
  </si>
  <si>
    <t>290966/290960/290961/291600/293850</t>
  </si>
  <si>
    <t>THREAD,100% META ARAMID@4400MT</t>
  </si>
  <si>
    <t>HANG TAG, RWHTFR1</t>
  </si>
  <si>
    <t>BOOK TAG, 4" X 6"</t>
  </si>
  <si>
    <t>POLYBAG SEALTAPE, FLAP 7CM</t>
  </si>
  <si>
    <t>TAGPIN</t>
  </si>
  <si>
    <t>65%LZG F BRELITE 33%ARM 2%ANTC</t>
  </si>
  <si>
    <t>BLEACH DTCTION DYED FBRC 100%C</t>
  </si>
  <si>
    <t>52% POLY 48% COTTONFOR</t>
  </si>
  <si>
    <t>EDGE BAND</t>
  </si>
  <si>
    <t>ZIPPER,BRNSCSZ006,6MM,1WAY</t>
  </si>
  <si>
    <t>RW LOGO PLASTIC BUTTONS</t>
  </si>
  <si>
    <t>CARE LABEL, 24 CM X 6 CM,66407</t>
  </si>
  <si>
    <t>LABEL UL CLASSIFIED</t>
  </si>
  <si>
    <t>LABEL,5CMX2CM,TEXT HGHT 1.6MM</t>
  </si>
  <si>
    <t>LABEL RED WING FR WOVEN LOGO</t>
  </si>
  <si>
    <t>LABEL, RW FR LOOP LABEL</t>
  </si>
  <si>
    <t>LABEL CAT2</t>
  </si>
  <si>
    <t>LABEL,2CMX2CM,TEXT HGHT 1.6MM</t>
  </si>
  <si>
    <t>POLYBAG STICKER,88 MM x 88 MM</t>
  </si>
  <si>
    <t>THREAD,100% META ARAMID</t>
  </si>
  <si>
    <t>REFLECTIVE TAPE,FR SILVER 9801</t>
  </si>
  <si>
    <t>WOVEN LABEL, 5 CM X 4 CM</t>
  </si>
  <si>
    <t>THREAD,TEX 40 5000MT</t>
  </si>
  <si>
    <t>CARE LABEL, 24 CM X 6 CM,66307</t>
  </si>
  <si>
    <t>LABEL,FR LOGO RED WING NFPA</t>
  </si>
  <si>
    <t>LOOP, TLRHLZZ020</t>
  </si>
  <si>
    <t>HOOK, TLRHLZZ021</t>
  </si>
  <si>
    <t>NACHI LAKBAN STOP IF SEAL BRKN</t>
  </si>
  <si>
    <t>BUTTON 4139586-JX1710BB JEANS</t>
  </si>
  <si>
    <t>SNAP BUTTON 0798298-TC1080BB</t>
  </si>
  <si>
    <t>CARE LABEL, 24 CM X 6 CM,66807</t>
  </si>
  <si>
    <t>HEAT SEAL LABEL,FG TM-5 SYMBOL</t>
  </si>
  <si>
    <t>ZIPPER,CORCBLS006,6MM,2WAY</t>
  </si>
  <si>
    <t>ZIPPER,CORSCSZ006,6MM,1WAY</t>
  </si>
  <si>
    <t>BUTTON, PRESS BUTTON</t>
  </si>
  <si>
    <t>LABEL, 5 CM X 2 CM</t>
  </si>
  <si>
    <t>LABEL, 3 CM X 2,5 CM</t>
  </si>
  <si>
    <t>HEAT SEAL LABEL,FG TM-4 SYMBOL</t>
  </si>
  <si>
    <t>CARE LABEL, 24 CM X 6 CM,61105</t>
  </si>
  <si>
    <t>100%CTN POPLN CD40XCD40/120X60</t>
  </si>
  <si>
    <t>LABEL, 2 CM X 2 CM</t>
  </si>
  <si>
    <t>LIGHT SPARK 99/1% Co/AS WEFT</t>
  </si>
  <si>
    <t>REFLECTIVE TAPE,FR SILVER</t>
  </si>
  <si>
    <t>CARE LABEL, 24 CM X 6 CM 61805</t>
  </si>
  <si>
    <t>59%MCRYLIC 39%CTN 2%ANTSTIC FR</t>
  </si>
  <si>
    <t>LABEL, HIGH VISIBILITY CLASS</t>
  </si>
  <si>
    <t>ELASTIC, #6800/15-64</t>
  </si>
  <si>
    <t>LABEL,HEAT INDICATOR DISK</t>
  </si>
  <si>
    <t>C:\Users\melawati\Downloads\BC 261 24001098-1201 09122024   (3).xlsx</t>
  </si>
  <si>
    <t>288615</t>
  </si>
  <si>
    <t>290831</t>
  </si>
  <si>
    <t>290834</t>
  </si>
  <si>
    <t>290838</t>
  </si>
  <si>
    <t>290946</t>
  </si>
  <si>
    <t>300343</t>
  </si>
  <si>
    <t>300356</t>
  </si>
  <si>
    <t>300357</t>
  </si>
  <si>
    <t>300362</t>
  </si>
  <si>
    <t>300363</t>
  </si>
  <si>
    <t>300372</t>
  </si>
  <si>
    <t>300373</t>
  </si>
  <si>
    <t>300374</t>
  </si>
  <si>
    <t>302232</t>
  </si>
  <si>
    <t>297575</t>
  </si>
  <si>
    <t>290826</t>
  </si>
  <si>
    <t>290829</t>
  </si>
  <si>
    <t>290945</t>
  </si>
  <si>
    <t>300682</t>
  </si>
  <si>
    <t>300777</t>
  </si>
  <si>
    <t>290824</t>
  </si>
  <si>
    <t>290825</t>
  </si>
  <si>
    <t>290840</t>
  </si>
  <si>
    <t>300970</t>
  </si>
  <si>
    <t>300971</t>
  </si>
  <si>
    <t>300972</t>
  </si>
  <si>
    <t>300975</t>
  </si>
  <si>
    <t>290833</t>
  </si>
  <si>
    <t>290837</t>
  </si>
  <si>
    <t>298433</t>
  </si>
  <si>
    <t>298827</t>
  </si>
  <si>
    <t>293943</t>
  </si>
  <si>
    <t>293990</t>
  </si>
  <si>
    <t>294019</t>
  </si>
  <si>
    <t>297527</t>
  </si>
  <si>
    <t>297528</t>
  </si>
  <si>
    <t>257439</t>
  </si>
  <si>
    <t>290836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</si>
</sst>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0.0%"/>
    <numFmt numFmtId="166" formatCode="&quot;$&quot;#,##0.00"/>
    <numFmt numFmtId="167" formatCode="mm/dd/yy;@"/>
    <numFmt numFmtId="168" formatCode="dd\-mm\-yyyy"/>
    <numFmt numFmtId="169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164" fontId="22" fillId="37" borderId="0" xfId="46" applyFont="1" applyFill="1" applyAlignment="1">
      <alignment horizontal="left"/>
    </xf>
    <xf numFmtId="165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6" fontId="0" fillId="0" borderId="0" xfId="0" applyNumberFormat="1"/>
    <xf numFmtId="164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7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8" fontId="37" fillId="44" borderId="17" xfId="0" applyNumberFormat="1" applyFont="1" applyFill="1" applyBorder="1" applyAlignment="1">
      <alignment horizontal="center"/>
    </xf>
    <xf numFmtId="168" fontId="37" fillId="44" borderId="0" xfId="0" applyNumberFormat="1" applyFont="1" applyFill="1" applyAlignment="1">
      <alignment horizontal="center"/>
    </xf>
    <xf numFmtId="168" fontId="37" fillId="44" borderId="15" xfId="0" applyNumberFormat="1" applyFont="1" applyFill="1" applyBorder="1" applyAlignment="1">
      <alignment horizontal="center"/>
    </xf>
    <xf numFmtId="168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9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8" fontId="36" fillId="45" borderId="19" xfId="0" applyNumberFormat="1" applyFont="1" applyFill="1" applyBorder="1" applyAlignment="1">
      <alignment horizontal="center"/>
    </xf>
    <xf numFmtId="168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168" fontId="36" fillId="45" borderId="22" xfId="0" applyNumberFormat="1" applyFont="1" applyFill="1" applyBorder="1" applyAlignment="1">
      <alignment horizontal="center"/>
    </xf>
    <xf numFmtId="168" fontId="36" fillId="45" borderId="21" xfId="0" applyNumberFormat="1" applyFont="1" applyFill="1" applyBorder="1" applyAlignment="1">
      <alignment horizontal="center"/>
    </xf>
    <xf numFmtId="168" fontId="36" fillId="45" borderId="14" xfId="0" applyNumberFormat="1" applyFont="1" applyFill="1" applyBorder="1" applyAlignment="1">
      <alignment horizontal="center"/>
    </xf>
    <xf numFmtId="168" fontId="36" fillId="45" borderId="16" xfId="0" applyNumberFormat="1" applyFont="1" applyFill="1" applyBorder="1" applyAlignment="1">
      <alignment horizont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59"/>
  <sheetViews>
    <sheetView zoomScale="70" zoomScaleNormal="70" workbookViewId="0">
      <pane ySplit="1" topLeftCell="A2" activePane="bottomLeft" state="frozen"/>
      <selection pane="bottomLeft" activeCell="A2" sqref="A2:Z60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7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273</v>
      </c>
      <c r="C2">
        <v>55081090</v>
      </c>
      <c r="D2" t="s">
        <v>224</v>
      </c>
      <c r="E2">
        <v>11</v>
      </c>
      <c r="F2" s="5" t="s">
        <v>42</v>
      </c>
      <c r="G2">
        <v>86.9</v>
      </c>
      <c r="H2" s="16" t="s">
        <v>115</v>
      </c>
      <c r="I2" s="16">
        <v>23</v>
      </c>
      <c r="J2">
        <v>630603</v>
      </c>
      <c r="K2" s="79">
        <v>45579</v>
      </c>
      <c r="L2" t="s">
        <v>14</v>
      </c>
      <c r="M2">
        <v>5</v>
      </c>
      <c r="N2">
        <v>11</v>
      </c>
      <c r="P2">
        <v>2.5</v>
      </c>
      <c r="Q2" s="5">
        <v>1359550.5</v>
      </c>
      <c r="R2">
        <v>1</v>
      </c>
      <c r="S2" t="s">
        <v>18</v>
      </c>
      <c r="T2">
        <v>1.54</v>
      </c>
      <c r="W2" s="34"/>
    </row>
    <row r="3" spans="1:26" x14ac:dyDescent="0.25">
      <c r="A3">
        <v>2</v>
      </c>
      <c r="B3" t="s">
        <v>274</v>
      </c>
      <c r="C3">
        <v>48211090</v>
      </c>
      <c r="D3" t="s">
        <v>225</v>
      </c>
      <c r="E3">
        <v>1880</v>
      </c>
      <c r="F3" s="5" t="s">
        <v>4</v>
      </c>
      <c r="G3">
        <v>45.12</v>
      </c>
      <c r="H3" s="16" t="s">
        <v>115</v>
      </c>
      <c r="I3" s="16">
        <v>23</v>
      </c>
      <c r="J3">
        <v>1471</v>
      </c>
      <c r="K3" s="79">
        <v>45308</v>
      </c>
      <c r="L3" t="s">
        <v>12</v>
      </c>
      <c r="M3">
        <v>5</v>
      </c>
      <c r="N3">
        <v>11</v>
      </c>
      <c r="P3">
        <v>2.5</v>
      </c>
      <c r="Q3" s="5">
        <v>705902.4</v>
      </c>
      <c r="R3">
        <v>0</v>
      </c>
      <c r="S3" t="s">
        <v>18</v>
      </c>
      <c r="T3">
        <v>0.56000000000000005</v>
      </c>
      <c r="W3" s="34"/>
    </row>
    <row r="4" spans="1:26" x14ac:dyDescent="0.25">
      <c r="A4">
        <v>3</v>
      </c>
      <c r="B4" t="s">
        <v>275</v>
      </c>
      <c r="C4">
        <v>48211090</v>
      </c>
      <c r="D4" t="s">
        <v>226</v>
      </c>
      <c r="E4">
        <v>1880</v>
      </c>
      <c r="F4" s="5" t="s">
        <v>4</v>
      </c>
      <c r="G4">
        <v>155.1</v>
      </c>
      <c r="H4" s="16" t="s">
        <v>114</v>
      </c>
      <c r="I4" s="16">
        <v>40</v>
      </c>
      <c r="J4">
        <v>695578</v>
      </c>
      <c r="K4" s="79">
        <v>45565</v>
      </c>
      <c r="L4" t="s">
        <v>12</v>
      </c>
      <c r="M4">
        <v>0</v>
      </c>
      <c r="N4">
        <v>11</v>
      </c>
      <c r="P4">
        <v>0</v>
      </c>
      <c r="Q4" s="5">
        <v>2426539.5</v>
      </c>
      <c r="R4">
        <v>0</v>
      </c>
      <c r="S4" t="s">
        <v>18</v>
      </c>
      <c r="T4">
        <v>0.56000000000000005</v>
      </c>
      <c r="W4" s="34"/>
    </row>
    <row r="5" spans="1:26" x14ac:dyDescent="0.25">
      <c r="A5">
        <v>4</v>
      </c>
      <c r="B5" t="s">
        <v>276</v>
      </c>
      <c r="C5">
        <v>48211090</v>
      </c>
      <c r="D5" t="s">
        <v>227</v>
      </c>
      <c r="E5">
        <v>1880</v>
      </c>
      <c r="F5" s="5" t="s">
        <v>4</v>
      </c>
      <c r="G5">
        <v>183.68</v>
      </c>
      <c r="H5" s="16" t="s">
        <v>114</v>
      </c>
      <c r="I5" s="16">
        <v>40</v>
      </c>
      <c r="J5">
        <v>698219</v>
      </c>
      <c r="K5" s="79">
        <v>45572</v>
      </c>
      <c r="L5" t="s">
        <v>12</v>
      </c>
      <c r="M5">
        <v>0</v>
      </c>
      <c r="N5">
        <v>11</v>
      </c>
      <c r="P5">
        <v>0</v>
      </c>
      <c r="Q5" s="5">
        <v>2873611.02</v>
      </c>
      <c r="R5">
        <v>0</v>
      </c>
      <c r="S5" t="s">
        <v>18</v>
      </c>
      <c r="T5">
        <v>0.56000000000000005</v>
      </c>
      <c r="W5" s="34"/>
    </row>
    <row r="6" spans="1:26" x14ac:dyDescent="0.25">
      <c r="A6">
        <v>5</v>
      </c>
      <c r="B6" t="s">
        <v>195</v>
      </c>
      <c r="C6">
        <v>48192000</v>
      </c>
      <c r="D6" t="s">
        <v>194</v>
      </c>
      <c r="E6">
        <v>188</v>
      </c>
      <c r="F6" s="5" t="s">
        <v>4</v>
      </c>
      <c r="G6">
        <v>170.7</v>
      </c>
      <c r="H6" s="16" t="s">
        <v>114</v>
      </c>
      <c r="I6" s="16">
        <v>40</v>
      </c>
      <c r="J6">
        <v>696012</v>
      </c>
      <c r="K6" s="79">
        <v>45566</v>
      </c>
      <c r="L6" t="s">
        <v>12</v>
      </c>
      <c r="M6">
        <v>0</v>
      </c>
      <c r="N6">
        <v>11</v>
      </c>
      <c r="P6">
        <v>0</v>
      </c>
      <c r="Q6" s="5">
        <v>2670664.08</v>
      </c>
      <c r="R6">
        <v>0</v>
      </c>
      <c r="S6" t="s">
        <v>18</v>
      </c>
      <c r="T6">
        <v>9.4</v>
      </c>
      <c r="W6" s="34"/>
    </row>
    <row r="7" spans="1:26" x14ac:dyDescent="0.25">
      <c r="A7">
        <v>6</v>
      </c>
      <c r="B7" t="s">
        <v>277</v>
      </c>
      <c r="C7">
        <v>39262090</v>
      </c>
      <c r="D7" t="s">
        <v>228</v>
      </c>
      <c r="E7">
        <v>1870</v>
      </c>
      <c r="F7" s="5" t="s">
        <v>4</v>
      </c>
      <c r="G7">
        <v>0.75</v>
      </c>
      <c r="H7" s="16" t="s">
        <v>114</v>
      </c>
      <c r="I7" s="16">
        <v>40</v>
      </c>
      <c r="J7">
        <v>683509</v>
      </c>
      <c r="K7" s="79">
        <v>45533</v>
      </c>
      <c r="L7" t="s">
        <v>12</v>
      </c>
      <c r="M7">
        <v>0</v>
      </c>
      <c r="N7">
        <v>11</v>
      </c>
      <c r="P7">
        <v>0</v>
      </c>
      <c r="Q7" s="5">
        <v>11702.46</v>
      </c>
      <c r="R7">
        <v>0</v>
      </c>
      <c r="S7" t="s">
        <v>18</v>
      </c>
      <c r="T7">
        <v>0.56000000000000005</v>
      </c>
      <c r="W7" s="34"/>
    </row>
    <row r="8" spans="1:26" x14ac:dyDescent="0.25">
      <c r="A8">
        <v>7</v>
      </c>
      <c r="B8" t="s">
        <v>205</v>
      </c>
      <c r="C8">
        <v>55169200</v>
      </c>
      <c r="D8" t="s">
        <v>229</v>
      </c>
      <c r="E8">
        <v>4131.8</v>
      </c>
      <c r="F8" s="5" t="s">
        <v>22</v>
      </c>
      <c r="G8">
        <v>45449.8</v>
      </c>
      <c r="H8" s="16" t="s">
        <v>115</v>
      </c>
      <c r="I8" s="16">
        <v>23</v>
      </c>
      <c r="J8">
        <v>627152</v>
      </c>
      <c r="K8" s="79">
        <v>45554</v>
      </c>
      <c r="L8" t="s">
        <v>13</v>
      </c>
      <c r="M8">
        <v>20</v>
      </c>
      <c r="N8">
        <v>11</v>
      </c>
      <c r="P8">
        <v>2.5</v>
      </c>
      <c r="Q8" s="5">
        <v>711062121</v>
      </c>
      <c r="R8">
        <v>0</v>
      </c>
      <c r="S8" t="s">
        <v>18</v>
      </c>
      <c r="T8">
        <v>1074.27</v>
      </c>
      <c r="W8" s="34"/>
    </row>
    <row r="9" spans="1:26" x14ac:dyDescent="0.25">
      <c r="A9">
        <v>8</v>
      </c>
      <c r="B9" t="s">
        <v>278</v>
      </c>
      <c r="C9">
        <v>60069000</v>
      </c>
      <c r="D9" t="s">
        <v>230</v>
      </c>
      <c r="E9">
        <v>11.7</v>
      </c>
      <c r="F9" s="5" t="s">
        <v>22</v>
      </c>
      <c r="G9">
        <v>44.58</v>
      </c>
      <c r="H9" s="16" t="s">
        <v>115</v>
      </c>
      <c r="I9" s="16">
        <v>23</v>
      </c>
      <c r="J9">
        <v>624275</v>
      </c>
      <c r="K9" s="79">
        <v>45531</v>
      </c>
      <c r="L9" t="s">
        <v>13</v>
      </c>
      <c r="M9">
        <v>15</v>
      </c>
      <c r="N9">
        <v>11</v>
      </c>
      <c r="P9">
        <v>2.5</v>
      </c>
      <c r="Q9" s="5">
        <v>697407.17</v>
      </c>
      <c r="R9">
        <v>0</v>
      </c>
      <c r="S9" t="s">
        <v>18</v>
      </c>
      <c r="T9">
        <v>2.6509999999999998</v>
      </c>
      <c r="W9" s="34"/>
    </row>
    <row r="10" spans="1:26" x14ac:dyDescent="0.25">
      <c r="A10">
        <v>9</v>
      </c>
      <c r="B10" t="s">
        <v>279</v>
      </c>
      <c r="C10">
        <v>55142300</v>
      </c>
      <c r="D10" t="s">
        <v>231</v>
      </c>
      <c r="E10">
        <v>118</v>
      </c>
      <c r="F10" s="5" t="s">
        <v>22</v>
      </c>
      <c r="G10">
        <v>199.42</v>
      </c>
      <c r="H10" s="16" t="s">
        <v>115</v>
      </c>
      <c r="I10" s="16">
        <v>23</v>
      </c>
      <c r="J10">
        <v>629705</v>
      </c>
      <c r="K10" s="79">
        <v>45573</v>
      </c>
      <c r="L10" s="5" t="s">
        <v>13</v>
      </c>
      <c r="M10">
        <v>15</v>
      </c>
      <c r="N10">
        <v>11</v>
      </c>
      <c r="P10">
        <v>2.5</v>
      </c>
      <c r="Q10" s="5">
        <v>3119925.9</v>
      </c>
      <c r="R10">
        <v>0</v>
      </c>
      <c r="S10" t="s">
        <v>18</v>
      </c>
      <c r="T10">
        <v>30.68</v>
      </c>
      <c r="V10" s="30"/>
      <c r="W10" s="34"/>
    </row>
    <row r="11" spans="1:26" x14ac:dyDescent="0.25">
      <c r="A11">
        <v>10</v>
      </c>
      <c r="B11" t="s">
        <v>280</v>
      </c>
      <c r="C11">
        <v>58062090</v>
      </c>
      <c r="D11" t="s">
        <v>232</v>
      </c>
      <c r="E11">
        <v>500</v>
      </c>
      <c r="F11" s="5" t="s">
        <v>22</v>
      </c>
      <c r="G11">
        <v>132.19999999999999</v>
      </c>
      <c r="H11" s="16" t="s">
        <v>114</v>
      </c>
      <c r="I11" s="16">
        <v>40</v>
      </c>
      <c r="J11">
        <v>701085</v>
      </c>
      <c r="K11" s="79">
        <v>45579</v>
      </c>
      <c r="L11" t="s">
        <v>13</v>
      </c>
      <c r="M11">
        <v>0</v>
      </c>
      <c r="N11">
        <v>11</v>
      </c>
      <c r="P11">
        <v>0</v>
      </c>
      <c r="Q11" s="5">
        <v>2068269</v>
      </c>
      <c r="R11">
        <v>0</v>
      </c>
      <c r="S11" t="s">
        <v>18</v>
      </c>
      <c r="T11">
        <v>0.15</v>
      </c>
      <c r="W11" s="34"/>
    </row>
    <row r="12" spans="1:26" x14ac:dyDescent="0.25">
      <c r="A12">
        <v>11</v>
      </c>
      <c r="B12" t="s">
        <v>206</v>
      </c>
      <c r="C12">
        <v>96071100</v>
      </c>
      <c r="D12" t="s">
        <v>233</v>
      </c>
      <c r="E12">
        <v>450</v>
      </c>
      <c r="F12" s="5" t="s">
        <v>4</v>
      </c>
      <c r="G12">
        <v>489.57</v>
      </c>
      <c r="H12" s="16" t="s">
        <v>115</v>
      </c>
      <c r="I12" s="16">
        <v>23</v>
      </c>
      <c r="J12">
        <v>628796</v>
      </c>
      <c r="K12" s="79">
        <v>45566</v>
      </c>
      <c r="L12" t="s">
        <v>12</v>
      </c>
      <c r="M12">
        <v>15</v>
      </c>
      <c r="N12">
        <v>11</v>
      </c>
      <c r="P12">
        <v>2.5</v>
      </c>
      <c r="Q12" s="5">
        <v>7659291.3600000003</v>
      </c>
      <c r="R12">
        <v>0</v>
      </c>
      <c r="S12" t="s">
        <v>18</v>
      </c>
      <c r="T12">
        <v>0.14000000000000001</v>
      </c>
      <c r="W12" s="34"/>
    </row>
    <row r="13" spans="1:26" x14ac:dyDescent="0.25">
      <c r="A13">
        <v>12</v>
      </c>
      <c r="B13" t="s">
        <v>207</v>
      </c>
      <c r="C13">
        <v>96061090</v>
      </c>
      <c r="D13" t="s">
        <v>234</v>
      </c>
      <c r="E13">
        <v>3215</v>
      </c>
      <c r="F13" s="5" t="s">
        <v>4</v>
      </c>
      <c r="G13">
        <v>55.3</v>
      </c>
      <c r="H13" s="16" t="s">
        <v>115</v>
      </c>
      <c r="I13" s="16">
        <v>23</v>
      </c>
      <c r="J13">
        <v>624235</v>
      </c>
      <c r="K13" s="79">
        <v>45531</v>
      </c>
      <c r="L13" t="s">
        <v>12</v>
      </c>
      <c r="M13">
        <v>10</v>
      </c>
      <c r="N13">
        <v>11</v>
      </c>
      <c r="P13">
        <v>2.5</v>
      </c>
      <c r="Q13" s="5">
        <v>865137.21</v>
      </c>
      <c r="R13">
        <v>0</v>
      </c>
      <c r="S13" t="s">
        <v>18</v>
      </c>
      <c r="T13">
        <v>0.96</v>
      </c>
      <c r="W13" s="34"/>
    </row>
    <row r="14" spans="1:26" x14ac:dyDescent="0.25">
      <c r="A14">
        <v>13</v>
      </c>
      <c r="B14" t="s">
        <v>281</v>
      </c>
      <c r="C14">
        <v>58071000</v>
      </c>
      <c r="D14" t="s">
        <v>235</v>
      </c>
      <c r="E14">
        <v>200</v>
      </c>
      <c r="F14" s="5" t="s">
        <v>4</v>
      </c>
      <c r="G14">
        <v>26</v>
      </c>
      <c r="H14" s="16" t="s">
        <v>115</v>
      </c>
      <c r="I14" s="16">
        <v>23</v>
      </c>
      <c r="J14">
        <v>626043</v>
      </c>
      <c r="K14" s="79">
        <v>45546</v>
      </c>
      <c r="L14" t="s">
        <v>12</v>
      </c>
      <c r="M14">
        <v>10</v>
      </c>
      <c r="N14">
        <v>11</v>
      </c>
      <c r="P14">
        <v>2.5</v>
      </c>
      <c r="Q14" s="5">
        <v>406770</v>
      </c>
      <c r="R14">
        <v>0</v>
      </c>
      <c r="S14" t="s">
        <v>18</v>
      </c>
      <c r="T14">
        <v>0.06</v>
      </c>
      <c r="W14" s="34"/>
    </row>
    <row r="15" spans="1:26" x14ac:dyDescent="0.25">
      <c r="A15">
        <v>14</v>
      </c>
      <c r="B15" t="s">
        <v>282</v>
      </c>
      <c r="C15">
        <v>58071000</v>
      </c>
      <c r="D15" t="s">
        <v>236</v>
      </c>
      <c r="E15">
        <v>600</v>
      </c>
      <c r="F15" s="28" t="s">
        <v>4</v>
      </c>
      <c r="G15">
        <v>54</v>
      </c>
      <c r="H15" s="16" t="s">
        <v>115</v>
      </c>
      <c r="I15" s="16">
        <v>23</v>
      </c>
      <c r="J15">
        <v>626043</v>
      </c>
      <c r="K15" s="79">
        <v>45546</v>
      </c>
      <c r="L15" s="5" t="s">
        <v>12</v>
      </c>
      <c r="M15" s="20">
        <v>10</v>
      </c>
      <c r="N15" s="18">
        <v>11</v>
      </c>
      <c r="P15" s="18">
        <v>2.5</v>
      </c>
      <c r="Q15" s="5">
        <v>844830</v>
      </c>
      <c r="R15">
        <v>0</v>
      </c>
      <c r="S15" t="s">
        <v>18</v>
      </c>
      <c r="T15">
        <v>0.18</v>
      </c>
      <c r="V15" s="30"/>
      <c r="W15" s="34"/>
      <c r="Z15" s="30"/>
    </row>
    <row r="16" spans="1:26" x14ac:dyDescent="0.25">
      <c r="A16">
        <v>15</v>
      </c>
      <c r="B16" t="s">
        <v>208</v>
      </c>
      <c r="C16">
        <v>58071000</v>
      </c>
      <c r="D16" t="s">
        <v>237</v>
      </c>
      <c r="E16">
        <v>1600</v>
      </c>
      <c r="F16" s="5" t="s">
        <v>4</v>
      </c>
      <c r="G16">
        <v>24</v>
      </c>
      <c r="H16" s="16" t="s">
        <v>115</v>
      </c>
      <c r="I16" s="16">
        <v>23</v>
      </c>
      <c r="J16">
        <v>627896</v>
      </c>
      <c r="K16" s="79">
        <v>45560</v>
      </c>
      <c r="L16" t="s">
        <v>12</v>
      </c>
      <c r="M16">
        <v>10</v>
      </c>
      <c r="N16">
        <v>11</v>
      </c>
      <c r="P16">
        <v>2.5</v>
      </c>
      <c r="Q16" s="5">
        <v>375480</v>
      </c>
      <c r="R16">
        <v>0</v>
      </c>
      <c r="S16" t="s">
        <v>18</v>
      </c>
      <c r="T16">
        <v>0.48</v>
      </c>
      <c r="W16" s="34"/>
    </row>
    <row r="17" spans="1:23" x14ac:dyDescent="0.25">
      <c r="A17">
        <v>16</v>
      </c>
      <c r="B17" t="s">
        <v>283</v>
      </c>
      <c r="C17">
        <v>48211090</v>
      </c>
      <c r="D17" t="s">
        <v>238</v>
      </c>
      <c r="E17">
        <v>200</v>
      </c>
      <c r="F17" s="5" t="s">
        <v>4</v>
      </c>
      <c r="G17">
        <v>0</v>
      </c>
      <c r="H17" s="16" t="s">
        <v>114</v>
      </c>
      <c r="I17" s="16">
        <v>40</v>
      </c>
      <c r="J17">
        <v>687514</v>
      </c>
      <c r="K17" s="79">
        <v>45544</v>
      </c>
      <c r="L17" t="s">
        <v>12</v>
      </c>
      <c r="M17">
        <v>0</v>
      </c>
      <c r="N17">
        <v>11</v>
      </c>
      <c r="P17">
        <v>0</v>
      </c>
      <c r="Q17" s="5">
        <v>0</v>
      </c>
      <c r="R17">
        <v>0</v>
      </c>
      <c r="S17" t="s">
        <v>18</v>
      </c>
      <c r="T17">
        <v>0.06</v>
      </c>
      <c r="W17" s="34"/>
    </row>
    <row r="18" spans="1:23" x14ac:dyDescent="0.25">
      <c r="A18">
        <v>17</v>
      </c>
      <c r="B18" t="s">
        <v>284</v>
      </c>
      <c r="C18">
        <v>48211090</v>
      </c>
      <c r="D18" t="s">
        <v>239</v>
      </c>
      <c r="E18">
        <v>400</v>
      </c>
      <c r="F18" s="5" t="s">
        <v>4</v>
      </c>
      <c r="G18">
        <v>12.8</v>
      </c>
      <c r="H18" s="16" t="s">
        <v>114</v>
      </c>
      <c r="I18" s="16">
        <v>40</v>
      </c>
      <c r="J18">
        <v>687514</v>
      </c>
      <c r="K18" s="79">
        <v>45544</v>
      </c>
      <c r="L18" t="s">
        <v>12</v>
      </c>
      <c r="M18">
        <v>0</v>
      </c>
      <c r="N18">
        <v>11</v>
      </c>
      <c r="P18">
        <v>0</v>
      </c>
      <c r="Q18" s="5">
        <v>200256</v>
      </c>
      <c r="R18">
        <v>0</v>
      </c>
      <c r="S18" t="s">
        <v>18</v>
      </c>
      <c r="T18">
        <v>0.12</v>
      </c>
      <c r="W18" s="34"/>
    </row>
    <row r="19" spans="1:23" x14ac:dyDescent="0.25">
      <c r="A19">
        <v>18</v>
      </c>
      <c r="B19" t="s">
        <v>285</v>
      </c>
      <c r="C19">
        <v>48211090</v>
      </c>
      <c r="D19" t="s">
        <v>240</v>
      </c>
      <c r="E19">
        <v>400</v>
      </c>
      <c r="F19" s="5" t="s">
        <v>4</v>
      </c>
      <c r="G19">
        <v>0</v>
      </c>
      <c r="H19" s="16" t="s">
        <v>114</v>
      </c>
      <c r="I19" s="16">
        <v>40</v>
      </c>
      <c r="J19">
        <v>687514</v>
      </c>
      <c r="K19" s="79">
        <v>45544</v>
      </c>
      <c r="L19" s="5" t="s">
        <v>12</v>
      </c>
      <c r="M19">
        <v>0</v>
      </c>
      <c r="N19">
        <v>11</v>
      </c>
      <c r="P19">
        <v>0</v>
      </c>
      <c r="Q19" s="5">
        <v>0</v>
      </c>
      <c r="R19">
        <v>0</v>
      </c>
      <c r="S19" t="s">
        <v>18</v>
      </c>
      <c r="T19">
        <v>0.12</v>
      </c>
      <c r="V19" s="30"/>
      <c r="W19" s="34"/>
    </row>
    <row r="20" spans="1:23" x14ac:dyDescent="0.25">
      <c r="A20">
        <v>19</v>
      </c>
      <c r="B20" t="s">
        <v>209</v>
      </c>
      <c r="C20">
        <v>58071000</v>
      </c>
      <c r="D20" t="s">
        <v>241</v>
      </c>
      <c r="E20">
        <v>160</v>
      </c>
      <c r="F20" s="5" t="s">
        <v>4</v>
      </c>
      <c r="G20">
        <v>2.4</v>
      </c>
      <c r="H20" s="16" t="s">
        <v>115</v>
      </c>
      <c r="I20" s="16">
        <v>23</v>
      </c>
      <c r="J20">
        <v>626043</v>
      </c>
      <c r="K20" s="79">
        <v>45546</v>
      </c>
      <c r="L20" t="s">
        <v>12</v>
      </c>
      <c r="M20">
        <v>10</v>
      </c>
      <c r="N20">
        <v>11</v>
      </c>
      <c r="P20">
        <v>2.5</v>
      </c>
      <c r="Q20" s="5">
        <v>37548</v>
      </c>
      <c r="R20">
        <v>0</v>
      </c>
      <c r="S20" t="s">
        <v>18</v>
      </c>
      <c r="T20">
        <v>0.1</v>
      </c>
      <c r="W20" s="34"/>
    </row>
    <row r="21" spans="1:23" x14ac:dyDescent="0.25">
      <c r="A21">
        <v>20</v>
      </c>
      <c r="B21" t="s">
        <v>210</v>
      </c>
      <c r="C21">
        <v>58071000</v>
      </c>
      <c r="D21" t="s">
        <v>241</v>
      </c>
      <c r="E21">
        <v>240</v>
      </c>
      <c r="F21" s="5" t="s">
        <v>4</v>
      </c>
      <c r="G21">
        <v>3.6</v>
      </c>
      <c r="H21" s="16" t="s">
        <v>115</v>
      </c>
      <c r="I21" s="16">
        <v>23</v>
      </c>
      <c r="J21">
        <v>626043</v>
      </c>
      <c r="K21" s="79">
        <v>45546</v>
      </c>
      <c r="L21" s="5" t="s">
        <v>12</v>
      </c>
      <c r="M21">
        <v>10</v>
      </c>
      <c r="N21">
        <v>11</v>
      </c>
      <c r="P21">
        <v>2.5</v>
      </c>
      <c r="Q21" s="5">
        <v>56322</v>
      </c>
      <c r="R21">
        <v>0</v>
      </c>
      <c r="S21" t="s">
        <v>18</v>
      </c>
      <c r="T21">
        <v>7.0000000000000007E-2</v>
      </c>
      <c r="V21" s="30"/>
      <c r="W21" s="34"/>
    </row>
    <row r="22" spans="1:23" x14ac:dyDescent="0.25">
      <c r="A22">
        <v>21</v>
      </c>
      <c r="B22" t="s">
        <v>286</v>
      </c>
      <c r="C22">
        <v>58071000</v>
      </c>
      <c r="D22" t="s">
        <v>241</v>
      </c>
      <c r="E22">
        <v>180</v>
      </c>
      <c r="F22" s="5" t="s">
        <v>4</v>
      </c>
      <c r="G22">
        <v>2.7</v>
      </c>
      <c r="H22" s="16" t="s">
        <v>115</v>
      </c>
      <c r="I22" s="16">
        <v>23</v>
      </c>
      <c r="J22">
        <v>626043</v>
      </c>
      <c r="K22" s="79">
        <v>45546</v>
      </c>
      <c r="L22" t="s">
        <v>12</v>
      </c>
      <c r="M22">
        <v>10</v>
      </c>
      <c r="N22">
        <v>11</v>
      </c>
      <c r="P22">
        <v>2.5</v>
      </c>
      <c r="Q22" s="5">
        <v>42241.5</v>
      </c>
      <c r="R22">
        <v>0</v>
      </c>
      <c r="S22" t="s">
        <v>18</v>
      </c>
      <c r="T22">
        <v>1E-4</v>
      </c>
      <c r="W22" s="34"/>
    </row>
    <row r="23" spans="1:23" x14ac:dyDescent="0.25">
      <c r="A23">
        <v>22</v>
      </c>
      <c r="B23" t="s">
        <v>211</v>
      </c>
      <c r="C23">
        <v>48211090</v>
      </c>
      <c r="D23" t="s">
        <v>242</v>
      </c>
      <c r="E23">
        <v>180</v>
      </c>
      <c r="F23" s="5" t="s">
        <v>4</v>
      </c>
      <c r="G23">
        <v>4.16</v>
      </c>
      <c r="H23" s="16" t="s">
        <v>114</v>
      </c>
      <c r="I23" s="16">
        <v>40</v>
      </c>
      <c r="J23">
        <v>702614</v>
      </c>
      <c r="K23" s="79">
        <v>45582</v>
      </c>
      <c r="L23" t="s">
        <v>12</v>
      </c>
      <c r="M23">
        <v>0</v>
      </c>
      <c r="N23">
        <v>11</v>
      </c>
      <c r="P23">
        <v>0</v>
      </c>
      <c r="Q23" s="5">
        <v>65051.91</v>
      </c>
      <c r="R23">
        <v>0</v>
      </c>
      <c r="S23" t="s">
        <v>18</v>
      </c>
      <c r="T23">
        <v>0.5</v>
      </c>
      <c r="W23" s="34"/>
    </row>
    <row r="24" spans="1:23" x14ac:dyDescent="0.25">
      <c r="A24">
        <v>23</v>
      </c>
      <c r="B24" t="s">
        <v>212</v>
      </c>
      <c r="C24">
        <v>48211090</v>
      </c>
      <c r="D24" t="s">
        <v>242</v>
      </c>
      <c r="E24">
        <v>240</v>
      </c>
      <c r="F24" s="5" t="s">
        <v>4</v>
      </c>
      <c r="G24">
        <v>6.06</v>
      </c>
      <c r="H24" s="16" t="s">
        <v>114</v>
      </c>
      <c r="I24" s="16">
        <v>40</v>
      </c>
      <c r="J24">
        <v>702614</v>
      </c>
      <c r="K24" s="79">
        <v>45582</v>
      </c>
      <c r="L24" t="s">
        <v>12</v>
      </c>
      <c r="M24">
        <v>0</v>
      </c>
      <c r="N24">
        <v>11</v>
      </c>
      <c r="P24">
        <v>0</v>
      </c>
      <c r="Q24" s="5">
        <v>94808.7</v>
      </c>
      <c r="R24">
        <v>0</v>
      </c>
      <c r="S24" t="s">
        <v>18</v>
      </c>
      <c r="T24">
        <v>6.0000000000000001E-3</v>
      </c>
      <c r="W24" s="34"/>
    </row>
    <row r="25" spans="1:23" x14ac:dyDescent="0.25">
      <c r="A25">
        <v>24</v>
      </c>
      <c r="B25" t="s">
        <v>213</v>
      </c>
      <c r="C25">
        <v>48211090</v>
      </c>
      <c r="D25" t="s">
        <v>242</v>
      </c>
      <c r="E25">
        <v>500</v>
      </c>
      <c r="F25" s="5" t="s">
        <v>4</v>
      </c>
      <c r="G25">
        <v>24.88</v>
      </c>
      <c r="H25" s="16" t="s">
        <v>114</v>
      </c>
      <c r="I25" s="16">
        <v>40</v>
      </c>
      <c r="J25">
        <v>702614</v>
      </c>
      <c r="K25" s="79">
        <v>45582</v>
      </c>
      <c r="L25" t="s">
        <v>12</v>
      </c>
      <c r="M25">
        <v>0</v>
      </c>
      <c r="N25">
        <v>11</v>
      </c>
      <c r="P25">
        <v>0</v>
      </c>
      <c r="Q25" s="5">
        <v>389247.6</v>
      </c>
      <c r="R25">
        <v>0</v>
      </c>
      <c r="S25" t="s">
        <v>18</v>
      </c>
      <c r="T25">
        <v>1E-4</v>
      </c>
      <c r="W25" s="34"/>
    </row>
    <row r="26" spans="1:23" x14ac:dyDescent="0.25">
      <c r="A26">
        <v>25</v>
      </c>
      <c r="B26" t="s">
        <v>214</v>
      </c>
      <c r="C26">
        <v>48211090</v>
      </c>
      <c r="D26" t="s">
        <v>242</v>
      </c>
      <c r="E26">
        <v>660</v>
      </c>
      <c r="F26" s="5" t="s">
        <v>4</v>
      </c>
      <c r="G26">
        <v>13.18</v>
      </c>
      <c r="H26" s="16" t="s">
        <v>114</v>
      </c>
      <c r="I26" s="16">
        <v>40</v>
      </c>
      <c r="J26">
        <v>702614</v>
      </c>
      <c r="K26" s="79">
        <v>45582</v>
      </c>
      <c r="L26" t="s">
        <v>12</v>
      </c>
      <c r="M26">
        <v>0</v>
      </c>
      <c r="N26">
        <v>11</v>
      </c>
      <c r="P26">
        <v>0</v>
      </c>
      <c r="Q26" s="5">
        <v>206232.39</v>
      </c>
      <c r="R26">
        <v>0</v>
      </c>
      <c r="S26" t="s">
        <v>18</v>
      </c>
      <c r="T26">
        <v>1E-4</v>
      </c>
      <c r="W26" s="34"/>
    </row>
    <row r="27" spans="1:23" x14ac:dyDescent="0.25">
      <c r="A27">
        <v>26</v>
      </c>
      <c r="B27" t="s">
        <v>215</v>
      </c>
      <c r="C27">
        <v>48211090</v>
      </c>
      <c r="D27" t="s">
        <v>242</v>
      </c>
      <c r="E27">
        <v>190</v>
      </c>
      <c r="F27" s="5" t="s">
        <v>4</v>
      </c>
      <c r="G27">
        <v>3.43</v>
      </c>
      <c r="H27" s="16" t="s">
        <v>114</v>
      </c>
      <c r="I27" s="16">
        <v>40</v>
      </c>
      <c r="J27">
        <v>702614</v>
      </c>
      <c r="K27" s="79">
        <v>45582</v>
      </c>
      <c r="L27" t="s">
        <v>12</v>
      </c>
      <c r="M27">
        <v>0</v>
      </c>
      <c r="N27">
        <v>11</v>
      </c>
      <c r="P27">
        <v>0</v>
      </c>
      <c r="Q27" s="5">
        <v>53646.71</v>
      </c>
      <c r="R27">
        <v>0</v>
      </c>
      <c r="S27" t="s">
        <v>18</v>
      </c>
      <c r="T27">
        <v>1E-4</v>
      </c>
      <c r="W27" s="34"/>
    </row>
    <row r="28" spans="1:23" x14ac:dyDescent="0.25">
      <c r="A28">
        <v>27</v>
      </c>
      <c r="B28" t="s">
        <v>216</v>
      </c>
      <c r="C28">
        <v>48211090</v>
      </c>
      <c r="D28" t="s">
        <v>242</v>
      </c>
      <c r="E28">
        <v>100</v>
      </c>
      <c r="F28" s="5" t="s">
        <v>4</v>
      </c>
      <c r="G28">
        <v>1.75</v>
      </c>
      <c r="H28" s="16" t="s">
        <v>114</v>
      </c>
      <c r="I28" s="16">
        <v>40</v>
      </c>
      <c r="J28">
        <v>702614</v>
      </c>
      <c r="K28" s="79">
        <v>45582</v>
      </c>
      <c r="L28" s="5" t="s">
        <v>12</v>
      </c>
      <c r="M28" s="20">
        <v>0</v>
      </c>
      <c r="N28" s="18">
        <v>11</v>
      </c>
      <c r="P28" s="18">
        <v>0</v>
      </c>
      <c r="Q28" s="5">
        <v>27378.75</v>
      </c>
      <c r="R28">
        <v>0</v>
      </c>
      <c r="S28" t="s">
        <v>18</v>
      </c>
      <c r="T28">
        <v>1E-4</v>
      </c>
      <c r="V28" s="30"/>
      <c r="W28" s="34"/>
    </row>
    <row r="29" spans="1:23" x14ac:dyDescent="0.25">
      <c r="A29">
        <v>28</v>
      </c>
      <c r="B29" t="s">
        <v>287</v>
      </c>
      <c r="C29">
        <v>48211090</v>
      </c>
      <c r="D29" t="s">
        <v>242</v>
      </c>
      <c r="E29">
        <v>10</v>
      </c>
      <c r="F29" s="5" t="s">
        <v>4</v>
      </c>
      <c r="G29">
        <v>0.18</v>
      </c>
      <c r="H29" s="16" t="s">
        <v>114</v>
      </c>
      <c r="I29" s="16">
        <v>40</v>
      </c>
      <c r="J29">
        <v>702614</v>
      </c>
      <c r="K29" s="79">
        <v>45582</v>
      </c>
      <c r="L29" t="s">
        <v>12</v>
      </c>
      <c r="M29">
        <v>0</v>
      </c>
      <c r="N29">
        <v>11</v>
      </c>
      <c r="P29">
        <v>0</v>
      </c>
      <c r="Q29" s="5">
        <v>2737.88</v>
      </c>
      <c r="R29">
        <v>0</v>
      </c>
      <c r="S29" t="s">
        <v>18</v>
      </c>
      <c r="T29">
        <v>1E-4</v>
      </c>
      <c r="W29" s="34"/>
    </row>
    <row r="30" spans="1:23" x14ac:dyDescent="0.25">
      <c r="A30">
        <v>29</v>
      </c>
      <c r="B30" t="s">
        <v>217</v>
      </c>
      <c r="C30">
        <v>52041900</v>
      </c>
      <c r="D30" t="s">
        <v>243</v>
      </c>
      <c r="E30">
        <v>154</v>
      </c>
      <c r="F30" s="5" t="s">
        <v>42</v>
      </c>
      <c r="G30">
        <v>1216.5999999999999</v>
      </c>
      <c r="H30" s="16" t="s">
        <v>115</v>
      </c>
      <c r="I30" s="16">
        <v>23</v>
      </c>
      <c r="J30">
        <v>628546</v>
      </c>
      <c r="K30" s="79">
        <v>45565</v>
      </c>
      <c r="L30" s="5" t="s">
        <v>14</v>
      </c>
      <c r="M30" s="20">
        <v>7.5</v>
      </c>
      <c r="N30" s="18">
        <v>11</v>
      </c>
      <c r="P30" s="18">
        <v>2.5</v>
      </c>
      <c r="Q30" s="5">
        <v>19033707</v>
      </c>
      <c r="R30">
        <v>0</v>
      </c>
      <c r="S30" t="s">
        <v>18</v>
      </c>
      <c r="T30">
        <v>21.56</v>
      </c>
      <c r="V30" s="30"/>
      <c r="W30" s="34"/>
    </row>
    <row r="31" spans="1:23" x14ac:dyDescent="0.25">
      <c r="A31">
        <v>30</v>
      </c>
      <c r="B31" t="s">
        <v>288</v>
      </c>
      <c r="C31">
        <v>59070010</v>
      </c>
      <c r="D31" t="s">
        <v>244</v>
      </c>
      <c r="E31">
        <v>3486</v>
      </c>
      <c r="F31" s="5" t="s">
        <v>22</v>
      </c>
      <c r="G31">
        <v>3486</v>
      </c>
      <c r="H31" s="16" t="s">
        <v>115</v>
      </c>
      <c r="I31" s="16">
        <v>23</v>
      </c>
      <c r="J31">
        <v>629518</v>
      </c>
      <c r="K31" s="79">
        <v>45572</v>
      </c>
      <c r="L31" t="s">
        <v>13</v>
      </c>
      <c r="M31">
        <v>10</v>
      </c>
      <c r="N31">
        <v>11</v>
      </c>
      <c r="P31">
        <v>2.5</v>
      </c>
      <c r="Q31" s="5">
        <v>54538470</v>
      </c>
      <c r="R31">
        <v>0</v>
      </c>
      <c r="S31" t="s">
        <v>18</v>
      </c>
      <c r="T31">
        <v>1.05</v>
      </c>
      <c r="W31" s="34"/>
    </row>
    <row r="32" spans="1:23" x14ac:dyDescent="0.25">
      <c r="A32">
        <v>31</v>
      </c>
      <c r="B32" t="s">
        <v>289</v>
      </c>
      <c r="C32">
        <v>48211090</v>
      </c>
      <c r="D32" t="s">
        <v>245</v>
      </c>
      <c r="E32">
        <v>2960</v>
      </c>
      <c r="F32" s="5" t="s">
        <v>4</v>
      </c>
      <c r="G32">
        <v>132.02000000000001</v>
      </c>
      <c r="H32" s="16" t="s">
        <v>114</v>
      </c>
      <c r="I32" s="16">
        <v>40</v>
      </c>
      <c r="J32">
        <v>697211</v>
      </c>
      <c r="K32" s="79">
        <v>45568</v>
      </c>
      <c r="L32" t="s">
        <v>12</v>
      </c>
      <c r="M32">
        <v>0</v>
      </c>
      <c r="N32">
        <v>11</v>
      </c>
      <c r="P32">
        <v>0</v>
      </c>
      <c r="Q32" s="5">
        <v>2065390.32</v>
      </c>
      <c r="R32">
        <v>0</v>
      </c>
      <c r="S32" t="s">
        <v>18</v>
      </c>
      <c r="T32">
        <v>0.89</v>
      </c>
      <c r="W32" s="34"/>
    </row>
    <row r="33" spans="1:23" x14ac:dyDescent="0.25">
      <c r="A33">
        <v>32</v>
      </c>
      <c r="B33" t="s">
        <v>290</v>
      </c>
      <c r="C33">
        <v>54011090</v>
      </c>
      <c r="D33" t="s">
        <v>246</v>
      </c>
      <c r="E33">
        <v>18</v>
      </c>
      <c r="F33" s="5" t="s">
        <v>42</v>
      </c>
      <c r="G33">
        <v>71.819999999999993</v>
      </c>
      <c r="H33" s="16" t="s">
        <v>114</v>
      </c>
      <c r="I33" s="16">
        <v>40</v>
      </c>
      <c r="J33">
        <v>686275</v>
      </c>
      <c r="K33" s="79">
        <v>45540</v>
      </c>
      <c r="L33" t="s">
        <v>14</v>
      </c>
      <c r="M33">
        <v>0</v>
      </c>
      <c r="N33">
        <v>11</v>
      </c>
      <c r="P33">
        <v>0</v>
      </c>
      <c r="Q33" s="5">
        <v>1123623.8999999999</v>
      </c>
      <c r="R33">
        <v>0</v>
      </c>
      <c r="S33" t="s">
        <v>18</v>
      </c>
      <c r="T33">
        <v>2.52</v>
      </c>
      <c r="W33" s="34"/>
    </row>
    <row r="34" spans="1:23" x14ac:dyDescent="0.25">
      <c r="A34">
        <v>33</v>
      </c>
      <c r="B34" t="s">
        <v>291</v>
      </c>
      <c r="C34">
        <v>58071000</v>
      </c>
      <c r="D34" t="s">
        <v>247</v>
      </c>
      <c r="E34">
        <v>200</v>
      </c>
      <c r="F34" s="5" t="s">
        <v>4</v>
      </c>
      <c r="G34">
        <v>26</v>
      </c>
      <c r="H34" s="16" t="s">
        <v>115</v>
      </c>
      <c r="I34" s="16">
        <v>23</v>
      </c>
      <c r="J34">
        <v>626043</v>
      </c>
      <c r="K34" s="79">
        <v>45546</v>
      </c>
      <c r="L34" t="s">
        <v>12</v>
      </c>
      <c r="M34">
        <v>10</v>
      </c>
      <c r="N34">
        <v>11</v>
      </c>
      <c r="P34">
        <v>2.5</v>
      </c>
      <c r="Q34" s="5">
        <v>406770</v>
      </c>
      <c r="R34">
        <v>0</v>
      </c>
      <c r="S34" t="s">
        <v>18</v>
      </c>
      <c r="T34">
        <v>0.06</v>
      </c>
      <c r="W34" s="34"/>
    </row>
    <row r="35" spans="1:23" x14ac:dyDescent="0.25">
      <c r="A35">
        <v>34</v>
      </c>
      <c r="B35" t="s">
        <v>292</v>
      </c>
      <c r="C35">
        <v>48211090</v>
      </c>
      <c r="D35" t="s">
        <v>248</v>
      </c>
      <c r="E35">
        <v>200</v>
      </c>
      <c r="F35" s="5" t="s">
        <v>4</v>
      </c>
      <c r="G35">
        <v>2.98</v>
      </c>
      <c r="H35" s="16" t="s">
        <v>114</v>
      </c>
      <c r="I35" s="16">
        <v>40</v>
      </c>
      <c r="J35">
        <v>691600</v>
      </c>
      <c r="K35" s="79">
        <v>45554</v>
      </c>
      <c r="L35" t="s">
        <v>12</v>
      </c>
      <c r="M35">
        <v>0</v>
      </c>
      <c r="N35">
        <v>11</v>
      </c>
      <c r="P35">
        <v>0</v>
      </c>
      <c r="Q35" s="5">
        <v>46622.1</v>
      </c>
      <c r="R35">
        <v>0</v>
      </c>
      <c r="S35" t="s">
        <v>18</v>
      </c>
      <c r="T35">
        <v>0.06</v>
      </c>
      <c r="W35" s="34"/>
    </row>
    <row r="36" spans="1:23" x14ac:dyDescent="0.25">
      <c r="A36">
        <v>35</v>
      </c>
      <c r="B36" t="s">
        <v>293</v>
      </c>
      <c r="C36">
        <v>58061090</v>
      </c>
      <c r="D36" t="s">
        <v>249</v>
      </c>
      <c r="E36">
        <v>599</v>
      </c>
      <c r="F36" s="5" t="s">
        <v>22</v>
      </c>
      <c r="G36">
        <v>83.68</v>
      </c>
      <c r="H36" s="16" t="s">
        <v>115</v>
      </c>
      <c r="I36" s="16">
        <v>23</v>
      </c>
      <c r="J36">
        <v>629798</v>
      </c>
      <c r="K36" s="79">
        <v>45574</v>
      </c>
      <c r="L36" t="s">
        <v>13</v>
      </c>
      <c r="M36">
        <v>10</v>
      </c>
      <c r="N36">
        <v>11</v>
      </c>
      <c r="P36">
        <v>2.5</v>
      </c>
      <c r="Q36" s="5">
        <v>1309178.29</v>
      </c>
      <c r="R36">
        <v>0</v>
      </c>
      <c r="S36" t="s">
        <v>18</v>
      </c>
      <c r="T36">
        <v>0.18</v>
      </c>
      <c r="W36" s="34"/>
    </row>
    <row r="37" spans="1:23" x14ac:dyDescent="0.25">
      <c r="A37">
        <v>36</v>
      </c>
      <c r="B37" t="s">
        <v>294</v>
      </c>
      <c r="C37">
        <v>58063210</v>
      </c>
      <c r="D37" t="s">
        <v>250</v>
      </c>
      <c r="E37">
        <v>123</v>
      </c>
      <c r="F37" s="5" t="s">
        <v>22</v>
      </c>
      <c r="G37">
        <v>17.18</v>
      </c>
      <c r="H37" s="16" t="s">
        <v>115</v>
      </c>
      <c r="I37" s="16">
        <v>23</v>
      </c>
      <c r="J37">
        <v>630044</v>
      </c>
      <c r="K37" s="79">
        <v>45575</v>
      </c>
      <c r="L37" t="s">
        <v>13</v>
      </c>
      <c r="M37">
        <v>5</v>
      </c>
      <c r="N37">
        <v>11</v>
      </c>
      <c r="P37">
        <v>2.5</v>
      </c>
      <c r="Q37" s="5">
        <v>268829.59999999998</v>
      </c>
      <c r="R37">
        <v>0</v>
      </c>
      <c r="S37" t="s">
        <v>18</v>
      </c>
      <c r="T37">
        <v>0.04</v>
      </c>
      <c r="W37" s="34"/>
    </row>
    <row r="38" spans="1:23" x14ac:dyDescent="0.25">
      <c r="A38">
        <v>37</v>
      </c>
      <c r="B38" t="s">
        <v>295</v>
      </c>
      <c r="C38">
        <v>58063120</v>
      </c>
      <c r="D38" t="s">
        <v>251</v>
      </c>
      <c r="E38">
        <v>108</v>
      </c>
      <c r="F38" s="5" t="s">
        <v>23</v>
      </c>
      <c r="G38">
        <v>1.49</v>
      </c>
      <c r="H38" s="16" t="s">
        <v>114</v>
      </c>
      <c r="I38" s="16">
        <v>40</v>
      </c>
      <c r="J38">
        <v>696599</v>
      </c>
      <c r="K38" s="79">
        <v>45567</v>
      </c>
      <c r="L38" t="s">
        <v>11</v>
      </c>
      <c r="M38">
        <v>0</v>
      </c>
      <c r="N38">
        <v>11</v>
      </c>
      <c r="P38">
        <v>0</v>
      </c>
      <c r="Q38" s="5">
        <v>23317.31</v>
      </c>
      <c r="R38">
        <v>0</v>
      </c>
      <c r="S38" t="s">
        <v>18</v>
      </c>
      <c r="T38">
        <v>0.03</v>
      </c>
      <c r="W38" s="34"/>
    </row>
    <row r="39" spans="1:23" x14ac:dyDescent="0.25">
      <c r="A39">
        <v>38</v>
      </c>
      <c r="B39" t="s">
        <v>296</v>
      </c>
      <c r="C39">
        <v>96061090</v>
      </c>
      <c r="D39" t="s">
        <v>252</v>
      </c>
      <c r="E39">
        <v>200</v>
      </c>
      <c r="F39" s="5" t="s">
        <v>4</v>
      </c>
      <c r="G39">
        <v>3.28</v>
      </c>
      <c r="H39" s="16" t="s">
        <v>115</v>
      </c>
      <c r="I39" s="16">
        <v>23</v>
      </c>
      <c r="J39">
        <v>629514</v>
      </c>
      <c r="K39" s="79">
        <v>45572</v>
      </c>
      <c r="L39" t="s">
        <v>12</v>
      </c>
      <c r="M39">
        <v>10</v>
      </c>
      <c r="N39">
        <v>11</v>
      </c>
      <c r="P39">
        <v>2.5</v>
      </c>
      <c r="Q39" s="5">
        <v>51315.6</v>
      </c>
      <c r="R39">
        <v>0</v>
      </c>
      <c r="S39" t="s">
        <v>18</v>
      </c>
      <c r="T39">
        <v>0.06</v>
      </c>
      <c r="W39" s="34"/>
    </row>
    <row r="40" spans="1:23" x14ac:dyDescent="0.25">
      <c r="A40">
        <v>39</v>
      </c>
      <c r="B40" t="s">
        <v>297</v>
      </c>
      <c r="C40">
        <v>96061090</v>
      </c>
      <c r="D40" t="s">
        <v>253</v>
      </c>
      <c r="E40">
        <v>200</v>
      </c>
      <c r="F40" s="5" t="s">
        <v>4</v>
      </c>
      <c r="G40">
        <v>3.28</v>
      </c>
      <c r="H40" s="16" t="s">
        <v>115</v>
      </c>
      <c r="I40" s="16">
        <v>23</v>
      </c>
      <c r="J40">
        <v>629514</v>
      </c>
      <c r="K40" s="79">
        <v>45572</v>
      </c>
      <c r="L40" t="s">
        <v>12</v>
      </c>
      <c r="M40">
        <v>10</v>
      </c>
      <c r="N40">
        <v>11</v>
      </c>
      <c r="P40">
        <v>2.5</v>
      </c>
      <c r="Q40" s="5">
        <v>51315.6</v>
      </c>
      <c r="R40">
        <v>0</v>
      </c>
      <c r="S40" t="s">
        <v>18</v>
      </c>
      <c r="T40">
        <v>0.06</v>
      </c>
      <c r="W40" s="34"/>
    </row>
    <row r="41" spans="1:23" x14ac:dyDescent="0.25">
      <c r="A41">
        <v>40</v>
      </c>
      <c r="B41" t="s">
        <v>298</v>
      </c>
      <c r="C41">
        <v>58071000</v>
      </c>
      <c r="D41" t="s">
        <v>254</v>
      </c>
      <c r="E41">
        <v>200</v>
      </c>
      <c r="F41" s="5" t="s">
        <v>4</v>
      </c>
      <c r="G41">
        <v>26</v>
      </c>
      <c r="H41" s="16" t="s">
        <v>115</v>
      </c>
      <c r="I41" s="16">
        <v>23</v>
      </c>
      <c r="J41">
        <v>626043</v>
      </c>
      <c r="K41" s="79">
        <v>45546</v>
      </c>
      <c r="L41" t="s">
        <v>12</v>
      </c>
      <c r="M41">
        <v>10</v>
      </c>
      <c r="N41">
        <v>11</v>
      </c>
      <c r="P41">
        <v>2.5</v>
      </c>
      <c r="Q41" s="5">
        <v>406770</v>
      </c>
      <c r="R41">
        <v>0</v>
      </c>
      <c r="S41" t="s">
        <v>18</v>
      </c>
      <c r="T41">
        <v>0.06</v>
      </c>
      <c r="W41" s="34"/>
    </row>
    <row r="42" spans="1:23" x14ac:dyDescent="0.25">
      <c r="A42">
        <v>41</v>
      </c>
      <c r="B42" t="s">
        <v>299</v>
      </c>
      <c r="C42">
        <v>49089000</v>
      </c>
      <c r="D42" t="s">
        <v>255</v>
      </c>
      <c r="E42">
        <v>200</v>
      </c>
      <c r="F42" s="5" t="s">
        <v>4</v>
      </c>
      <c r="G42">
        <v>24</v>
      </c>
      <c r="H42" s="16" t="s">
        <v>115</v>
      </c>
      <c r="I42" s="16">
        <v>23</v>
      </c>
      <c r="J42">
        <v>627253</v>
      </c>
      <c r="K42" s="79">
        <v>45555</v>
      </c>
      <c r="L42" t="s">
        <v>12</v>
      </c>
      <c r="M42">
        <v>5</v>
      </c>
      <c r="N42">
        <v>11</v>
      </c>
      <c r="P42">
        <v>2.5</v>
      </c>
      <c r="Q42" s="5">
        <v>375480</v>
      </c>
      <c r="R42">
        <v>0</v>
      </c>
      <c r="S42" t="s">
        <v>18</v>
      </c>
      <c r="T42">
        <v>0.06</v>
      </c>
      <c r="W42" s="34"/>
    </row>
    <row r="43" spans="1:23" x14ac:dyDescent="0.25">
      <c r="A43">
        <v>42</v>
      </c>
      <c r="B43" t="s">
        <v>218</v>
      </c>
      <c r="C43">
        <v>96071900</v>
      </c>
      <c r="D43" t="s">
        <v>256</v>
      </c>
      <c r="E43">
        <v>1226</v>
      </c>
      <c r="F43" s="5" t="s">
        <v>4</v>
      </c>
      <c r="G43">
        <v>711.65</v>
      </c>
      <c r="H43" s="16" t="s">
        <v>115</v>
      </c>
      <c r="I43" s="16">
        <v>23</v>
      </c>
      <c r="J43">
        <v>606310</v>
      </c>
      <c r="K43" s="79">
        <v>45399</v>
      </c>
      <c r="L43" t="s">
        <v>12</v>
      </c>
      <c r="M43">
        <v>15</v>
      </c>
      <c r="N43">
        <v>11</v>
      </c>
      <c r="P43">
        <v>2.5</v>
      </c>
      <c r="Q43" s="5">
        <v>11133829.960000001</v>
      </c>
      <c r="R43">
        <v>0</v>
      </c>
      <c r="S43" t="s">
        <v>18</v>
      </c>
      <c r="T43">
        <v>0.37</v>
      </c>
      <c r="W43" s="34"/>
    </row>
    <row r="44" spans="1:23" x14ac:dyDescent="0.25">
      <c r="A44">
        <v>43</v>
      </c>
      <c r="B44" t="s">
        <v>219</v>
      </c>
      <c r="C44">
        <v>96071900</v>
      </c>
      <c r="D44" t="s">
        <v>257</v>
      </c>
      <c r="E44">
        <v>1798</v>
      </c>
      <c r="F44" s="5" t="s">
        <v>4</v>
      </c>
      <c r="G44">
        <v>379.38</v>
      </c>
      <c r="H44" s="16" t="s">
        <v>115</v>
      </c>
      <c r="I44" s="16">
        <v>23</v>
      </c>
      <c r="J44">
        <v>606310</v>
      </c>
      <c r="K44" s="79">
        <v>45399</v>
      </c>
      <c r="L44" t="s">
        <v>12</v>
      </c>
      <c r="M44">
        <v>15</v>
      </c>
      <c r="N44">
        <v>11</v>
      </c>
      <c r="P44">
        <v>2.5</v>
      </c>
      <c r="Q44" s="5">
        <v>5935368.8099999996</v>
      </c>
      <c r="R44">
        <v>0</v>
      </c>
      <c r="S44" t="s">
        <v>18</v>
      </c>
      <c r="T44">
        <v>0.54</v>
      </c>
      <c r="W44" s="34"/>
    </row>
    <row r="45" spans="1:23" x14ac:dyDescent="0.25">
      <c r="A45">
        <v>44</v>
      </c>
      <c r="B45" t="s">
        <v>220</v>
      </c>
      <c r="C45">
        <v>96061090</v>
      </c>
      <c r="D45" t="s">
        <v>258</v>
      </c>
      <c r="E45">
        <v>46080</v>
      </c>
      <c r="F45" s="5" t="s">
        <v>4</v>
      </c>
      <c r="G45">
        <v>1264.9000000000001</v>
      </c>
      <c r="H45" s="16" t="s">
        <v>115</v>
      </c>
      <c r="I45" s="16">
        <v>23</v>
      </c>
      <c r="J45">
        <v>629514</v>
      </c>
      <c r="K45" s="79">
        <v>45572</v>
      </c>
      <c r="L45" t="s">
        <v>12</v>
      </c>
      <c r="M45">
        <v>10</v>
      </c>
      <c r="N45">
        <v>11</v>
      </c>
      <c r="P45">
        <v>2.5</v>
      </c>
      <c r="Q45" s="5">
        <v>19789297.920000002</v>
      </c>
      <c r="R45">
        <v>0</v>
      </c>
      <c r="S45" t="s">
        <v>18</v>
      </c>
      <c r="T45">
        <v>13.82</v>
      </c>
      <c r="W45" s="34"/>
    </row>
    <row r="46" spans="1:23" x14ac:dyDescent="0.25">
      <c r="A46">
        <v>45</v>
      </c>
      <c r="B46" t="s">
        <v>221</v>
      </c>
      <c r="C46">
        <v>48211090</v>
      </c>
      <c r="D46" t="s">
        <v>259</v>
      </c>
      <c r="E46">
        <v>2560</v>
      </c>
      <c r="F46" s="5" t="s">
        <v>4</v>
      </c>
      <c r="G46">
        <v>21.25</v>
      </c>
      <c r="H46" s="16" t="s">
        <v>114</v>
      </c>
      <c r="I46" s="16">
        <v>40</v>
      </c>
      <c r="J46">
        <v>700547</v>
      </c>
      <c r="K46" s="79">
        <v>45576</v>
      </c>
      <c r="L46" t="s">
        <v>12</v>
      </c>
      <c r="M46">
        <v>0</v>
      </c>
      <c r="N46">
        <v>11</v>
      </c>
      <c r="P46">
        <v>0</v>
      </c>
      <c r="Q46" s="5">
        <v>332424.96000000002</v>
      </c>
      <c r="R46">
        <v>0</v>
      </c>
      <c r="S46" t="s">
        <v>18</v>
      </c>
      <c r="T46">
        <v>0.77</v>
      </c>
      <c r="W46" s="34"/>
    </row>
    <row r="47" spans="1:23" x14ac:dyDescent="0.25">
      <c r="A47">
        <v>46</v>
      </c>
      <c r="B47" t="s">
        <v>300</v>
      </c>
      <c r="C47">
        <v>48211090</v>
      </c>
      <c r="D47" t="s">
        <v>260</v>
      </c>
      <c r="E47">
        <v>1280</v>
      </c>
      <c r="F47" s="5" t="s">
        <v>4</v>
      </c>
      <c r="G47">
        <v>9.4700000000000006</v>
      </c>
      <c r="H47" s="16" t="s">
        <v>114</v>
      </c>
      <c r="I47" s="16">
        <v>40</v>
      </c>
      <c r="J47">
        <v>700544</v>
      </c>
      <c r="K47" s="79">
        <v>45576</v>
      </c>
      <c r="L47" t="s">
        <v>12</v>
      </c>
      <c r="M47">
        <v>0</v>
      </c>
      <c r="N47">
        <v>11</v>
      </c>
      <c r="P47">
        <v>0</v>
      </c>
      <c r="Q47" s="5">
        <v>148189.44</v>
      </c>
      <c r="R47">
        <v>0</v>
      </c>
      <c r="S47" t="s">
        <v>18</v>
      </c>
      <c r="T47">
        <v>0.38</v>
      </c>
      <c r="W47" s="34"/>
    </row>
    <row r="48" spans="1:23" x14ac:dyDescent="0.25">
      <c r="A48">
        <v>47</v>
      </c>
      <c r="B48" t="s">
        <v>301</v>
      </c>
      <c r="C48">
        <v>49089000</v>
      </c>
      <c r="D48" t="s">
        <v>261</v>
      </c>
      <c r="E48">
        <v>1280</v>
      </c>
      <c r="F48" s="5" t="s">
        <v>4</v>
      </c>
      <c r="G48">
        <v>153.6</v>
      </c>
      <c r="H48" s="16" t="s">
        <v>115</v>
      </c>
      <c r="I48" s="16">
        <v>23</v>
      </c>
      <c r="J48">
        <v>627253</v>
      </c>
      <c r="K48" s="79">
        <v>45555</v>
      </c>
      <c r="L48" t="s">
        <v>12</v>
      </c>
      <c r="M48">
        <v>5</v>
      </c>
      <c r="N48">
        <v>11</v>
      </c>
      <c r="P48">
        <v>2.5</v>
      </c>
      <c r="Q48" s="5">
        <v>2403072</v>
      </c>
      <c r="R48">
        <v>0</v>
      </c>
      <c r="S48" t="s">
        <v>18</v>
      </c>
      <c r="T48">
        <v>0.38</v>
      </c>
      <c r="W48" s="34"/>
    </row>
    <row r="49" spans="1:23" x14ac:dyDescent="0.25">
      <c r="A49">
        <v>48</v>
      </c>
      <c r="B49" t="s">
        <v>302</v>
      </c>
      <c r="C49">
        <v>48211090</v>
      </c>
      <c r="D49" t="s">
        <v>262</v>
      </c>
      <c r="E49">
        <v>1060</v>
      </c>
      <c r="F49" s="5" t="s">
        <v>4</v>
      </c>
      <c r="G49">
        <v>46.96</v>
      </c>
      <c r="H49" s="16" t="s">
        <v>114</v>
      </c>
      <c r="I49" s="16">
        <v>40</v>
      </c>
      <c r="J49">
        <v>686862</v>
      </c>
      <c r="K49" s="79">
        <v>45541</v>
      </c>
      <c r="L49" t="s">
        <v>12</v>
      </c>
      <c r="M49">
        <v>0</v>
      </c>
      <c r="N49">
        <v>11</v>
      </c>
      <c r="P49">
        <v>0</v>
      </c>
      <c r="Q49" s="5">
        <v>734657.91</v>
      </c>
      <c r="R49">
        <v>0</v>
      </c>
      <c r="S49" t="s">
        <v>18</v>
      </c>
      <c r="T49">
        <v>0.32</v>
      </c>
      <c r="W49" s="34"/>
    </row>
    <row r="50" spans="1:23" x14ac:dyDescent="0.25">
      <c r="A50">
        <v>49</v>
      </c>
      <c r="B50" t="s">
        <v>303</v>
      </c>
      <c r="C50">
        <v>52084190</v>
      </c>
      <c r="D50" t="s">
        <v>263</v>
      </c>
      <c r="E50">
        <v>449</v>
      </c>
      <c r="F50" s="5" t="s">
        <v>23</v>
      </c>
      <c r="G50">
        <v>673.5</v>
      </c>
      <c r="H50" s="16" t="s">
        <v>114</v>
      </c>
      <c r="I50" s="16">
        <v>40</v>
      </c>
      <c r="J50">
        <v>699000</v>
      </c>
      <c r="K50" s="79">
        <v>45573</v>
      </c>
      <c r="L50" t="s">
        <v>11</v>
      </c>
      <c r="M50">
        <v>0</v>
      </c>
      <c r="N50">
        <v>11</v>
      </c>
      <c r="P50">
        <v>0</v>
      </c>
      <c r="Q50" s="5">
        <v>10536907.5</v>
      </c>
      <c r="R50">
        <v>0</v>
      </c>
      <c r="S50" t="s">
        <v>18</v>
      </c>
      <c r="T50">
        <v>116.74</v>
      </c>
      <c r="W50" s="34"/>
    </row>
    <row r="51" spans="1:23" x14ac:dyDescent="0.25">
      <c r="A51">
        <v>50</v>
      </c>
      <c r="B51" t="s">
        <v>222</v>
      </c>
      <c r="C51">
        <v>48211090</v>
      </c>
      <c r="D51" t="s">
        <v>264</v>
      </c>
      <c r="E51">
        <v>467</v>
      </c>
      <c r="F51" s="5" t="s">
        <v>4</v>
      </c>
      <c r="G51">
        <v>3.22</v>
      </c>
      <c r="H51" s="16" t="s">
        <v>114</v>
      </c>
      <c r="I51" s="16">
        <v>40</v>
      </c>
      <c r="J51">
        <v>693266</v>
      </c>
      <c r="K51" s="79">
        <v>45559</v>
      </c>
      <c r="L51" t="s">
        <v>12</v>
      </c>
      <c r="M51">
        <v>0</v>
      </c>
      <c r="N51">
        <v>11</v>
      </c>
      <c r="P51">
        <v>0</v>
      </c>
      <c r="Q51" s="5">
        <v>50425.4</v>
      </c>
      <c r="R51">
        <v>0</v>
      </c>
      <c r="S51" t="s">
        <v>18</v>
      </c>
      <c r="T51">
        <v>0.1</v>
      </c>
      <c r="W51" s="34"/>
    </row>
    <row r="52" spans="1:23" x14ac:dyDescent="0.25">
      <c r="A52">
        <v>51</v>
      </c>
      <c r="B52" t="s">
        <v>223</v>
      </c>
      <c r="C52">
        <v>48211090</v>
      </c>
      <c r="D52" t="s">
        <v>264</v>
      </c>
      <c r="E52">
        <v>70</v>
      </c>
      <c r="F52" s="5" t="s">
        <v>4</v>
      </c>
      <c r="G52">
        <v>0.48</v>
      </c>
      <c r="H52" s="16" t="s">
        <v>114</v>
      </c>
      <c r="I52" s="16">
        <v>40</v>
      </c>
      <c r="J52">
        <v>693266</v>
      </c>
      <c r="K52" s="79">
        <v>45559</v>
      </c>
      <c r="L52" t="s">
        <v>12</v>
      </c>
      <c r="M52">
        <v>0</v>
      </c>
      <c r="N52">
        <v>11</v>
      </c>
      <c r="P52">
        <v>0</v>
      </c>
      <c r="Q52" s="5">
        <v>7556.54</v>
      </c>
      <c r="R52">
        <v>0</v>
      </c>
      <c r="S52" t="s">
        <v>18</v>
      </c>
      <c r="T52">
        <v>7.0000000000000007E-2</v>
      </c>
      <c r="W52" s="34"/>
    </row>
    <row r="53" spans="1:23" x14ac:dyDescent="0.25">
      <c r="A53">
        <v>52</v>
      </c>
      <c r="B53" t="s">
        <v>304</v>
      </c>
      <c r="C53">
        <v>52095990</v>
      </c>
      <c r="D53" t="s">
        <v>265</v>
      </c>
      <c r="E53">
        <v>19</v>
      </c>
      <c r="F53" s="5" t="s">
        <v>22</v>
      </c>
      <c r="G53">
        <v>108.68</v>
      </c>
      <c r="H53" s="16" t="s">
        <v>115</v>
      </c>
      <c r="I53" s="16">
        <v>23</v>
      </c>
      <c r="J53">
        <v>622700</v>
      </c>
      <c r="K53" s="79">
        <v>45519</v>
      </c>
      <c r="L53" t="s">
        <v>13</v>
      </c>
      <c r="M53">
        <v>10</v>
      </c>
      <c r="N53">
        <v>11</v>
      </c>
      <c r="P53">
        <v>2.5</v>
      </c>
      <c r="Q53" s="5">
        <v>1700298.6</v>
      </c>
      <c r="R53">
        <v>0</v>
      </c>
      <c r="S53" t="s">
        <v>18</v>
      </c>
      <c r="T53">
        <v>4.9400000000000004</v>
      </c>
      <c r="W53" s="34"/>
    </row>
    <row r="54" spans="1:23" x14ac:dyDescent="0.25">
      <c r="A54">
        <v>53</v>
      </c>
      <c r="B54" t="s">
        <v>305</v>
      </c>
      <c r="C54">
        <v>59070010</v>
      </c>
      <c r="D54" t="s">
        <v>266</v>
      </c>
      <c r="E54">
        <v>1320</v>
      </c>
      <c r="F54" s="5" t="s">
        <v>22</v>
      </c>
      <c r="G54">
        <v>2178</v>
      </c>
      <c r="H54" s="16" t="s">
        <v>115</v>
      </c>
      <c r="I54" s="16">
        <v>23</v>
      </c>
      <c r="J54">
        <v>629518</v>
      </c>
      <c r="K54" s="79">
        <v>45572</v>
      </c>
      <c r="L54" t="s">
        <v>13</v>
      </c>
      <c r="M54">
        <v>10</v>
      </c>
      <c r="N54">
        <v>11</v>
      </c>
      <c r="P54">
        <v>2.5</v>
      </c>
      <c r="Q54" s="5">
        <v>34074810</v>
      </c>
      <c r="R54">
        <v>0</v>
      </c>
      <c r="S54" t="s">
        <v>18</v>
      </c>
      <c r="T54">
        <v>0.4</v>
      </c>
      <c r="W54" s="34"/>
    </row>
    <row r="55" spans="1:23" x14ac:dyDescent="0.25">
      <c r="A55">
        <v>54</v>
      </c>
      <c r="B55" t="s">
        <v>306</v>
      </c>
      <c r="C55">
        <v>48211090</v>
      </c>
      <c r="D55" t="s">
        <v>267</v>
      </c>
      <c r="E55">
        <v>270</v>
      </c>
      <c r="F55" s="5" t="s">
        <v>4</v>
      </c>
      <c r="G55">
        <v>12.2</v>
      </c>
      <c r="H55" s="16" t="s">
        <v>114</v>
      </c>
      <c r="I55" s="16">
        <v>40</v>
      </c>
      <c r="J55">
        <v>690999</v>
      </c>
      <c r="K55" s="79">
        <v>45553</v>
      </c>
      <c r="L55" t="s">
        <v>12</v>
      </c>
      <c r="M55">
        <v>0</v>
      </c>
      <c r="N55">
        <v>11</v>
      </c>
      <c r="P55">
        <v>0</v>
      </c>
      <c r="Q55" s="5">
        <v>190931.58</v>
      </c>
      <c r="R55">
        <v>0</v>
      </c>
      <c r="S55" t="s">
        <v>18</v>
      </c>
      <c r="T55">
        <v>0.08</v>
      </c>
      <c r="W55" s="34"/>
    </row>
    <row r="56" spans="1:23" x14ac:dyDescent="0.25">
      <c r="A56">
        <v>55</v>
      </c>
      <c r="B56" t="s">
        <v>307</v>
      </c>
      <c r="C56">
        <v>60063290</v>
      </c>
      <c r="D56" t="s">
        <v>268</v>
      </c>
      <c r="E56">
        <v>33</v>
      </c>
      <c r="F56" s="5" t="s">
        <v>22</v>
      </c>
      <c r="G56">
        <v>262.35000000000002</v>
      </c>
      <c r="H56" s="16" t="s">
        <v>115</v>
      </c>
      <c r="I56" s="16">
        <v>23</v>
      </c>
      <c r="J56">
        <v>607857</v>
      </c>
      <c r="K56" s="79">
        <v>45411</v>
      </c>
      <c r="L56" t="s">
        <v>13</v>
      </c>
      <c r="M56">
        <v>15</v>
      </c>
      <c r="N56">
        <v>11</v>
      </c>
      <c r="P56">
        <v>2.5</v>
      </c>
      <c r="Q56" s="5">
        <v>4104465.75</v>
      </c>
      <c r="R56">
        <v>0</v>
      </c>
      <c r="S56" t="s">
        <v>18</v>
      </c>
      <c r="T56">
        <v>8.58</v>
      </c>
      <c r="W56" s="34"/>
    </row>
    <row r="57" spans="1:23" x14ac:dyDescent="0.25">
      <c r="A57">
        <v>56</v>
      </c>
      <c r="B57" t="s">
        <v>308</v>
      </c>
      <c r="C57">
        <v>48211090</v>
      </c>
      <c r="D57" t="s">
        <v>269</v>
      </c>
      <c r="E57">
        <v>79</v>
      </c>
      <c r="F57" s="5" t="s">
        <v>4</v>
      </c>
      <c r="G57">
        <v>3.33</v>
      </c>
      <c r="H57" s="16" t="s">
        <v>114</v>
      </c>
      <c r="I57" s="16">
        <v>40</v>
      </c>
      <c r="J57">
        <v>641519</v>
      </c>
      <c r="K57" s="79">
        <v>45428</v>
      </c>
      <c r="L57" t="s">
        <v>12</v>
      </c>
      <c r="M57">
        <v>0</v>
      </c>
      <c r="N57">
        <v>11</v>
      </c>
      <c r="P57">
        <v>0</v>
      </c>
      <c r="Q57" s="5">
        <v>52033.71</v>
      </c>
      <c r="R57">
        <v>0</v>
      </c>
      <c r="S57" t="s">
        <v>18</v>
      </c>
      <c r="T57">
        <v>0.02</v>
      </c>
      <c r="W57" s="34"/>
    </row>
    <row r="58" spans="1:23" x14ac:dyDescent="0.25">
      <c r="A58">
        <v>57</v>
      </c>
      <c r="B58" t="s">
        <v>309</v>
      </c>
      <c r="C58">
        <v>58062090</v>
      </c>
      <c r="D58" t="s">
        <v>270</v>
      </c>
      <c r="E58">
        <v>15</v>
      </c>
      <c r="F58" s="5" t="s">
        <v>87</v>
      </c>
      <c r="G58">
        <v>56.28</v>
      </c>
      <c r="H58" s="16" t="s">
        <v>114</v>
      </c>
      <c r="I58" s="16">
        <v>40</v>
      </c>
      <c r="J58">
        <v>695243</v>
      </c>
      <c r="K58" s="79">
        <v>45565</v>
      </c>
      <c r="L58" t="s">
        <v>75</v>
      </c>
      <c r="M58">
        <v>0</v>
      </c>
      <c r="N58">
        <v>11</v>
      </c>
      <c r="P58">
        <v>0</v>
      </c>
      <c r="Q58" s="5">
        <v>880524.07</v>
      </c>
      <c r="R58">
        <v>0</v>
      </c>
      <c r="S58" t="s">
        <v>18</v>
      </c>
      <c r="T58">
        <v>5.0000000000000001E-3</v>
      </c>
      <c r="W58" s="34"/>
    </row>
    <row r="59" spans="1:23" x14ac:dyDescent="0.25">
      <c r="A59">
        <v>58</v>
      </c>
      <c r="B59" t="s">
        <v>310</v>
      </c>
      <c r="C59">
        <v>90258000</v>
      </c>
      <c r="D59" t="s">
        <v>271</v>
      </c>
      <c r="E59">
        <v>1.88</v>
      </c>
      <c r="F59" s="5" t="s">
        <v>124</v>
      </c>
      <c r="G59">
        <v>196.84</v>
      </c>
      <c r="H59" s="16" t="s">
        <v>115</v>
      </c>
      <c r="I59" s="16">
        <v>23</v>
      </c>
      <c r="J59">
        <v>625478</v>
      </c>
      <c r="K59" s="79">
        <v>45540</v>
      </c>
      <c r="L59" t="s">
        <v>87</v>
      </c>
      <c r="M59">
        <v>5</v>
      </c>
      <c r="N59">
        <v>11</v>
      </c>
      <c r="P59">
        <v>2.5</v>
      </c>
      <c r="Q59" s="5">
        <v>3079499.22</v>
      </c>
      <c r="R59">
        <v>0</v>
      </c>
      <c r="S59" t="s">
        <v>18</v>
      </c>
      <c r="T59">
        <v>1E-3</v>
      </c>
      <c r="W59" s="34"/>
    </row>
  </sheetData>
  <autoFilter ref="A1:Z59" xr:uid="{19D2A214-0582-4A66-B905-F8BE689954F6}"/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6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11" sqref="G11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1" width="33.85546875" bestFit="1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0" t="s">
        <v>133</v>
      </c>
      <c r="B4" s="90"/>
      <c r="C4" s="48" t="s">
        <v>126</v>
      </c>
      <c r="D4" s="89" t="s">
        <v>134</v>
      </c>
      <c r="E4" s="90"/>
      <c r="F4" s="48" t="s">
        <v>126</v>
      </c>
      <c r="G4" s="89" t="s">
        <v>127</v>
      </c>
      <c r="H4" s="90"/>
      <c r="I4" s="48" t="s">
        <v>126</v>
      </c>
      <c r="J4" s="89" t="s">
        <v>135</v>
      </c>
      <c r="K4" s="90"/>
      <c r="L4" s="48" t="s">
        <v>126</v>
      </c>
      <c r="M4" s="89" t="s">
        <v>136</v>
      </c>
      <c r="N4" s="90"/>
      <c r="O4" s="48" t="s">
        <v>126</v>
      </c>
      <c r="P4" s="91" t="s">
        <v>137</v>
      </c>
      <c r="Q4" s="92"/>
      <c r="R4" s="48" t="s">
        <v>126</v>
      </c>
      <c r="S4" s="89" t="s">
        <v>138</v>
      </c>
      <c r="T4" s="90"/>
      <c r="U4" s="48" t="s">
        <v>126</v>
      </c>
      <c r="V4" s="89" t="s">
        <v>139</v>
      </c>
      <c r="W4" s="90"/>
      <c r="X4" s="48" t="s">
        <v>126</v>
      </c>
      <c r="Y4" s="91" t="s">
        <v>140</v>
      </c>
      <c r="Z4" s="92"/>
      <c r="AA4" s="48" t="s">
        <v>126</v>
      </c>
      <c r="AB4" s="89" t="s">
        <v>19</v>
      </c>
      <c r="AC4" s="90"/>
      <c r="AD4" s="48" t="s">
        <v>126</v>
      </c>
      <c r="AE4" s="89" t="s">
        <v>160</v>
      </c>
      <c r="AF4" s="90"/>
      <c r="AG4" s="48" t="s">
        <v>126</v>
      </c>
      <c r="AH4" s="83" t="s">
        <v>141</v>
      </c>
      <c r="AI4" s="84"/>
      <c r="AJ4" s="48" t="s">
        <v>126</v>
      </c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1</v>
      </c>
      <c r="V5" s="44" t="s">
        <v>142</v>
      </c>
      <c r="W5" s="41" t="s">
        <v>143</v>
      </c>
      <c r="X5" s="48" t="b">
        <f>_xlfn.IFNA(VLOOKUP(FALSE,X6:X1048576,1,FALSE),TRUE)</f>
        <v>1</v>
      </c>
      <c r="Y5" s="44" t="s">
        <v>142</v>
      </c>
      <c r="Z5" s="41" t="s">
        <v>143</v>
      </c>
      <c r="AA5" s="48" t="b">
        <f>_xlfn.IFNA(VLOOKUP(FALSE,AA6:AA1048576,1,FALSE),TRUE)</f>
        <v>1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2" x14ac:dyDescent="0.25">
      <c r="A6">
        <v>1</v>
      </c>
      <c r="B6">
        <v>1</v>
      </c>
      <c r="C6" t="b">
        <f>A6=B6</f>
        <v>1</v>
      </c>
      <c r="D6">
        <v>48192000</v>
      </c>
      <c r="E6">
        <v>48192000</v>
      </c>
      <c r="F6" t="b">
        <f>D6=E6</f>
        <v>1</v>
      </c>
      <c r="G6">
        <v>290842</v>
      </c>
      <c r="H6">
        <v>290842</v>
      </c>
      <c r="I6" t="b">
        <f>G6=H6</f>
        <v>1</v>
      </c>
      <c r="J6" t="s">
        <v>194</v>
      </c>
      <c r="K6" t="s">
        <v>194</v>
      </c>
      <c r="L6" t="b">
        <f>J6=K6</f>
        <v>1</v>
      </c>
      <c r="M6" t="s">
        <v>12</v>
      </c>
      <c r="N6" t="s">
        <v>12</v>
      </c>
      <c r="O6" t="b">
        <f>M6=N6</f>
        <v>1</v>
      </c>
      <c r="P6">
        <v>1</v>
      </c>
      <c r="Q6">
        <v>1</v>
      </c>
      <c r="R6" t="b">
        <f>P6=Q6</f>
        <v>1</v>
      </c>
      <c r="S6" t="s">
        <v>18</v>
      </c>
      <c r="T6" t="s">
        <v>18</v>
      </c>
      <c r="U6" t="b">
        <f>S6=T6</f>
        <v>1</v>
      </c>
      <c r="V6">
        <v>1</v>
      </c>
      <c r="W6">
        <v>1</v>
      </c>
      <c r="X6" t="b">
        <f>V6=W6</f>
        <v>1</v>
      </c>
      <c r="Y6">
        <v>0.05</v>
      </c>
      <c r="Z6">
        <v>0.05</v>
      </c>
      <c r="AA6" t="b">
        <f>Y6=Z6</f>
        <v>1</v>
      </c>
      <c r="AB6">
        <v>0.91</v>
      </c>
      <c r="AC6">
        <v>0.91</v>
      </c>
      <c r="AD6" t="b">
        <f>AB6=AC6</f>
        <v>1</v>
      </c>
      <c r="AE6">
        <v>13761.65</v>
      </c>
      <c r="AF6">
        <v>13761.65</v>
      </c>
      <c r="AG6" t="b">
        <f>AE6=AF6</f>
        <v>1</v>
      </c>
      <c r="AH6" t="s">
        <v>114</v>
      </c>
      <c r="AI6" t="s">
        <v>114</v>
      </c>
      <c r="AJ6" t="b">
        <f>AH6=AI6</f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AC6" activePane="bottomRight" state="frozen"/>
      <selection pane="topRight" activeCell="D1" sqref="D1"/>
      <selection pane="bottomLeft" activeCell="A6" sqref="A6"/>
      <selection pane="bottomRight" activeCell="AZ6" sqref="AZ6"/>
    </sheetView>
  </sheetViews>
  <sheetFormatPr defaultRowHeight="15" x14ac:dyDescent="0.25"/>
  <cols>
    <col min="1" max="1" width="25.5703125" bestFit="1" customWidth="1"/>
    <col min="2" max="2" width="22.85546875" bestFit="1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8" max="8" width="16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9" width="31" bestFit="1" customWidth="1"/>
    <col min="30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90" t="s">
        <v>145</v>
      </c>
      <c r="B4" s="90"/>
      <c r="C4" s="85" t="s">
        <v>126</v>
      </c>
      <c r="D4" s="89" t="s">
        <v>157</v>
      </c>
      <c r="E4" s="90"/>
      <c r="F4" s="85" t="s">
        <v>126</v>
      </c>
      <c r="G4" s="89" t="s">
        <v>148</v>
      </c>
      <c r="H4" s="90"/>
      <c r="I4" s="85" t="s">
        <v>126</v>
      </c>
      <c r="J4" s="91" t="s">
        <v>147</v>
      </c>
      <c r="K4" s="92"/>
      <c r="L4" s="85" t="s">
        <v>126</v>
      </c>
      <c r="M4" s="89" t="s">
        <v>146</v>
      </c>
      <c r="N4" s="90"/>
      <c r="O4" s="85" t="s">
        <v>126</v>
      </c>
      <c r="P4" s="89" t="s">
        <v>149</v>
      </c>
      <c r="Q4" s="90"/>
      <c r="R4" s="85" t="s">
        <v>126</v>
      </c>
      <c r="S4" s="89" t="s">
        <v>150</v>
      </c>
      <c r="T4" s="90"/>
      <c r="U4" s="85" t="s">
        <v>126</v>
      </c>
      <c r="V4" s="89" t="s">
        <v>153</v>
      </c>
      <c r="W4" s="90"/>
      <c r="X4" s="85" t="s">
        <v>126</v>
      </c>
      <c r="Y4" s="89" t="s">
        <v>154</v>
      </c>
      <c r="Z4" s="90"/>
      <c r="AA4" s="85" t="s">
        <v>126</v>
      </c>
      <c r="AB4" s="91" t="s">
        <v>155</v>
      </c>
      <c r="AC4" s="92"/>
      <c r="AD4" s="85" t="s">
        <v>126</v>
      </c>
      <c r="AE4" s="89" t="s">
        <v>156</v>
      </c>
      <c r="AF4" s="90"/>
      <c r="AG4" s="85" t="s">
        <v>126</v>
      </c>
      <c r="AH4" s="83"/>
      <c r="AI4" s="84"/>
      <c r="AJ4" s="85"/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  <c r="BA4" s="47"/>
    </row>
    <row r="5" spans="1:53" ht="15.75" x14ac:dyDescent="0.25">
      <c r="A5" s="42" t="s">
        <v>142</v>
      </c>
      <c r="B5" s="41" t="s">
        <v>143</v>
      </c>
      <c r="C5" s="86"/>
      <c r="D5" s="44" t="s">
        <v>142</v>
      </c>
      <c r="E5" s="41" t="s">
        <v>143</v>
      </c>
      <c r="F5" s="86"/>
      <c r="G5" s="44" t="s">
        <v>142</v>
      </c>
      <c r="H5" s="41" t="s">
        <v>143</v>
      </c>
      <c r="I5" s="86"/>
      <c r="J5" s="44" t="s">
        <v>142</v>
      </c>
      <c r="K5" s="41" t="s">
        <v>143</v>
      </c>
      <c r="L5" s="86"/>
      <c r="M5" s="44" t="s">
        <v>142</v>
      </c>
      <c r="N5" s="41" t="s">
        <v>143</v>
      </c>
      <c r="O5" s="86"/>
      <c r="P5" s="43" t="s">
        <v>142</v>
      </c>
      <c r="Q5" s="41" t="s">
        <v>143</v>
      </c>
      <c r="R5" s="86"/>
      <c r="S5" s="43" t="s">
        <v>142</v>
      </c>
      <c r="T5" s="41" t="s">
        <v>143</v>
      </c>
      <c r="U5" s="86"/>
      <c r="V5" s="44" t="s">
        <v>142</v>
      </c>
      <c r="W5" s="41" t="s">
        <v>143</v>
      </c>
      <c r="X5" s="86"/>
      <c r="Y5" s="44" t="s">
        <v>142</v>
      </c>
      <c r="Z5" s="41" t="s">
        <v>143</v>
      </c>
      <c r="AA5" s="86"/>
      <c r="AB5" s="44" t="s">
        <v>142</v>
      </c>
      <c r="AC5" s="41" t="s">
        <v>143</v>
      </c>
      <c r="AD5" s="86"/>
      <c r="AE5" s="44" t="s">
        <v>142</v>
      </c>
      <c r="AF5" s="41" t="s">
        <v>143</v>
      </c>
      <c r="AG5" s="86"/>
      <c r="AH5" s="44"/>
      <c r="AI5" s="41"/>
      <c r="AJ5" s="86"/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3" x14ac:dyDescent="0.25">
      <c r="A6" t="s">
        <v>196</v>
      </c>
      <c r="B6" t="s">
        <v>196</v>
      </c>
      <c r="C6" t="b">
        <f>A6=B6</f>
        <v>1</v>
      </c>
      <c r="D6" s="30" t="s">
        <v>197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15156</v>
      </c>
      <c r="K6">
        <v>15156</v>
      </c>
      <c r="L6" t="b">
        <f>J6=K6</f>
        <v>1</v>
      </c>
      <c r="M6">
        <v>1202192000</v>
      </c>
      <c r="N6">
        <v>1202192000</v>
      </c>
      <c r="O6" t="b">
        <f>M6=N6</f>
        <v>1</v>
      </c>
      <c r="P6" t="s">
        <v>198</v>
      </c>
      <c r="Q6" t="s">
        <v>198</v>
      </c>
      <c r="R6" t="b">
        <f>P6=Q6</f>
        <v>1</v>
      </c>
      <c r="S6" s="30" t="s">
        <v>199</v>
      </c>
      <c r="T6" s="30" t="s">
        <v>199</v>
      </c>
      <c r="U6" t="b">
        <f>S6=T6</f>
        <v>1</v>
      </c>
      <c r="V6" t="s">
        <v>200</v>
      </c>
      <c r="W6" t="s">
        <v>200</v>
      </c>
      <c r="X6" t="b">
        <f>V6=W6</f>
        <v>1</v>
      </c>
      <c r="Y6" t="s">
        <v>199</v>
      </c>
      <c r="Z6" t="s">
        <v>199</v>
      </c>
      <c r="AA6" t="b">
        <f>Y6=Z6</f>
        <v>1</v>
      </c>
      <c r="AB6" t="s">
        <v>201</v>
      </c>
      <c r="AC6" t="s">
        <v>201</v>
      </c>
      <c r="AD6" t="b">
        <f>AB6=AC6</f>
        <v>1</v>
      </c>
      <c r="AE6" s="30" t="s">
        <v>199</v>
      </c>
      <c r="AF6" s="30" t="s">
        <v>199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2" sqref="E12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22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1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189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48192000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>
        <f>IF(C9=TRUE,DV_Items!H$6,"")</f>
        <v>290842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CARTON,ECT AND MULLEN 275#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PCE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1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1</v>
      </c>
      <c r="D13" s="51" t="str">
        <f>IF(C13=TRUE,DV_Items!T$6,"")</f>
        <v>PK</v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1</v>
      </c>
      <c r="D14" s="51">
        <f>IF(C14=TRUE,DV_Items!W$6,"")</f>
        <v>1</v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1</v>
      </c>
      <c r="D15" s="51">
        <f>IF(C15=TRUE,DV_Items!Z$6,"")</f>
        <v>0.05</v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0.91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13761.65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ID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24001093/O4/1201/MAKLOON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15156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1202192000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00650/BPJ/CB/2024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2024-10-07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APLN.06.S05.24.110536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2024-10-07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S-547/KBC.0903/KBC.090304/2024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2024-10-07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202</v>
      </c>
      <c r="D2" t="s">
        <v>196</v>
      </c>
      <c r="E2" s="30" t="s">
        <v>193</v>
      </c>
      <c r="F2">
        <v>1</v>
      </c>
      <c r="G2">
        <v>1</v>
      </c>
      <c r="H2">
        <v>0</v>
      </c>
      <c r="I2" s="72" t="s">
        <v>191</v>
      </c>
      <c r="J2" s="72" t="s">
        <v>191</v>
      </c>
      <c r="K2" s="72" t="s">
        <v>191</v>
      </c>
      <c r="L2" s="78" t="s">
        <v>191</v>
      </c>
      <c r="M2" s="72" t="s">
        <v>191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187</v>
      </c>
      <c r="G1" s="32"/>
    </row>
    <row r="2" spans="1:8" hidden="1" x14ac:dyDescent="0.25"/>
    <row r="3" spans="1:8" hidden="1" x14ac:dyDescent="0.25"/>
    <row r="4" spans="1:8" x14ac:dyDescent="0.25">
      <c r="B4" t="s">
        <v>190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203</v>
      </c>
      <c r="C6" t="s">
        <v>76</v>
      </c>
      <c r="D6" s="2" t="s">
        <v>106</v>
      </c>
      <c r="E6" s="2">
        <f>SUM(BARANG!$Q$2:$Q$1048576)</f>
        <v>913177756.13000023</v>
      </c>
      <c r="G6" s="2">
        <v>1</v>
      </c>
      <c r="H6" s="2" t="s">
        <v>18</v>
      </c>
    </row>
    <row r="7" spans="1:8" x14ac:dyDescent="0.25">
      <c r="A7" s="2" t="s">
        <v>54</v>
      </c>
      <c r="B7" s="2" t="s">
        <v>272</v>
      </c>
      <c r="C7" t="s">
        <v>76</v>
      </c>
      <c r="D7" s="2" t="s">
        <v>107</v>
      </c>
      <c r="E7" s="2">
        <f>SUM(BARANG!$T$2:$T$1048576)</f>
        <v>1297.8735999999994</v>
      </c>
    </row>
    <row r="8" spans="1:8" x14ac:dyDescent="0.25">
      <c r="A8" s="2" t="s">
        <v>77</v>
      </c>
      <c r="B8" s="17" t="s">
        <v>204</v>
      </c>
      <c r="C8" t="s">
        <v>76</v>
      </c>
      <c r="D8" s="2" t="s">
        <v>108</v>
      </c>
      <c r="E8" s="2">
        <v>1307.6610000000001</v>
      </c>
    </row>
    <row r="9" spans="1:8" x14ac:dyDescent="0.25">
      <c r="A9" s="2" t="s">
        <v>104</v>
      </c>
      <c r="B9" s="2">
        <v>58</v>
      </c>
      <c r="C9" t="s">
        <v>76</v>
      </c>
      <c r="D9" s="76" t="s">
        <v>119</v>
      </c>
      <c r="E9" s="76" t="s">
        <v>192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188</v>
      </c>
      <c r="E10" s="2">
        <f>SUM(BARANG!$G$2:$G$1048576)</f>
        <v>58368.679999999993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15645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/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/PSB/GG/XII/2024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XII/2024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melawati</cp:lastModifiedBy>
  <cp:lastPrinted>2023-07-14T03:21:57Z</cp:lastPrinted>
  <dcterms:created xsi:type="dcterms:W3CDTF">2023-04-11T02:47:24Z</dcterms:created>
  <dcterms:modified xsi:type="dcterms:W3CDTF">2024-12-09T13:33:54Z</dcterms:modified>
</cp:coreProperties>
</file>