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Local Project\MACRO_InputUser - Partial 262 at GCC\.Macro\Backup\LOGIKA ALGORITMA\20241018\"/>
    </mc:Choice>
  </mc:AlternateContent>
  <xr:revisionPtr revIDLastSave="0" documentId="13_ncr:1_{79B49A4F-F0EB-44EA-81C1-02239E1060B5}" xr6:coauthVersionLast="47" xr6:coauthVersionMax="47" xr10:uidLastSave="{00000000-0000-0000-0000-000000000000}"/>
  <bookViews>
    <workbookView xWindow="-120" yWindow="-120" windowWidth="20730" windowHeight="11160" tabRatio="927" activeTab="4" xr2:uid="{903909CB-1046-426F-91D1-853518C2D676}"/>
  </bookViews>
  <sheets>
    <sheet name="LA" sheetId="27" r:id="rId1"/>
    <sheet name="ADMINISTRATOR" sheetId="25" r:id="rId2"/>
    <sheet name="Temp_VALIDASI_BakalInput1" sheetId="37" r:id="rId3"/>
    <sheet name="Ref_Satuan" sheetId="35" r:id="rId4"/>
    <sheet name="HOME" sheetId="26" r:id="rId5"/>
    <sheet name="CC1_ImpINV" sheetId="117" r:id="rId6"/>
    <sheet name="CC2_ImpSJ" sheetId="118" r:id="rId7"/>
    <sheet name="CC3_Retur" sheetId="119" r:id="rId8"/>
    <sheet name="Sheet5" sheetId="120" r:id="rId9"/>
  </sheets>
  <functionGroups builtInGroupCount="19"/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27" l="1"/>
  <c r="F5" i="27" a="1"/>
  <c r="F5" i="27" s="1"/>
  <c r="D2" i="27" a="1"/>
  <c r="D2" i="27" s="1"/>
  <c r="C6" i="37" l="1"/>
  <c r="D6" i="37" s="1"/>
  <c r="B7" i="37" l="1"/>
  <c r="C7" i="37" s="1"/>
  <c r="D7" i="37" s="1"/>
  <c r="B10" i="37"/>
  <c r="C10" i="37" s="1"/>
  <c r="D10" i="37" s="1"/>
  <c r="B13" i="37"/>
  <c r="B14" i="37"/>
  <c r="C14" i="37" s="1"/>
  <c r="B15" i="37"/>
  <c r="C15" i="37" s="1"/>
  <c r="B16" i="37"/>
  <c r="C16" i="37" s="1"/>
  <c r="B17" i="37"/>
  <c r="C17" i="37" s="1"/>
  <c r="B18" i="37"/>
  <c r="B19" i="37"/>
  <c r="B20" i="37"/>
  <c r="B8" i="37" l="1"/>
  <c r="C8" i="37" s="1"/>
  <c r="D8" i="37" s="1"/>
  <c r="B9" i="37"/>
  <c r="B12" i="37" l="1"/>
  <c r="C12" i="37" s="1"/>
  <c r="D12" i="3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<sst xmlns="http://schemas.openxmlformats.org/spreadsheetml/2006/main" count="229" uniqueCount="181">
  <si>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</si>
  <si>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</si>
  <si>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</si>
  <si>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</si>
  <si>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Waiting List</t>
  </si>
  <si>
    <t>Connection &amp; Data Source Name</t>
  </si>
  <si>
    <t>dsn=db_gstc</t>
  </si>
  <si>
    <t>Done</t>
  </si>
  <si>
    <t>Note Status</t>
  </si>
  <si>
    <t>Processing</t>
  </si>
  <si>
    <t>Sedang dijalankan Macro bersangkutan Oleh RPA</t>
  </si>
  <si>
    <t>Running Macro</t>
  </si>
  <si>
    <t>Sudah selesan dijalankan Macro bersangkutan Oleh RPA</t>
  </si>
  <si>
    <t>Antrian telah ditambahkan ke Tas Sceduler</t>
  </si>
  <si>
    <t>Sudah dijakankan Schedule nya</t>
  </si>
  <si>
    <t>Keterangan</t>
  </si>
  <si>
    <t>NOTE</t>
  </si>
  <si>
    <t>VALUE 1</t>
  </si>
  <si>
    <t>•</t>
  </si>
  <si>
    <t xml:space="preserve"> •ENTITY</t>
  </si>
  <si>
    <t>ENTITY</t>
  </si>
  <si>
    <t>VALUE</t>
  </si>
  <si>
    <t>LOKASI FILE (This Macrao)</t>
  </si>
  <si>
    <t>MACRO</t>
  </si>
  <si>
    <t>Get Path file this macro simpan di:</t>
  </si>
  <si>
    <t>\\10.8.0.35\Bersama\IT\Macro Record Projects\Local Project\MACRO_InputUser - Partial 262 at GCC\.Macro\Backup\LOGIKA ALGORITMA\MACRO_InputUser - Partial 262 at GCC.xlsm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</si>
  <si>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PackingList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</si>
  <si>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Invoice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</si>
  <si>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SuratJalan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</si>
  <si>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Excel RETUR</t>
    </r>
    <r>
      <rPr>
        <sz val="11"/>
        <color theme="4" tint="-0.499984740745262"/>
        <rFont val="Calibri"/>
        <family val="2"/>
        <scheme val="minor"/>
      </rPr>
      <t>)</t>
    </r>
  </si>
  <si>
    <t>PT. Gistex Garmen Indonesia</t>
  </si>
  <si>
    <t>COMMERCIAL INVOICE</t>
  </si>
  <si>
    <t>INVOICE NO : 34/GG/MJK/VII/24</t>
  </si>
  <si>
    <t>TANGGAL : 24/07/2024</t>
  </si>
  <si>
    <t>PENERIMA:</t>
  </si>
  <si>
    <t>PT.GISTEX GARMEN INDONESIA</t>
  </si>
  <si>
    <t>Jl.Panyawungan Km.19</t>
  </si>
  <si>
    <t>Cileunyi-Kab Bandung</t>
  </si>
  <si>
    <t>NO PO KK 24001061</t>
  </si>
  <si>
    <t>NAMA BARANG STYLE/WO QUANTITY UNIT PRICE AMOUNT</t>
  </si>
  <si>
    <t>ACC SEWING WO</t>
  </si>
  <si>
    <t>HEAT SEAL LABEL,FG TM-4 SYMBOL 183115 10 PC</t>
  </si>
  <si>
    <t>HEAT SEAL LABEL,FG TM-4 SYMBOL 183114 1133 PC</t>
  </si>
  <si>
    <t>HEAT SEAL LABEL,FG TM-4 SYMBOL 183113 1857 PC</t>
  </si>
  <si>
    <t>TOTAL 3000 PC</t>
  </si>
  <si>
    <t>SURAT JALAN</t>
  </si>
  <si>
    <t>Delivery Document</t>
  </si>
  <si>
    <t>PT.GISTEX Kepada / PT.GISTEX GARMEN INDONESIA</t>
  </si>
  <si>
    <t>Jl.Raya Bandung – Cirebon Delivery To Jl.Panyawungan Km.19</t>
  </si>
  <si>
    <t>Tanggal : 23 JULI 2024 Driver : PAK</t>
  </si>
  <si>
    <t>No.SJ : 33/GG/MJK/VII/24 No.Trucking :</t>
  </si>
  <si>
    <t>Nama dan Spesipikasi Barang Banyaknya Satuan</t>
  </si>
  <si>
    <t>ACC SEWING PO : 24001061</t>
  </si>
  <si>
    <t>HEAT SEAL LABEL,FG TM-4 SYMBOL (WO 183115) 10 PC</t>
  </si>
  <si>
    <t>HEAT SEAL LABEL,FG TM-4 SYMBOL (WO 183114) 1133 PC NW GW</t>
  </si>
  <si>
    <t>HEAT SEAL LABEL,FG TM-4 SYMBOL (WO 183113) 1857 PC 3,00 KG 3,06 KG</t>
  </si>
  <si>
    <t>TOTAL: 3,00 KG 3,06 KG</t>
  </si>
  <si>
    <t>PL TERLAMPIR</t>
  </si>
  <si>
    <t>3000 PC 1 BOX</t>
  </si>
  <si>
    <t>PENERIMA SECURITY HORMAT KAMI</t>
  </si>
  <si>
    <t>( ANGGI DEWANTI PUTRI )</t>
  </si>
  <si>
    <t>Keterangan/</t>
  </si>
  <si>
    <t>Remarks</t>
  </si>
  <si>
    <t>KONKER</t>
  </si>
  <si>
    <t>No Invoice</t>
  </si>
  <si>
    <t>Tanggal Packing List</t>
  </si>
  <si>
    <t>No Packing List</t>
  </si>
  <si>
    <t>Tanggal Surat Jalan</t>
  </si>
  <si>
    <t>No Surat Jalan</t>
  </si>
  <si>
    <t>Netto (NW)</t>
  </si>
  <si>
    <t>Bruto (GW)</t>
  </si>
  <si>
    <t>File Invoice</t>
  </si>
  <si>
    <t>File Packing List</t>
  </si>
  <si>
    <t>File Surat Jalan</t>
  </si>
  <si>
    <t>LOKASI FILE  (PDF Invoice)</t>
  </si>
  <si>
    <t>LOKASI FILE  (PDF SuratJalan)</t>
  </si>
  <si>
    <t>LOKASI FILE  (Excel RETUR)</t>
  </si>
  <si>
    <t>YES</t>
  </si>
  <si>
    <t>NO</t>
  </si>
  <si>
    <t>Create sub "Proses_Utama"</t>
  </si>
  <si>
    <t>Create code untuk Tombol Select file di:</t>
  </si>
  <si>
    <t>Create sub "Validasi_SourcePath"</t>
  </si>
  <si>
    <t>~</t>
  </si>
  <si>
    <t>Validasi Lokasi file atau folder di:</t>
  </si>
  <si>
    <t>dari row11 sampai LR</t>
  </si>
  <si>
    <t>DATA VALID?</t>
  </si>
  <si>
    <t>Import File:</t>
  </si>
  <si>
    <t>CC1_ImpINV</t>
  </si>
  <si>
    <t>QTY kemasan</t>
  </si>
  <si>
    <t>Satuan kemasan</t>
  </si>
  <si>
    <t>VALIDASI</t>
  </si>
  <si>
    <t>MTR</t>
  </si>
  <si>
    <t>RO</t>
  </si>
  <si>
    <t>PCE</t>
  </si>
  <si>
    <t>PA</t>
  </si>
  <si>
    <t>PK</t>
  </si>
  <si>
    <t>GRO</t>
  </si>
  <si>
    <t>KGM</t>
  </si>
  <si>
    <t>DZN</t>
  </si>
  <si>
    <t>RM</t>
  </si>
  <si>
    <t>LTR</t>
  </si>
  <si>
    <t>MA</t>
  </si>
  <si>
    <t>GRM</t>
  </si>
  <si>
    <t>SET</t>
  </si>
  <si>
    <t>BO</t>
  </si>
  <si>
    <t>BX</t>
  </si>
  <si>
    <t>CJ</t>
  </si>
  <si>
    <t>YRD</t>
  </si>
  <si>
    <t>REEL</t>
  </si>
  <si>
    <t>LBR</t>
  </si>
  <si>
    <t>CT</t>
  </si>
  <si>
    <t>BG</t>
  </si>
  <si>
    <t>CMT</t>
  </si>
  <si>
    <t>Tanggal Pengiriman "MM/DD/YYY"</t>
  </si>
  <si>
    <t>Tanggal Invoice "MM/DD/YYY"</t>
  </si>
  <si>
    <t>MISSED VALIDATION (PLEASE CHECK MANUALLY)</t>
  </si>
  <si>
    <t>SKIPPED</t>
  </si>
  <si>
    <t>INI ADALAH DATA YG AKAN DIINPUTKAN KE GCC</t>
  </si>
  <si>
    <t>MOHON UNTUK CHECK TERLEBIH DAHULU, KARENA RPA AKAN MENGACU PADA DATA INI</t>
  </si>
  <si>
    <t>SATUAN TRANSAKSI BEACUKAI</t>
  </si>
  <si>
    <t>copy sheet "Temp_VALIDASI_BakalInput1", hasil copy rename jadi "VALIDASI_BakalInput1"</t>
  </si>
  <si>
    <t>To: (creat new sheet)</t>
  </si>
  <si>
    <t>Olah: CC1_ImpINV</t>
  </si>
  <si>
    <t>Reformula</t>
  </si>
  <si>
    <t>filter kolom "H", equal "true"</t>
  </si>
  <si>
    <t>ADA YG TRUE</t>
  </si>
  <si>
    <t>create new sheet "CC1_DM"</t>
  </si>
  <si>
    <t xml:space="preserve">copy baris pertama hasil filter, paste di A2 sheet "CC1_DM" </t>
  </si>
  <si>
    <t>Reformula row1</t>
  </si>
  <si>
    <t>Olah: VALIDASI_BakalInput1</t>
  </si>
  <si>
    <t>KECUALI validasi</t>
  </si>
  <si>
    <t>\\10.8.0.35\Bersama\IT\Macro Record Projects\Local Project\MACRO_InputUser - Partial 262 at GCC\.Macro\Backup\LOGIKA ALGORITMA\20241016\3</t>
  </si>
  <si>
    <t xml:space="preserve">critical msg, "Proses dihentikan, </t>
  </si>
  <si>
    <t xml:space="preserve"> •</t>
  </si>
  <si>
    <t>end</t>
  </si>
  <si>
    <t>CC3_Retur</t>
  </si>
  <si>
    <t>CC2_ImpSJ</t>
  </si>
  <si>
    <t>SKIP</t>
  </si>
  <si>
    <t>tulis "TRUE" di sheet  "VALIDASI_BakalInput1" baris:</t>
  </si>
  <si>
    <t>\\10.8.0.35\Bersama\IT\Macro Record Projects\Local Project\MACRO_InputUser - Partial 262 at GCC\.Macro\Backup\LOGIKA ALGORITMA\20241016\3\INV 33 ACC SEWING 24001061 CLN.pdf</t>
  </si>
  <si>
    <t>\\10.8.0.35\Bersama\IT\Macro Record Projects\Local Project\MACRO_InputUser - Partial 262 at GCC\.Macro\Backup\LOGIKA ALGORITMA\20241016\3\PL 33 ACC SEWING 24001061 CLN.pdf</t>
  </si>
  <si>
    <t>\\10.8.0.35\Bersama\IT\Macro Record Projects\Local Project\MACRO_InputUser - Partial 262 at GCC\.Macro\Backup\LOGIKA ALGORITMA\20241016\3\SJ 33 ACC SEWING 24001061 CLN.pdf</t>
  </si>
  <si>
    <t>\\10.8.0.35\Bersama\IT\Macro Record Projects\Local Project\MACRO_InputUser - Partial 262 at GCC\.Macro\Backup\LOGIKA ALGORITMA\20241016\3\PLIST 33 RETUR2.xlsx</t>
  </si>
  <si>
    <t>MACRO ADMINISTRATOR AREA!  (JANGAN DI HAPUS)</t>
  </si>
  <si>
    <t>VALUE2</t>
  </si>
  <si>
    <t>VALUE3</t>
  </si>
  <si>
    <t>VALUE1</t>
  </si>
  <si>
    <t>Olah: CC2_ImpSJ</t>
  </si>
  <si>
    <t>Olah: CC3_Retur</t>
  </si>
  <si>
    <t>create new sheet "CC3_DM"</t>
  </si>
  <si>
    <t>sheet CC3_Retur range A9:A LastRow.copy paste di CC3_DM terus Remove duplikat, cek ada berapa kontraknya setelah remove duplikat</t>
  </si>
  <si>
    <t>CUMA ADA 1 KONTRAK ?</t>
  </si>
  <si>
    <t>Gabungkan No kontrak, setelah digabungkan input ke VALIDASI_BakalInput1 'B3', formulasi 'c6' dan 'd6'</t>
  </si>
  <si>
    <t>input ke VALIDASI_BakalInput1 'B3', formulasi 'c6' dan 'd6'</t>
  </si>
  <si>
    <t>paste value all di sheet VALIDASI_BakalInput1</t>
  </si>
  <si>
    <t>critical msg, "Proses dihentikan, {vbnewlibe} terdapat lebih dari 1 kontrak dari file Excel Reture"</t>
  </si>
  <si>
    <t>Copy data yg diperlukan dari sheet CC3_ImpRetur di sheet VALIDASI_BakalInput2</t>
  </si>
  <si>
    <t>Totalkan Qty Kirim</t>
  </si>
  <si>
    <t>Simpan di sheet CC1_DM 'z2'</t>
  </si>
  <si>
    <t>bandingkan hasilnya sama tidak dengan yg headernya 'true' totalkan row2 sampai LR</t>
  </si>
  <si>
    <t>Total Qty di INV vs PL</t>
  </si>
  <si>
    <t>PACKING LIST RETURN ACC SEWING</t>
  </si>
  <si>
    <t>Date: 20-08-2024</t>
  </si>
  <si>
    <t>TO: CLN</t>
  </si>
  <si>
    <t>Tgl Pengiriman</t>
  </si>
  <si>
    <t>mm/dd/yyyy</t>
  </si>
  <si>
    <t>STYLE</t>
  </si>
  <si>
    <t>WO</t>
  </si>
  <si>
    <t>ITEM NUMBER</t>
  </si>
  <si>
    <t>DESCRIPTION-1</t>
  </si>
  <si>
    <t>DESCRIPTION-2</t>
  </si>
  <si>
    <t>QTY KIRIM</t>
  </si>
  <si>
    <t>UM</t>
  </si>
  <si>
    <t>NW</t>
  </si>
  <si>
    <t>GW</t>
  </si>
  <si>
    <t>qty kemasan</t>
  </si>
  <si>
    <t>satuan kemasan</t>
  </si>
  <si>
    <t>ZIPPER,CORCBLS006,6MM,2WAY</t>
  </si>
  <si>
    <t>61CM,CLOSEND,LOGO/STDSLIDR,BLK</t>
  </si>
  <si>
    <t>PC</t>
  </si>
  <si>
    <t>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</si>
</sst>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;[Red]&quot;-&quot;0"/>
  </numFmts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22"/>
      <color rgb="FFFFFF0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0" fillId="5" borderId="0" xfId="0" applyFill="1"/>
    <xf numFmtId="0" fontId="11" fillId="0" borderId="0" xfId="0" applyFont="1" applyBorder="1"/>
    <xf numFmtId="0" fontId="16" fillId="0" borderId="0" xfId="1" applyFont="1"/>
    <xf numFmtId="0" fontId="17" fillId="0" borderId="0" xfId="1" applyFont="1" applyFill="1"/>
    <xf numFmtId="0" fontId="10" fillId="4" borderId="0" xfId="0" applyFont="1" applyFill="1" applyAlignment="1">
      <alignment horizontal="center" vertical="center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4" borderId="7" xfId="0" applyFont="1" applyFill="1" applyBorder="1" applyAlignment="1">
      <alignment vertical="center"/>
    </xf>
    <xf numFmtId="0" fontId="18" fillId="0" borderId="0" xfId="0" applyFont="1" applyAlignment="1">
      <alignment horizontal="right"/>
    </xf>
    <xf numFmtId="0" fontId="22" fillId="0" borderId="0" xfId="0" applyFont="1"/>
    <xf numFmtId="0" fontId="12" fillId="7" borderId="8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64" fontId="17" fillId="0" borderId="0" xfId="0" applyNumberFormat="1" applyFont="1" applyFill="1" applyAlignment="1">
      <alignment horizontal="left"/>
    </xf>
    <xf numFmtId="164" fontId="0" fillId="0" borderId="0" xfId="0" applyNumberFormat="1" applyAlignment="1">
      <alignment horizontal="left"/>
    </xf>
    <xf numFmtId="0" fontId="17" fillId="0" borderId="0" xfId="0" applyFont="1" applyFill="1" applyAlignment="1">
      <alignment horizontal="left"/>
    </xf>
    <xf numFmtId="0" fontId="17" fillId="0" borderId="0" xfId="0" applyNumberFormat="1" applyFont="1" applyAlignment="1">
      <alignment horizontal="center"/>
    </xf>
    <xf numFmtId="0" fontId="13" fillId="6" borderId="0" xfId="0" applyNumberFormat="1" applyFont="1" applyFill="1" applyAlignment="1">
      <alignment horizontal="center"/>
    </xf>
    <xf numFmtId="164" fontId="12" fillId="0" borderId="0" xfId="0" applyNumberFormat="1" applyFont="1" applyAlignment="1">
      <alignment horizontal="left"/>
    </xf>
    <xf numFmtId="0" fontId="13" fillId="6" borderId="0" xfId="0" applyFont="1" applyFill="1" applyAlignment="1">
      <alignment horizontal="left"/>
    </xf>
    <xf numFmtId="0" fontId="13" fillId="6" borderId="0" xfId="0" applyFont="1" applyFill="1" applyAlignment="1">
      <alignment horizontal="center"/>
    </xf>
    <xf numFmtId="0" fontId="23" fillId="0" borderId="0" xfId="0" applyNumberFormat="1" applyFont="1" applyFill="1" applyAlignment="1">
      <alignment horizontal="center"/>
    </xf>
    <xf numFmtId="0" fontId="23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8" borderId="0" xfId="0" applyFont="1" applyFill="1"/>
    <xf numFmtId="0" fontId="1" fillId="8" borderId="8" xfId="0" applyFont="1" applyFill="1" applyBorder="1"/>
    <xf numFmtId="0" fontId="0" fillId="0" borderId="8" xfId="0" applyBorder="1"/>
    <xf numFmtId="49" fontId="0" fillId="0" borderId="0" xfId="0" applyNumberFormat="1" applyAlignment="1">
      <alignment horizontal="left"/>
    </xf>
    <xf numFmtId="0" fontId="0" fillId="0" borderId="0" xfId="0" applyFill="1" applyAlignment="1">
      <alignment horizontal="center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Font="1"/>
    <xf numFmtId="15" fontId="0" fillId="0" borderId="0" xfId="0" applyNumberFormat="1" applyFont="1" applyAlignment="1">
      <alignment horizontal="left"/>
    </xf>
    <xf numFmtId="0" fontId="24" fillId="0" borderId="0" xfId="1" applyFont="1" applyAlignment="1">
      <alignment horizontal="left"/>
    </xf>
    <xf numFmtId="0" fontId="20" fillId="0" borderId="0" xfId="0" applyFont="1" applyAlignment="1">
      <alignment horizontal="center"/>
    </xf>
    <xf numFmtId="0" fontId="15" fillId="5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165" fontId="0" fillId="0" borderId="0" xfId="0" applyNumberFormat="1"/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2609850</xdr:colOff>
      <xdr:row>1</xdr:row>
      <xdr:rowOff>180975</xdr:rowOff>
    </xdr:from>
    <xdr:to>
      <xdr:col>4</xdr:col>
      <xdr:colOff>1828800</xdr:colOff>
      <xdr:row>7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4591050" y="371475"/>
          <a:ext cx="2724150" cy="1000125"/>
          <a:chOff x="7229475" y="219075"/>
          <a:chExt cx="4193704" cy="439184"/>
        </a:xfrm>
      </xdr:grpSpPr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4193704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CommandButton1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400-000002200000}"/>
                  </a:ext>
                </a:extLst>
              </xdr:cNvPr>
              <xdr:cNvSpPr/>
            </xdr:nvSpPr>
            <xdr:spPr bwMode="auto">
              <a:xfrm>
                <a:off x="7671888" y="314326"/>
                <a:ext cx="331809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74734</xdr:colOff>
      <xdr:row>11</xdr:row>
      <xdr:rowOff>28331</xdr:rowOff>
    </xdr:from>
    <xdr:to>
      <xdr:col>3</xdr:col>
      <xdr:colOff>140994</xdr:colOff>
      <xdr:row>11</xdr:row>
      <xdr:rowOff>168464</xdr:rowOff>
    </xdr:to>
    <xdr:sp macro="[0]!BUTTON_CariFile_InvoicePDF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611934" y="20666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75891</xdr:colOff>
      <xdr:row>12</xdr:row>
      <xdr:rowOff>28212</xdr:rowOff>
    </xdr:from>
    <xdr:to>
      <xdr:col>3</xdr:col>
      <xdr:colOff>142151</xdr:colOff>
      <xdr:row>12</xdr:row>
      <xdr:rowOff>168345</xdr:rowOff>
    </xdr:to>
    <xdr:sp macro="[0]!BUTTON_CariFile_PackingListPDF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613091" y="22507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14</xdr:row>
      <xdr:rowOff>19050</xdr:rowOff>
    </xdr:from>
    <xdr:to>
      <xdr:col>3</xdr:col>
      <xdr:colOff>142460</xdr:colOff>
      <xdr:row>14</xdr:row>
      <xdr:rowOff>159183</xdr:rowOff>
    </xdr:to>
    <xdr:sp macro="[0]!BUTTON_CariFile_ExcelRetu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613400" y="260985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13</xdr:row>
      <xdr:rowOff>19050</xdr:rowOff>
    </xdr:from>
    <xdr:to>
      <xdr:col>3</xdr:col>
      <xdr:colOff>142460</xdr:colOff>
      <xdr:row>13</xdr:row>
      <xdr:rowOff>159183</xdr:rowOff>
    </xdr:to>
    <xdr:sp macro="[0]!BUTTON_CariFile_SuratJalanPDF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613400" y="242570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GIKA%2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ISTRATOR"/>
      <sheetName val="Ref_Satuan"/>
      <sheetName val="Temp_VALIDASI_BakalInput1"/>
      <sheetName val="HOME"/>
      <sheetName val="VALIDASI_BakalInput1"/>
      <sheetName val="CC1_ImpINV"/>
      <sheetName val="CC1_DM"/>
      <sheetName val="CC2_ImpSJ"/>
      <sheetName val="CC3_Retur"/>
      <sheetName val="CC3_DM"/>
      <sheetName val="VALIDASI_BakalInput2"/>
      <sheetName val="LA"/>
    </sheetNames>
    <sheetDataSet>
      <sheetData sheetId="0">
        <row r="7">
          <cell r="B7" t="str">
            <v>\\10.8.0.35\Bersama\IT\Macro Record Projects\Local Project\MACRO_InputUser - Partial 262 at GCC\.Macro\Backup\LOGIKA ALGORITMA\MACRO_InputUser - Partial 262 at GCC.xlsm</v>
          </cell>
        </row>
      </sheetData>
      <sheetData sheetId="1" refreshError="1"/>
      <sheetData sheetId="2" refreshError="1"/>
      <sheetData sheetId="3">
        <row r="12">
          <cell r="E12" t="str">
            <v>\\10.8.0.35\Bersama\IT\Macro Record Projects\Local Project\MACRO_InputUser - Partial 262 at GCC\.Macro\Backup\LOGIKA ALGORITMA\20241016\3\INV 33 ACC SEWING 24001061 CLN.pdf</v>
          </cell>
        </row>
        <row r="13">
          <cell r="E13" t="str">
            <v>\\10.8.0.35\Bersama\IT\Macro Record Projects\Local Project\MACRO_InputUser - Partial 262 at GCC\.Macro\Backup\LOGIKA ALGORITMA\20241016\3\PL 33 ACC SEWING 24001061 CLN.pdf</v>
          </cell>
        </row>
        <row r="14">
          <cell r="E14" t="str">
            <v>\\10.8.0.35\Bersama\IT\Macro Record Projects\Local Project\MACRO_InputUser - Partial 262 at GCC\.Macro\Backup\LOGIKA ALGORITMA\20241016\3\SJ 33 ACC SEWING 24001061 CLN.pdf</v>
          </cell>
        </row>
        <row r="15">
          <cell r="E15" t="str">
            <v>\\10.8.0.35\Bersama\IT\Macro Record Projects\Local Project\MACRO_InputUser - Partial 262 at GCC\.Macro\Backup\LOGIKA ALGORITMA\20241016\3\PLIST 33 RETUR2.xlsx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C8641-75B9-480B-8CF5-FF0D6B1830CF}">
  <sheetPr codeName="Sheet7">
    <tabColor rgb="FF7030A0"/>
  </sheetPr>
  <dimension ref="C1:I46"/>
  <sheetViews>
    <sheetView topLeftCell="F31" workbookViewId="0">
      <selection activeCell="D4" sqref="A1:XFD1048576"/>
    </sheetView>
  </sheetViews>
  <sheetFormatPr defaultColWidth="8.7109375" defaultRowHeight="15" x14ac:dyDescent="0.25"/>
  <cols>
    <col min="1" max="2" width="8.7109375" style="21"/>
    <col min="3" max="3" width="36.28515625" style="21" customWidth="1"/>
    <col min="4" max="4" width="29.5703125" style="21" bestFit="1" customWidth="1"/>
    <col min="5" max="5" width="29.140625" style="21" customWidth="1"/>
    <col min="6" max="6" width="8.7109375" style="21"/>
    <col min="7" max="7" width="44.28515625" style="21" customWidth="1"/>
    <col min="8" max="16384" width="8.7109375" style="21"/>
  </cols>
  <sheetData>
    <row r="1" spans="3:8" x14ac:dyDescent="0.25">
      <c r="C1" s="40" t="s">
        <v>23</v>
      </c>
    </row>
    <row r="2" spans="3:8" x14ac:dyDescent="0.25">
      <c r="C2" s="22" t="s">
        <v>80</v>
      </c>
      <c r="D2" s="21" t="e" cm="1" vm="1">
        <f t="array" aca="1" ref="D2" ca="1">[1]HOME!$D$12:$D$15</f>
        <v>#VALUE!</v>
      </c>
    </row>
    <row r="3" spans="3:8" x14ac:dyDescent="0.25">
      <c r="C3" s="22" t="s">
        <v>79</v>
      </c>
      <c r="D3" s="21" t="s">
        <v>82</v>
      </c>
    </row>
    <row r="4" spans="3:8" x14ac:dyDescent="0.25">
      <c r="D4" s="22" t="s">
        <v>81</v>
      </c>
      <c r="E4" s="21" t="s">
        <v>82</v>
      </c>
    </row>
    <row r="5" spans="3:8" x14ac:dyDescent="0.25">
      <c r="E5" s="21" t="s">
        <v>83</v>
      </c>
      <c r="F5" s="21" t="e" cm="1" vm="1">
        <f t="array" aca="1" ref="F5" ca="1">[1]HOME!E12:E15</f>
        <v>#VALUE!</v>
      </c>
      <c r="G5" s="26" t="s">
        <v>84</v>
      </c>
    </row>
    <row r="6" spans="3:8" x14ac:dyDescent="0.25">
      <c r="F6" s="23" t="s">
        <v>85</v>
      </c>
    </row>
    <row r="7" spans="3:8" x14ac:dyDescent="0.25">
      <c r="E7" s="25" t="s">
        <v>78</v>
      </c>
      <c r="G7" s="21" t="s">
        <v>77</v>
      </c>
    </row>
    <row r="8" spans="3:8" x14ac:dyDescent="0.25">
      <c r="E8" s="21" t="s">
        <v>132</v>
      </c>
      <c r="G8" s="21" t="s">
        <v>120</v>
      </c>
    </row>
    <row r="9" spans="3:8" x14ac:dyDescent="0.25">
      <c r="E9" s="21" t="s">
        <v>134</v>
      </c>
      <c r="G9" s="21" t="s">
        <v>138</v>
      </c>
      <c r="H9" s="21" t="s">
        <v>71</v>
      </c>
    </row>
    <row r="10" spans="3:8" x14ac:dyDescent="0.25">
      <c r="H10" s="21" t="s">
        <v>72</v>
      </c>
    </row>
    <row r="11" spans="3:8" x14ac:dyDescent="0.25">
      <c r="H11" s="21" t="s">
        <v>73</v>
      </c>
    </row>
    <row r="12" spans="3:8" x14ac:dyDescent="0.25">
      <c r="G12" s="21" t="s">
        <v>86</v>
      </c>
      <c r="H12" s="21" t="s">
        <v>121</v>
      </c>
    </row>
    <row r="13" spans="3:8" x14ac:dyDescent="0.25">
      <c r="G13" s="21" t="s">
        <v>74</v>
      </c>
      <c r="H13" s="21" t="s">
        <v>87</v>
      </c>
    </row>
    <row r="14" spans="3:8" x14ac:dyDescent="0.25">
      <c r="G14" s="21" t="s">
        <v>75</v>
      </c>
      <c r="H14" s="21" t="s">
        <v>136</v>
      </c>
    </row>
    <row r="15" spans="3:8" x14ac:dyDescent="0.25">
      <c r="G15" s="21" t="s">
        <v>76</v>
      </c>
      <c r="H15" s="21" t="s">
        <v>135</v>
      </c>
    </row>
    <row r="17" spans="7:9" x14ac:dyDescent="0.25">
      <c r="G17" s="21" t="s">
        <v>24</v>
      </c>
      <c r="H17" s="21" t="str">
        <f>[1]ADMINISTRATOR!B7</f>
        <v>\\10.8.0.35\Bersama\IT\Macro Record Projects\Local Project\MACRO_InputUser - Partial 262 at GCC\.Macro\Backup\LOGIKA ALGORITMA\MACRO_InputUser - Partial 262 at GCC.xlsm</v>
      </c>
    </row>
    <row r="20" spans="7:9" x14ac:dyDescent="0.25">
      <c r="G20" s="21" t="s">
        <v>122</v>
      </c>
      <c r="H20" s="21" t="s">
        <v>123</v>
      </c>
    </row>
    <row r="21" spans="7:9" x14ac:dyDescent="0.25">
      <c r="H21" s="21" t="s">
        <v>124</v>
      </c>
    </row>
    <row r="22" spans="7:9" x14ac:dyDescent="0.25">
      <c r="H22" s="53" t="s">
        <v>125</v>
      </c>
      <c r="I22" s="53"/>
    </row>
    <row r="23" spans="7:9" x14ac:dyDescent="0.25">
      <c r="H23" s="25" t="s">
        <v>78</v>
      </c>
      <c r="I23" s="21" t="s">
        <v>77</v>
      </c>
    </row>
    <row r="24" spans="7:9" x14ac:dyDescent="0.25">
      <c r="H24" s="21" t="s">
        <v>137</v>
      </c>
      <c r="I24" s="21" t="s">
        <v>126</v>
      </c>
    </row>
    <row r="25" spans="7:9" x14ac:dyDescent="0.25">
      <c r="I25" s="21" t="s">
        <v>127</v>
      </c>
    </row>
    <row r="26" spans="7:9" x14ac:dyDescent="0.25">
      <c r="I26" s="21" t="s">
        <v>128</v>
      </c>
    </row>
    <row r="28" spans="7:9" x14ac:dyDescent="0.25">
      <c r="G28" s="21" t="s">
        <v>147</v>
      </c>
      <c r="H28" s="21" t="s">
        <v>123</v>
      </c>
    </row>
    <row r="29" spans="7:9" x14ac:dyDescent="0.25">
      <c r="G29" s="21" t="s">
        <v>129</v>
      </c>
      <c r="H29" s="21" t="s">
        <v>123</v>
      </c>
    </row>
    <row r="30" spans="7:9" x14ac:dyDescent="0.25">
      <c r="H30" s="21" t="s">
        <v>130</v>
      </c>
      <c r="I30" s="21" t="s">
        <v>71</v>
      </c>
    </row>
    <row r="31" spans="7:9" x14ac:dyDescent="0.25">
      <c r="I31" s="21" t="s">
        <v>72</v>
      </c>
    </row>
    <row r="32" spans="7:9" x14ac:dyDescent="0.25">
      <c r="I32" s="21" t="s">
        <v>73</v>
      </c>
    </row>
    <row r="33" spans="7:9" x14ac:dyDescent="0.25">
      <c r="I33" s="21" t="s">
        <v>63</v>
      </c>
    </row>
    <row r="35" spans="7:9" x14ac:dyDescent="0.25">
      <c r="G35" s="21" t="s">
        <v>148</v>
      </c>
      <c r="H35" s="21" t="s">
        <v>149</v>
      </c>
    </row>
    <row r="36" spans="7:9" x14ac:dyDescent="0.25">
      <c r="H36" s="21" t="s">
        <v>150</v>
      </c>
    </row>
    <row r="37" spans="7:9" x14ac:dyDescent="0.25">
      <c r="H37" s="53" t="s">
        <v>151</v>
      </c>
      <c r="I37" s="53"/>
    </row>
    <row r="38" spans="7:9" x14ac:dyDescent="0.25">
      <c r="H38" s="48" t="s">
        <v>78</v>
      </c>
      <c r="I38" s="48" t="s">
        <v>77</v>
      </c>
    </row>
    <row r="39" spans="7:9" x14ac:dyDescent="0.25">
      <c r="H39" s="21" t="s">
        <v>152</v>
      </c>
      <c r="I39" s="21" t="s">
        <v>153</v>
      </c>
    </row>
    <row r="40" spans="7:9" x14ac:dyDescent="0.25">
      <c r="H40" s="21" t="s">
        <v>154</v>
      </c>
      <c r="I40" s="21" t="s">
        <v>154</v>
      </c>
    </row>
    <row r="41" spans="7:9" x14ac:dyDescent="0.25">
      <c r="H41" s="21" t="s">
        <v>155</v>
      </c>
    </row>
    <row r="42" spans="7:9" x14ac:dyDescent="0.25">
      <c r="H42" s="21" t="s">
        <v>134</v>
      </c>
    </row>
    <row r="43" spans="7:9" x14ac:dyDescent="0.25">
      <c r="I43" s="21" t="s">
        <v>156</v>
      </c>
    </row>
    <row r="44" spans="7:9" x14ac:dyDescent="0.25">
      <c r="I44" s="21" t="s">
        <v>157</v>
      </c>
    </row>
    <row r="45" spans="7:9" x14ac:dyDescent="0.25">
      <c r="I45" s="21" t="s">
        <v>158</v>
      </c>
    </row>
    <row r="46" spans="7:9" x14ac:dyDescent="0.25">
      <c r="I46" s="21" t="s">
        <v>159</v>
      </c>
    </row>
  </sheetData>
  <mergeCells count="2">
    <mergeCell ref="H22:I22"/>
    <mergeCell ref="H37:I3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596A5-EAC2-4B28-A3A6-241A7BB90D0F}">
  <sheetPr codeName="Sheet5">
    <tabColor rgb="FFFF0000"/>
  </sheetPr>
  <dimension ref="A1:S10"/>
  <sheetViews>
    <sheetView workbookViewId="0">
      <selection activeCell="C21" sqref="C21"/>
    </sheetView>
  </sheetViews>
  <sheetFormatPr defaultRowHeight="15" x14ac:dyDescent="0.25"/>
  <cols>
    <col min="1" max="1" width="30.42578125" bestFit="1" customWidth="1"/>
    <col min="2" max="2" width="13.5703125" customWidth="1"/>
    <col min="7" max="7" width="13.7109375" customWidth="1"/>
    <col min="8" max="8" width="52.7109375" customWidth="1"/>
  </cols>
  <sheetData>
    <row r="1" spans="1:19" s="16" customFormat="1" ht="39" customHeight="1" x14ac:dyDescent="0.25">
      <c r="A1" s="54" t="s">
        <v>143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</row>
    <row r="6" spans="1:19" x14ac:dyDescent="0.25">
      <c r="A6" s="42" t="s">
        <v>20</v>
      </c>
      <c r="B6" s="42" t="s">
        <v>146</v>
      </c>
      <c r="C6" s="42" t="s">
        <v>144</v>
      </c>
      <c r="D6" s="42" t="s">
        <v>145</v>
      </c>
      <c r="E6" s="42" t="s">
        <v>16</v>
      </c>
      <c r="G6" s="43" t="s">
        <v>8</v>
      </c>
      <c r="H6" s="43" t="s">
        <v>15</v>
      </c>
    </row>
    <row r="7" spans="1:19" x14ac:dyDescent="0.25">
      <c r="A7" s="17" t="s">
        <v>22</v>
      </c>
      <c r="B7" t="s">
        <v>25</v>
      </c>
      <c r="E7" t="s">
        <v>2</v>
      </c>
      <c r="G7" s="44" t="s">
        <v>4</v>
      </c>
      <c r="H7" s="44" t="s">
        <v>13</v>
      </c>
    </row>
    <row r="8" spans="1:19" x14ac:dyDescent="0.25">
      <c r="A8" t="s">
        <v>5</v>
      </c>
      <c r="B8" t="s">
        <v>6</v>
      </c>
      <c r="E8" t="s">
        <v>2</v>
      </c>
      <c r="G8" s="44" t="s">
        <v>9</v>
      </c>
      <c r="H8" s="44" t="s">
        <v>14</v>
      </c>
    </row>
    <row r="9" spans="1:19" x14ac:dyDescent="0.25">
      <c r="G9" s="44" t="s">
        <v>11</v>
      </c>
      <c r="H9" s="44" t="s">
        <v>10</v>
      </c>
    </row>
    <row r="10" spans="1:19" x14ac:dyDescent="0.25">
      <c r="G10" s="44" t="s">
        <v>7</v>
      </c>
      <c r="H10" s="44" t="s">
        <v>12</v>
      </c>
    </row>
  </sheetData>
  <mergeCells count="1">
    <mergeCell ref="A1:S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CA02D-A37C-499A-9DCE-4A01878DF2B0}">
  <sheetPr codeName="Sheet17"/>
  <dimension ref="A1:D43"/>
  <sheetViews>
    <sheetView workbookViewId="0">
      <selection activeCell="D18" sqref="D18"/>
    </sheetView>
  </sheetViews>
  <sheetFormatPr defaultColWidth="8.7109375" defaultRowHeight="15" x14ac:dyDescent="0.25"/>
  <cols>
    <col min="1" max="1" width="31.42578125" style="31" customWidth="1"/>
    <col min="2" max="2" width="21.140625" style="28" customWidth="1"/>
    <col min="3" max="3" width="10" style="33" customWidth="1"/>
    <col min="4" max="4" width="64.7109375" style="13" customWidth="1"/>
    <col min="5" max="16384" width="8.7109375" style="15"/>
  </cols>
  <sheetData>
    <row r="1" spans="1:4" x14ac:dyDescent="0.25">
      <c r="A1" s="35" t="s">
        <v>117</v>
      </c>
    </row>
    <row r="2" spans="1:4" x14ac:dyDescent="0.25">
      <c r="A2" s="35" t="s">
        <v>118</v>
      </c>
    </row>
    <row r="3" spans="1:4" x14ac:dyDescent="0.25">
      <c r="A3" s="13"/>
      <c r="B3" s="15"/>
    </row>
    <row r="4" spans="1:4" hidden="1" x14ac:dyDescent="0.25"/>
    <row r="5" spans="1:4" x14ac:dyDescent="0.25">
      <c r="A5" s="36" t="s">
        <v>20</v>
      </c>
      <c r="B5" s="37" t="s">
        <v>21</v>
      </c>
      <c r="C5" s="34" t="s">
        <v>90</v>
      </c>
      <c r="D5" s="36" t="s">
        <v>16</v>
      </c>
    </row>
    <row r="6" spans="1:4" s="46" customFormat="1" x14ac:dyDescent="0.25">
      <c r="A6" s="31" t="s">
        <v>63</v>
      </c>
      <c r="B6" s="41">
        <v>24001061</v>
      </c>
      <c r="C6" s="47" t="b">
        <f>IFERROR(ISNUMBER(B6),FALSE)</f>
        <v>1</v>
      </c>
      <c r="D6" s="31" t="str">
        <f>IF(C6=FALSE,"Format No Kontrak Kerja TIDAK SESUAI, gunakan bilangan angka","AMAN")</f>
        <v>AMAN</v>
      </c>
    </row>
    <row r="7" spans="1:4" x14ac:dyDescent="0.25">
      <c r="A7" s="30" t="s">
        <v>113</v>
      </c>
      <c r="B7" s="28" t="e">
        <f>#REF!</f>
        <v>#REF!</v>
      </c>
      <c r="C7" s="38" t="b">
        <f>IFERROR(ISNUMBER(B7),FALSE)</f>
        <v>0</v>
      </c>
      <c r="D7" s="31" t="str">
        <f>IF(C7=FALSE,"Format Tanggal TIDAK SESUAI, gunakan format MM/DD/YYYY","AMAN")</f>
        <v>Format Tanggal TIDAK SESUAI, gunakan format MM/DD/YYYY</v>
      </c>
    </row>
    <row r="8" spans="1:4" x14ac:dyDescent="0.25">
      <c r="A8" s="30" t="s">
        <v>114</v>
      </c>
      <c r="B8" s="28" t="e">
        <f>VLOOKUP("GET_TGL_INV",#REF!,5,FALSE)</f>
        <v>#REF!</v>
      </c>
      <c r="C8" s="38" t="b">
        <f>IFERROR(ISNUMBER(B8),FALSE)</f>
        <v>0</v>
      </c>
      <c r="D8" s="31" t="str">
        <f>IF(C8=FALSE,"Format Tanggal TIDAK SESUAI, gunakan format MM/DD/YYYY","AMAN")</f>
        <v>Format Tanggal TIDAK SESUAI, gunakan format MM/DD/YYYY</v>
      </c>
    </row>
    <row r="9" spans="1:4" x14ac:dyDescent="0.25">
      <c r="A9" s="31" t="s">
        <v>64</v>
      </c>
      <c r="B9" s="15" t="e">
        <f>VLOOKUP("GET_NO_INV",#REF!,3,FALSE)</f>
        <v>#REF!</v>
      </c>
      <c r="C9" s="38" t="s">
        <v>116</v>
      </c>
      <c r="D9" s="31" t="s">
        <v>115</v>
      </c>
    </row>
    <row r="10" spans="1:4" x14ac:dyDescent="0.25">
      <c r="A10" s="32" t="s">
        <v>65</v>
      </c>
      <c r="B10" s="15" t="e">
        <f>SUBSTITUTE(SUBSTITUTE(SUBSTITUTE(#REF!," ",""),":",""),"Date","")</f>
        <v>#REF!</v>
      </c>
      <c r="C10" s="38" t="b">
        <f>IFERROR(ISNUMBER(B10),FALSE)</f>
        <v>0</v>
      </c>
      <c r="D10" s="31" t="str">
        <f>IF(C10=FALSE,"Format Tanggal TIDAK SESUAI, gunakan format MM/DD/YYYY","AMAN")</f>
        <v>Format Tanggal TIDAK SESUAI, gunakan format MM/DD/YYYY</v>
      </c>
    </row>
    <row r="11" spans="1:4" x14ac:dyDescent="0.25">
      <c r="A11" s="31" t="s">
        <v>66</v>
      </c>
      <c r="B11" s="29">
        <v>1</v>
      </c>
      <c r="C11" s="38" t="s">
        <v>116</v>
      </c>
      <c r="D11" s="31" t="s">
        <v>115</v>
      </c>
    </row>
    <row r="12" spans="1:4" x14ac:dyDescent="0.25">
      <c r="A12" s="31" t="s">
        <v>67</v>
      </c>
      <c r="B12" s="15" t="e">
        <f>VLOOKUP("GET_TGL_SJ",#REF!,16,FALSE)</f>
        <v>#REF!</v>
      </c>
      <c r="C12" s="38" t="b">
        <f>IFERROR(ISNUMBER(B12),FALSE)</f>
        <v>0</v>
      </c>
      <c r="D12" s="31" t="str">
        <f>IF(C12=FALSE,"Format Tanggal TIDAK SESUAI, gunakan format MM/DD/YYYY","AMAN")</f>
        <v>Format Tanggal TIDAK SESUAI, gunakan format MM/DD/YYYY</v>
      </c>
    </row>
    <row r="13" spans="1:4" x14ac:dyDescent="0.25">
      <c r="A13" s="31" t="s">
        <v>68</v>
      </c>
      <c r="B13" s="15" t="e">
        <f>VLOOKUP("GET_NO_SJ",#REF!,9,FALSE)</f>
        <v>#REF!</v>
      </c>
      <c r="C13" s="39" t="s">
        <v>116</v>
      </c>
    </row>
    <row r="14" spans="1:4" x14ac:dyDescent="0.25">
      <c r="A14" s="31" t="s">
        <v>69</v>
      </c>
      <c r="B14" s="15" t="e">
        <f>SUM(#REF!)</f>
        <v>#REF!</v>
      </c>
      <c r="C14" s="38" t="b">
        <f>IFERROR(ISNUMBER(B14),FALSE)</f>
        <v>0</v>
      </c>
    </row>
    <row r="15" spans="1:4" x14ac:dyDescent="0.25">
      <c r="A15" s="31" t="s">
        <v>70</v>
      </c>
      <c r="B15" s="15" t="e">
        <f>SUM(#REF!)</f>
        <v>#REF!</v>
      </c>
      <c r="C15" s="38" t="b">
        <f>IFERROR(ISNUMBER(B15),FALSE)</f>
        <v>0</v>
      </c>
    </row>
    <row r="16" spans="1:4" x14ac:dyDescent="0.25">
      <c r="A16" s="31" t="s">
        <v>88</v>
      </c>
      <c r="B16" s="15" t="e">
        <f>SUM(#REF!)</f>
        <v>#REF!</v>
      </c>
      <c r="C16" s="38" t="b">
        <f>IFERROR(ISNUMBER(B16),FALSE)</f>
        <v>0</v>
      </c>
    </row>
    <row r="17" spans="1:3" x14ac:dyDescent="0.25">
      <c r="A17" s="31" t="s">
        <v>89</v>
      </c>
      <c r="B17" s="15" t="e">
        <f>UPPER(#REF!)</f>
        <v>#REF!</v>
      </c>
      <c r="C17" s="39" t="b">
        <f>IF(ISTEXT(B17), IF(NOT(ISNA(VLOOKUP(B17,Ref_Satuan!A:A,1,FALSE))), TRUE, FALSE), FALSE)</f>
        <v>0</v>
      </c>
    </row>
    <row r="18" spans="1:3" x14ac:dyDescent="0.25">
      <c r="A18" s="31" t="s">
        <v>71</v>
      </c>
      <c r="B18" s="13" t="str">
        <f>HOME!$E$12</f>
        <v>\\10.8.0.35\Bersama\IT\Macro Record Projects\Local Project\MACRO_InputUser - Partial 262 at GCC\.Macro\Backup\LOGIKA ALGORITMA\20241016\3\INV 33 ACC SEWING 24001061 CLN.pdf</v>
      </c>
      <c r="C18" s="39" t="b">
        <v>1</v>
      </c>
    </row>
    <row r="19" spans="1:3" x14ac:dyDescent="0.25">
      <c r="A19" s="31" t="s">
        <v>72</v>
      </c>
      <c r="B19" s="13" t="str">
        <f>HOME!$E$13</f>
        <v>\\10.8.0.35\Bersama\IT\Macro Record Projects\Local Project\MACRO_InputUser - Partial 262 at GCC\.Macro\Backup\LOGIKA ALGORITMA\20241016\3\PL 33 ACC SEWING 24001061 CLN.pdf</v>
      </c>
      <c r="C19" s="39" t="b">
        <v>1</v>
      </c>
    </row>
    <row r="20" spans="1:3" x14ac:dyDescent="0.25">
      <c r="A20" s="31" t="s">
        <v>73</v>
      </c>
      <c r="B20" s="45" t="str">
        <f>HOME!$E$14</f>
        <v>\\10.8.0.35\Bersama\IT\Macro Record Projects\Local Project\MACRO_InputUser - Partial 262 at GCC\.Macro\Backup\LOGIKA ALGORITMA\20241016\3\SJ 33 ACC SEWING 24001061 CLN.pdf</v>
      </c>
      <c r="C20" s="39" t="b">
        <v>1</v>
      </c>
    </row>
    <row r="21" spans="1:3" x14ac:dyDescent="0.25">
      <c r="A21" s="31" t="s">
        <v>160</v>
      </c>
      <c r="C21" s="39"/>
    </row>
    <row r="22" spans="1:3" x14ac:dyDescent="0.25">
      <c r="C22" s="39"/>
    </row>
    <row r="23" spans="1:3" x14ac:dyDescent="0.25">
      <c r="A23" s="21"/>
      <c r="C23" s="39"/>
    </row>
    <row r="24" spans="1:3" x14ac:dyDescent="0.25">
      <c r="A24" s="21"/>
      <c r="C24" s="39"/>
    </row>
    <row r="25" spans="1:3" x14ac:dyDescent="0.25">
      <c r="A25" s="21"/>
      <c r="C25" s="39"/>
    </row>
    <row r="26" spans="1:3" x14ac:dyDescent="0.25">
      <c r="C26" s="39"/>
    </row>
    <row r="27" spans="1:3" x14ac:dyDescent="0.25">
      <c r="C27" s="39"/>
    </row>
    <row r="28" spans="1:3" x14ac:dyDescent="0.25">
      <c r="C28" s="39"/>
    </row>
    <row r="29" spans="1:3" x14ac:dyDescent="0.25">
      <c r="C29" s="39"/>
    </row>
    <row r="30" spans="1:3" x14ac:dyDescent="0.25">
      <c r="C30" s="39"/>
    </row>
    <row r="31" spans="1:3" x14ac:dyDescent="0.25">
      <c r="C31" s="39"/>
    </row>
    <row r="32" spans="1:3" x14ac:dyDescent="0.25">
      <c r="C32" s="39"/>
    </row>
    <row r="33" spans="3:3" x14ac:dyDescent="0.25">
      <c r="C33" s="39"/>
    </row>
    <row r="34" spans="3:3" x14ac:dyDescent="0.25">
      <c r="C34" s="39"/>
    </row>
    <row r="35" spans="3:3" x14ac:dyDescent="0.25">
      <c r="C35" s="39"/>
    </row>
    <row r="36" spans="3:3" x14ac:dyDescent="0.25">
      <c r="C36" s="39"/>
    </row>
    <row r="37" spans="3:3" x14ac:dyDescent="0.25">
      <c r="C37" s="39"/>
    </row>
    <row r="38" spans="3:3" x14ac:dyDescent="0.25">
      <c r="C38" s="39"/>
    </row>
    <row r="39" spans="3:3" x14ac:dyDescent="0.25">
      <c r="C39" s="39"/>
    </row>
    <row r="40" spans="3:3" x14ac:dyDescent="0.25">
      <c r="C40" s="39"/>
    </row>
    <row r="41" spans="3:3" x14ac:dyDescent="0.25">
      <c r="C41" s="39"/>
    </row>
    <row r="42" spans="3:3" x14ac:dyDescent="0.25">
      <c r="C42" s="39"/>
    </row>
    <row r="43" spans="3:3" x14ac:dyDescent="0.25">
      <c r="C43" s="39"/>
    </row>
  </sheetData>
  <conditionalFormatting sqref="C7:C20">
    <cfRule type="containsText" dxfId="5" priority="4" operator="containsText" text="skipped">
      <formula>NOT(ISERROR(SEARCH("skipped",C7)))</formula>
    </cfRule>
    <cfRule type="containsText" dxfId="4" priority="5" operator="containsText" text="true">
      <formula>NOT(ISERROR(SEARCH("true",C7)))</formula>
    </cfRule>
    <cfRule type="containsText" dxfId="3" priority="6" operator="containsText" text="false">
      <formula>NOT(ISERROR(SEARCH("false",C7)))</formula>
    </cfRule>
  </conditionalFormatting>
  <conditionalFormatting sqref="C6">
    <cfRule type="containsText" dxfId="2" priority="1" operator="containsText" text="skipped">
      <formula>NOT(ISERROR(SEARCH("skipped",C6)))</formula>
    </cfRule>
    <cfRule type="containsText" dxfId="1" priority="2" operator="containsText" text="true">
      <formula>NOT(ISERROR(SEARCH("true",C6)))</formula>
    </cfRule>
    <cfRule type="containsText" dxfId="0" priority="3" operator="containsText" text="false">
      <formula>NOT(ISERROR(SEARCH("false",C6)))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253B2-A102-4F4F-809C-54401AF97BA3}">
  <sheetPr codeName="Sheet15"/>
  <dimension ref="A1:A27"/>
  <sheetViews>
    <sheetView workbookViewId="0"/>
  </sheetViews>
  <sheetFormatPr defaultRowHeight="15" x14ac:dyDescent="0.25"/>
  <cols>
    <col min="1" max="1" width="28.7109375" bestFit="1" customWidth="1"/>
  </cols>
  <sheetData>
    <row r="1" spans="1:1" x14ac:dyDescent="0.25">
      <c r="A1" s="27" t="s">
        <v>119</v>
      </c>
    </row>
    <row r="2" spans="1:1" x14ac:dyDescent="0.25">
      <c r="A2" t="s">
        <v>91</v>
      </c>
    </row>
    <row r="3" spans="1:1" x14ac:dyDescent="0.25">
      <c r="A3" t="s">
        <v>92</v>
      </c>
    </row>
    <row r="4" spans="1:1" x14ac:dyDescent="0.25">
      <c r="A4" t="s">
        <v>93</v>
      </c>
    </row>
    <row r="5" spans="1:1" x14ac:dyDescent="0.25">
      <c r="A5" t="s">
        <v>95</v>
      </c>
    </row>
    <row r="6" spans="1:1" x14ac:dyDescent="0.25">
      <c r="A6" t="s">
        <v>96</v>
      </c>
    </row>
    <row r="7" spans="1:1" x14ac:dyDescent="0.25">
      <c r="A7" t="s">
        <v>97</v>
      </c>
    </row>
    <row r="8" spans="1:1" x14ac:dyDescent="0.25">
      <c r="A8" t="s">
        <v>98</v>
      </c>
    </row>
    <row r="9" spans="1:1" x14ac:dyDescent="0.25">
      <c r="A9" t="s">
        <v>99</v>
      </c>
    </row>
    <row r="10" spans="1:1" x14ac:dyDescent="0.25">
      <c r="A10" t="s">
        <v>100</v>
      </c>
    </row>
    <row r="11" spans="1:1" x14ac:dyDescent="0.25">
      <c r="A11" t="s">
        <v>101</v>
      </c>
    </row>
    <row r="12" spans="1:1" x14ac:dyDescent="0.25">
      <c r="A12" t="s">
        <v>102</v>
      </c>
    </row>
    <row r="13" spans="1:1" x14ac:dyDescent="0.25">
      <c r="A13" t="s">
        <v>103</v>
      </c>
    </row>
    <row r="14" spans="1:1" x14ac:dyDescent="0.25">
      <c r="A14" t="s">
        <v>105</v>
      </c>
    </row>
    <row r="15" spans="1:1" x14ac:dyDescent="0.25">
      <c r="A15" t="s">
        <v>106</v>
      </c>
    </row>
    <row r="16" spans="1:1" x14ac:dyDescent="0.25">
      <c r="A16" t="s">
        <v>107</v>
      </c>
    </row>
    <row r="17" spans="1:1" x14ac:dyDescent="0.25">
      <c r="A17" t="s">
        <v>105</v>
      </c>
    </row>
    <row r="18" spans="1:1" x14ac:dyDescent="0.25">
      <c r="A18" t="s">
        <v>94</v>
      </c>
    </row>
    <row r="19" spans="1:1" x14ac:dyDescent="0.25">
      <c r="A19" t="s">
        <v>92</v>
      </c>
    </row>
    <row r="20" spans="1:1" x14ac:dyDescent="0.25">
      <c r="A20" t="s">
        <v>108</v>
      </c>
    </row>
    <row r="21" spans="1:1" x14ac:dyDescent="0.25">
      <c r="A21" t="s">
        <v>109</v>
      </c>
    </row>
    <row r="22" spans="1:1" x14ac:dyDescent="0.25">
      <c r="A22" t="s">
        <v>110</v>
      </c>
    </row>
    <row r="23" spans="1:1" x14ac:dyDescent="0.25">
      <c r="A23" t="s">
        <v>111</v>
      </c>
    </row>
    <row r="24" spans="1:1" x14ac:dyDescent="0.25">
      <c r="A24" t="s">
        <v>104</v>
      </c>
    </row>
    <row r="25" spans="1:1" x14ac:dyDescent="0.25">
      <c r="A25" t="s">
        <v>112</v>
      </c>
    </row>
    <row r="26" spans="1:1" x14ac:dyDescent="0.25">
      <c r="A26" t="s">
        <v>105</v>
      </c>
    </row>
    <row r="27" spans="1:1" x14ac:dyDescent="0.25">
      <c r="A27" t="s">
        <v>101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1C7D-088E-407B-9387-1965F979C27A}">
  <sheetPr codeName="Sheet6"/>
  <dimension ref="A1:H26"/>
  <sheetViews>
    <sheetView showGridLines="0" tabSelected="1" zoomScaleNormal="100" workbookViewId="0"/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x14ac:dyDescent="0.25">
      <c r="C1" s="55" t="s">
        <v>0</v>
      </c>
      <c r="D1" s="55"/>
      <c r="E1" s="55"/>
      <c r="F1" s="55"/>
      <c r="G1" s="1"/>
    </row>
    <row r="2" spans="1:8" x14ac:dyDescent="0.25">
      <c r="B2" s="14"/>
      <c r="C2" s="56" t="s">
        <v>1</v>
      </c>
      <c r="D2" s="56"/>
      <c r="E2" s="57"/>
      <c r="F2" s="57"/>
      <c r="G2" s="2" t="s">
        <v>2</v>
      </c>
    </row>
    <row r="3" spans="1:8" x14ac:dyDescent="0.25">
      <c r="B3" s="14"/>
      <c r="C3" s="58"/>
      <c r="D3" s="58"/>
      <c r="E3" s="58"/>
      <c r="F3" s="58"/>
      <c r="G3" s="2"/>
    </row>
    <row r="4" spans="1:8" x14ac:dyDescent="0.25">
      <c r="C4" s="58"/>
      <c r="D4" s="58"/>
      <c r="E4" s="58"/>
      <c r="F4" s="58"/>
      <c r="G4" s="2"/>
    </row>
    <row r="5" spans="1:8" x14ac:dyDescent="0.25">
      <c r="B5" s="3"/>
      <c r="C5" s="58"/>
      <c r="D5" s="58"/>
      <c r="E5" s="58"/>
      <c r="F5" s="58"/>
      <c r="G5" s="4"/>
    </row>
    <row r="6" spans="1:8" x14ac:dyDescent="0.25">
      <c r="A6" s="5"/>
      <c r="C6" s="58"/>
      <c r="D6" s="58"/>
      <c r="E6" s="58"/>
      <c r="F6" s="58"/>
      <c r="H6" s="5"/>
    </row>
    <row r="7" spans="1:8" x14ac:dyDescent="0.25">
      <c r="B7" s="6"/>
      <c r="C7" s="58"/>
      <c r="D7" s="58"/>
      <c r="E7" s="58"/>
      <c r="F7" s="58"/>
      <c r="G7" s="7"/>
    </row>
    <row r="8" spans="1:8" x14ac:dyDescent="0.25">
      <c r="C8" s="58"/>
      <c r="D8" s="58"/>
      <c r="E8" s="58"/>
      <c r="F8" s="58"/>
      <c r="G8" s="2"/>
    </row>
    <row r="9" spans="1:8" x14ac:dyDescent="0.25">
      <c r="A9" s="60"/>
      <c r="B9" s="60"/>
      <c r="C9" s="59"/>
      <c r="D9" s="59"/>
      <c r="E9" s="59"/>
      <c r="F9" s="59"/>
      <c r="G9" s="2"/>
    </row>
    <row r="10" spans="1:8" x14ac:dyDescent="0.25">
      <c r="A10" s="60"/>
      <c r="B10" s="60"/>
      <c r="C10" s="61" t="s">
        <v>3</v>
      </c>
      <c r="D10" s="61"/>
      <c r="E10" s="61"/>
      <c r="F10" s="61"/>
      <c r="G10" s="2"/>
    </row>
    <row r="11" spans="1:8" ht="15.75" x14ac:dyDescent="0.25">
      <c r="C11" s="8" t="s">
        <v>19</v>
      </c>
      <c r="D11" s="20" t="s">
        <v>18</v>
      </c>
      <c r="E11" s="9" t="s">
        <v>17</v>
      </c>
      <c r="F11" s="24" t="s">
        <v>133</v>
      </c>
      <c r="G11" s="2"/>
    </row>
    <row r="12" spans="1:8" x14ac:dyDescent="0.25">
      <c r="C12" s="17" t="s">
        <v>27</v>
      </c>
      <c r="D12" s="2"/>
      <c r="E12" s="50" t="s">
        <v>139</v>
      </c>
      <c r="F12" s="19" t="s">
        <v>2</v>
      </c>
      <c r="G12" s="2"/>
    </row>
    <row r="13" spans="1:8" x14ac:dyDescent="0.25">
      <c r="C13" s="17" t="s">
        <v>26</v>
      </c>
      <c r="D13" s="2"/>
      <c r="E13" s="50" t="s">
        <v>140</v>
      </c>
      <c r="F13" s="19" t="s">
        <v>2</v>
      </c>
      <c r="G13" s="2"/>
    </row>
    <row r="14" spans="1:8" x14ac:dyDescent="0.25">
      <c r="C14" s="17" t="s">
        <v>28</v>
      </c>
      <c r="D14" s="12"/>
      <c r="E14" s="50" t="s">
        <v>141</v>
      </c>
      <c r="F14" s="19" t="s">
        <v>2</v>
      </c>
      <c r="G14" s="2"/>
    </row>
    <row r="15" spans="1:8" x14ac:dyDescent="0.25">
      <c r="C15" s="17" t="s">
        <v>29</v>
      </c>
      <c r="D15" s="11"/>
      <c r="E15" s="49" t="s">
        <v>142</v>
      </c>
      <c r="F15" s="19" t="s">
        <v>2</v>
      </c>
      <c r="G15" s="2"/>
    </row>
    <row r="16" spans="1:8" x14ac:dyDescent="0.25">
      <c r="C16" s="17"/>
      <c r="D16" s="11"/>
      <c r="E16" s="51"/>
      <c r="F16" s="19"/>
      <c r="G16" s="2"/>
    </row>
    <row r="17" spans="3:7" x14ac:dyDescent="0.25">
      <c r="C17" s="17"/>
      <c r="D17" s="11"/>
      <c r="E17" s="51"/>
      <c r="F17" s="19"/>
      <c r="G17" s="2"/>
    </row>
    <row r="18" spans="3:7" x14ac:dyDescent="0.25">
      <c r="C18" s="17"/>
      <c r="D18" s="11"/>
      <c r="E18" s="51"/>
      <c r="F18" s="19"/>
      <c r="G18" s="2"/>
    </row>
    <row r="19" spans="3:7" x14ac:dyDescent="0.25">
      <c r="C19" s="11"/>
      <c r="D19" s="11"/>
      <c r="E19" s="52"/>
      <c r="F19" s="18"/>
      <c r="G19" s="2"/>
    </row>
    <row r="20" spans="3:7" ht="3" customHeight="1" x14ac:dyDescent="0.25">
      <c r="C20" s="10"/>
      <c r="D20" s="10"/>
      <c r="E20" s="10"/>
      <c r="F20" s="10"/>
      <c r="G20" s="2"/>
    </row>
    <row r="21" spans="3:7" x14ac:dyDescent="0.25">
      <c r="G21" s="2"/>
    </row>
    <row r="22" spans="3:7" x14ac:dyDescent="0.25">
      <c r="E22" t="s">
        <v>131</v>
      </c>
      <c r="G22" s="2"/>
    </row>
    <row r="23" spans="3:7" x14ac:dyDescent="0.25">
      <c r="G23" s="2"/>
    </row>
    <row r="24" spans="3:7" x14ac:dyDescent="0.25">
      <c r="G24" s="2"/>
    </row>
    <row r="25" spans="3:7" x14ac:dyDescent="0.25">
      <c r="G25" s="2"/>
    </row>
    <row r="26" spans="3:7" x14ac:dyDescent="0.25">
      <c r="G26" s="2"/>
    </row>
  </sheetData>
  <mergeCells count="4">
    <mergeCell ref="C1:F1"/>
    <mergeCell ref="C2:F9"/>
    <mergeCell ref="A9:B10"/>
    <mergeCell ref="C10:F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2895600</xdr:colOff>
                <xdr:row>3</xdr:row>
                <xdr:rowOff>19050</xdr:rowOff>
              </from>
              <to>
                <xdr:col>4</xdr:col>
                <xdr:colOff>1543050</xdr:colOff>
                <xdr:row>6</xdr:row>
                <xdr:rowOff>9525</xdr:rowOff>
              </to>
            </anchor>
          </controlPr>
        </control>
      </mc:Choice>
      <mc:Fallback>
        <control shapeId="8194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E3125-C8BA-4D2E-8469-B6FFFF1FEE79}">
  <sheetPr codeName="Sheet2"/>
  <dimension ref="A1:A15"/>
  <sheetViews>
    <sheetView workbookViewId="0"/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4ECBE-1644-4CCE-A46C-5FB33C1D6AB1}">
  <sheetPr codeName="Sheet3"/>
  <dimension ref="A1:A19"/>
  <sheetViews>
    <sheetView workbookViewId="0">
      <selection sqref="A1:A19"/>
    </sheetView>
  </sheetViews>
  <sheetFormatPr defaultRowHeight="15" x14ac:dyDescent="0.25"/>
  <sheetData>
    <row r="1" spans="1:1" x14ac:dyDescent="0.25">
      <c r="A1" t="s">
        <v>45</v>
      </c>
    </row>
    <row r="2" spans="1:1" x14ac:dyDescent="0.25">
      <c r="A2" t="s">
        <v>46</v>
      </c>
    </row>
    <row r="3" spans="1:1" x14ac:dyDescent="0.25">
      <c r="A3" t="s">
        <v>47</v>
      </c>
    </row>
    <row r="4" spans="1:1" x14ac:dyDescent="0.25">
      <c r="A4" t="s">
        <v>48</v>
      </c>
    </row>
    <row r="5" spans="1:1" x14ac:dyDescent="0.25">
      <c r="A5" t="s">
        <v>37</v>
      </c>
    </row>
    <row r="6" spans="1:1" x14ac:dyDescent="0.25">
      <c r="A6" t="s">
        <v>49</v>
      </c>
    </row>
    <row r="7" spans="1:1" x14ac:dyDescent="0.25">
      <c r="A7" t="s">
        <v>50</v>
      </c>
    </row>
    <row r="8" spans="1:1" x14ac:dyDescent="0.25">
      <c r="A8" t="s">
        <v>51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54</v>
      </c>
    </row>
    <row r="12" spans="1:1" x14ac:dyDescent="0.25">
      <c r="A12" t="s">
        <v>55</v>
      </c>
    </row>
    <row r="13" spans="1:1" x14ac:dyDescent="0.25">
      <c r="A13" t="s">
        <v>56</v>
      </c>
    </row>
    <row r="14" spans="1:1" x14ac:dyDescent="0.25">
      <c r="A14" t="s">
        <v>57</v>
      </c>
    </row>
    <row r="15" spans="1:1" x14ac:dyDescent="0.25">
      <c r="A15" t="s">
        <v>58</v>
      </c>
    </row>
    <row r="16" spans="1:1" x14ac:dyDescent="0.25">
      <c r="A16" t="s">
        <v>59</v>
      </c>
    </row>
    <row r="17" spans="1:1" x14ac:dyDescent="0.25">
      <c r="A17" t="s">
        <v>60</v>
      </c>
    </row>
    <row r="18" spans="1:1" x14ac:dyDescent="0.25">
      <c r="A18" t="s">
        <v>61</v>
      </c>
    </row>
    <row r="19" spans="1:1" x14ac:dyDescent="0.25">
      <c r="A19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F5797-F8DA-47CD-BA4B-C736640525A2}">
  <sheetPr codeName="Sheet4"/>
  <dimension ref="A1:L9"/>
  <sheetViews>
    <sheetView workbookViewId="0"/>
  </sheetViews>
  <sheetFormatPr defaultRowHeight="15" x14ac:dyDescent="0.25"/>
  <cols>
    <col min="1" max="1" width="32.5703125" bestFit="1" customWidth="1"/>
    <col min="2" max="2" width="5.85546875" bestFit="1" customWidth="1"/>
    <col min="3" max="3" width="7" bestFit="1" customWidth="1"/>
    <col min="4" max="4" width="13.5703125" bestFit="1" customWidth="1"/>
    <col min="5" max="5" width="29.85546875" bestFit="1" customWidth="1"/>
    <col min="6" max="6" width="33.5703125" bestFit="1" customWidth="1"/>
    <col min="7" max="7" width="15.7109375" bestFit="1" customWidth="1"/>
    <col min="8" max="8" width="12.42578125" bestFit="1" customWidth="1"/>
    <col min="9" max="9" width="4.28515625" bestFit="1" customWidth="1"/>
    <col min="10" max="10" width="6" bestFit="1" customWidth="1"/>
    <col min="11" max="11" width="12.140625" bestFit="1" customWidth="1"/>
    <col min="12" max="12" width="15.28515625" bestFit="1" customWidth="1"/>
  </cols>
  <sheetData>
    <row r="1" spans="1:12" x14ac:dyDescent="0.25">
      <c r="A1" s="62" t="s">
        <v>161</v>
      </c>
      <c r="B1" s="62"/>
      <c r="C1" s="62"/>
      <c r="D1" s="62"/>
      <c r="E1" s="62"/>
      <c r="F1" s="62"/>
      <c r="G1" s="62"/>
      <c r="H1" s="62"/>
      <c r="I1" s="62"/>
      <c r="J1" s="62"/>
      <c r="K1" s="62"/>
    </row>
    <row r="2" spans="1:12" x14ac:dyDescent="0.25">
      <c r="A2" s="62"/>
      <c r="B2" s="62"/>
      <c r="C2" s="62"/>
      <c r="D2" s="62"/>
      <c r="E2" s="62"/>
      <c r="F2" s="62"/>
      <c r="G2" s="62" t="s">
        <v>162</v>
      </c>
      <c r="H2" s="62"/>
      <c r="I2" s="62"/>
      <c r="J2" s="62"/>
    </row>
    <row r="3" spans="1:12" x14ac:dyDescent="0.25">
      <c r="A3" s="62"/>
      <c r="B3" s="62"/>
      <c r="C3" s="62"/>
      <c r="D3" s="62"/>
      <c r="E3" s="62"/>
      <c r="F3" s="62"/>
      <c r="G3" t="s">
        <v>163</v>
      </c>
    </row>
    <row r="4" spans="1:12" x14ac:dyDescent="0.25">
      <c r="A4" s="62"/>
      <c r="B4" s="62"/>
      <c r="C4" s="62"/>
      <c r="D4" s="62"/>
      <c r="E4" s="62"/>
      <c r="F4" s="62"/>
      <c r="G4" t="s">
        <v>164</v>
      </c>
      <c r="H4" t="s">
        <v>165</v>
      </c>
    </row>
    <row r="5" spans="1:12" x14ac:dyDescent="0.25">
      <c r="A5" s="62"/>
      <c r="B5" s="62"/>
      <c r="C5" s="62"/>
      <c r="D5" s="62"/>
      <c r="E5" s="62"/>
      <c r="F5" s="62"/>
    </row>
    <row r="6" spans="1:12" x14ac:dyDescent="0.25">
      <c r="A6" s="62"/>
      <c r="B6" s="62"/>
      <c r="C6" s="62"/>
      <c r="D6" s="62"/>
      <c r="E6" s="62"/>
      <c r="F6" s="62"/>
    </row>
    <row r="7" spans="1:12" x14ac:dyDescent="0.25">
      <c r="A7" s="62"/>
      <c r="B7" s="62"/>
      <c r="C7" s="62"/>
      <c r="D7" s="62"/>
      <c r="E7" s="62"/>
      <c r="F7" s="62"/>
    </row>
    <row r="8" spans="1:12" x14ac:dyDescent="0.25">
      <c r="A8" s="62" t="s">
        <v>63</v>
      </c>
      <c r="B8" s="62" t="s">
        <v>166</v>
      </c>
      <c r="C8" s="62" t="s">
        <v>167</v>
      </c>
      <c r="D8" s="62" t="s">
        <v>168</v>
      </c>
      <c r="E8" s="62" t="s">
        <v>169</v>
      </c>
      <c r="F8" s="62" t="s">
        <v>170</v>
      </c>
      <c r="G8" s="62" t="s">
        <v>171</v>
      </c>
      <c r="H8" s="62" t="s">
        <v>172</v>
      </c>
      <c r="I8" s="62" t="s">
        <v>173</v>
      </c>
      <c r="J8" s="62" t="s">
        <v>174</v>
      </c>
      <c r="K8" s="62" t="s">
        <v>175</v>
      </c>
      <c r="L8" s="62" t="s">
        <v>176</v>
      </c>
    </row>
    <row r="9" spans="1:12" x14ac:dyDescent="0.25">
      <c r="A9">
        <v>24001061</v>
      </c>
      <c r="C9">
        <v>183110</v>
      </c>
      <c r="D9">
        <v>290952</v>
      </c>
      <c r="E9" t="s">
        <v>177</v>
      </c>
      <c r="F9" t="s">
        <v>178</v>
      </c>
      <c r="G9">
        <v>280</v>
      </c>
      <c r="H9" t="s">
        <v>179</v>
      </c>
      <c r="I9">
        <v>5.6000000000000005</v>
      </c>
      <c r="J9">
        <v>5.6010000000000009</v>
      </c>
      <c r="K9">
        <v>1</v>
      </c>
      <c r="L9" t="s">
        <v>180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9406B-8AE3-416C-8BF6-A8C5B4D20B1A}">
  <sheetPr codeName="Sheet8"/>
  <dimension ref="A1:A15"/>
  <sheetViews>
    <sheetView workbookViewId="0"/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LA</vt:lpstr>
      <vt:lpstr>ADMINISTRATOR</vt:lpstr>
      <vt:lpstr>Temp_VALIDASI_BakalInput1</vt:lpstr>
      <vt:lpstr>Ref_Satuan</vt:lpstr>
      <vt:lpstr>HOME</vt:lpstr>
      <vt:lpstr>CC1_ImpINV</vt:lpstr>
      <vt:lpstr>CC2_ImpSJ</vt:lpstr>
      <vt:lpstr>CC3_Retur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2024-08-12T06:33:41Z</dcterms:created>
  <dcterms:modified xsi:type="dcterms:W3CDTF">2024-10-19T01:42:50Z</dcterms:modified>
</cp:coreProperties>
</file>