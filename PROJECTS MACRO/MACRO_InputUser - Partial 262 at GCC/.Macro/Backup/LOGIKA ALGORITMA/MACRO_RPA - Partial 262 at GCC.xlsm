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"/>
    </mc:Choice>
  </mc:AlternateContent>
  <xr:revisionPtr revIDLastSave="0" documentId="13_ncr:1_{F4B5FBF9-0197-4631-AE95-02E44699222C}" xr6:coauthVersionLast="47" xr6:coauthVersionMax="47" xr10:uidLastSave="{00000000-0000-0000-0000-000000000000}"/>
  <bookViews>
    <workbookView xWindow="-20520" yWindow="-795" windowWidth="20640" windowHeight="11040" xr2:uid="{6757DAF1-9599-48D6-B323-353FB93B67F3}"/>
  </bookViews>
  <sheets>
    <sheet name="BakalInput_Kelengkapan (RPA)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1" l="1"/>
  <c r="M2" i="1"/>
  <c r="L2" i="1"/>
  <c r="K2" i="1"/>
  <c r="J2" i="1"/>
  <c r="I2" i="1"/>
  <c r="H2" i="1"/>
  <c r="D2" i="1"/>
  <c r="A2" i="1"/>
  <c r="B2" i="1" l="1"/>
  <c r="C2" i="1" l="1"/>
  <c r="G2" i="1" l="1"/>
  <c r="F2" i="1"/>
</calcChain>
</file>

<file path=xl/sharedStrings.xml><?xml version="1.0" encoding="utf-8"?>
<sst xmlns="http://schemas.openxmlformats.org/spreadsheetml/2006/main" count="14" uniqueCount="14">
  <si>
    <t>Tanggal Pengiriman "MM/DD/YYY"</t>
  </si>
  <si>
    <t>Tanggal Invoice "MM/DD/YYY"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</si>
  <si>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</si>
  <si>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</si>
  <si>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</si>
  <si>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</si>
  <si>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</si>
  <si>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</si>
  <si>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</si>
  <si>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QTY kemasan</t>
  </si>
  <si>
    <t>Satuan kemasan</t>
  </si>
  <si>
    <t>File Invoice</t>
  </si>
  <si>
    <t>File Packing List</t>
  </si>
  <si>
    <t>File Surat Jalan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</si>
</sst>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Bersama\IT\Macro%20Record%20Projects\Local%20Project\MACRO_InputUser%20-%20Partial%20262%20at%20GCC\.Macro\Backup\LOGIKA%20ALGORITMA\MACRO_InputUser%20-%20Partial%20262%20at%20GCC.xlsm" TargetMode="External"/><Relationship Id="rId1" Type="http://schemas.openxmlformats.org/officeDocument/2006/relationships/externalLinkPath" Target="MACRO_InputUser%20-%20Partial%20262%20at%20GC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MINISTRATOR"/>
      <sheetName val="Ref_Satuan"/>
      <sheetName val="Temp_VALIDASI_BakalInput1"/>
      <sheetName val="HOME"/>
      <sheetName val="VALIDASI_BakalInput1"/>
      <sheetName val="CC1_ImpINV"/>
      <sheetName val="CC1_DM"/>
      <sheetName val="CC2_ImpSJ"/>
      <sheetName val="CC3_Retur"/>
      <sheetName val="CC3_DM"/>
      <sheetName val="VALIDASI_BakalInput2"/>
      <sheetName val="LA"/>
    </sheetNames>
    <sheetDataSet>
      <sheetData sheetId="0"/>
      <sheetData sheetId="1"/>
      <sheetData sheetId="2"/>
      <sheetData sheetId="3">
        <row r="12">
          <cell r="E12" t="str">
            <v>\\10.8.0.35\Bersama\IT\Macro Record Projects\Local Project\MACRO_InputUser - Partial 262 at GCC\.Macro\Backup\LOGIKA ALGORITMA\20241016\3\INV 33 ACC SEWING 24001061 CLN.pdf</v>
          </cell>
        </row>
        <row r="13">
          <cell r="E13" t="str">
            <v>\\10.8.0.35\Bersama\IT\Macro Record Projects\Local Project\MACRO_InputUser - Partial 262 at GCC\.Macro\Backup\LOGIKA ALGORITMA\20241016\3\PL 33 ACC SEWING 24001061 CLN.pdf</v>
          </cell>
        </row>
        <row r="14">
          <cell r="E14" t="str">
            <v>\\10.8.0.35\Bersama\IT\Macro Record Projects\Local Project\MACRO_InputUser - Partial 262 at GCC\.Macro\Backup\LOGIKA ALGORITMA\20241016\3\SJ 33 ACC SEWING 24001061 CLN.pdf</v>
          </cell>
        </row>
      </sheetData>
      <sheetData sheetId="4"/>
      <sheetData sheetId="5">
        <row r="1">
          <cell r="C1" t="str">
            <v>[KEY LOOK]</v>
          </cell>
          <cell r="D1" t="str">
            <v>[CARI] ROW NO INV</v>
          </cell>
          <cell r="E1" t="str">
            <v>[GET] NO INV</v>
          </cell>
          <cell r="F1" t="str">
            <v>[CARI] ROW TGL NO INV</v>
          </cell>
          <cell r="G1" t="str">
            <v>[GET] ROW TGL NO INV</v>
          </cell>
        </row>
        <row r="2">
          <cell r="C2">
            <v>0</v>
          </cell>
          <cell r="D2">
            <v>0</v>
          </cell>
          <cell r="E2" t="str">
            <v/>
          </cell>
          <cell r="F2">
            <v>0</v>
          </cell>
          <cell r="G2" t="str">
            <v/>
          </cell>
        </row>
        <row r="3">
          <cell r="C3">
            <v>0</v>
          </cell>
          <cell r="D3">
            <v>0</v>
          </cell>
          <cell r="E3" t="str">
            <v/>
          </cell>
          <cell r="F3">
            <v>0</v>
          </cell>
          <cell r="G3" t="str">
            <v/>
          </cell>
        </row>
        <row r="4">
          <cell r="C4" t="str">
            <v>GET_NO_INV</v>
          </cell>
          <cell r="D4">
            <v>1</v>
          </cell>
          <cell r="E4" t="str">
            <v>34/GG/MJK/VII/24</v>
          </cell>
          <cell r="F4">
            <v>0</v>
          </cell>
          <cell r="G4" t="str">
            <v/>
          </cell>
        </row>
        <row r="5">
          <cell r="C5" t="str">
            <v>GET_TGL_INV</v>
          </cell>
          <cell r="D5">
            <v>0</v>
          </cell>
          <cell r="E5" t="str">
            <v/>
          </cell>
          <cell r="F5">
            <v>1</v>
          </cell>
          <cell r="G5" t="str">
            <v>24/07/2024</v>
          </cell>
        </row>
        <row r="6">
          <cell r="C6">
            <v>0</v>
          </cell>
          <cell r="D6">
            <v>0</v>
          </cell>
          <cell r="E6" t="str">
            <v/>
          </cell>
          <cell r="F6">
            <v>0</v>
          </cell>
          <cell r="G6" t="str">
            <v/>
          </cell>
        </row>
        <row r="7">
          <cell r="C7">
            <v>0</v>
          </cell>
          <cell r="D7">
            <v>0</v>
          </cell>
          <cell r="E7" t="str">
            <v/>
          </cell>
          <cell r="F7">
            <v>0</v>
          </cell>
          <cell r="G7" t="str">
            <v/>
          </cell>
        </row>
        <row r="8">
          <cell r="C8">
            <v>0</v>
          </cell>
          <cell r="D8">
            <v>0</v>
          </cell>
          <cell r="E8" t="str">
            <v/>
          </cell>
          <cell r="F8">
            <v>0</v>
          </cell>
          <cell r="G8" t="str">
            <v/>
          </cell>
        </row>
        <row r="9">
          <cell r="C9">
            <v>0</v>
          </cell>
          <cell r="D9">
            <v>0</v>
          </cell>
          <cell r="E9" t="str">
            <v/>
          </cell>
          <cell r="F9">
            <v>0</v>
          </cell>
          <cell r="G9" t="str">
            <v/>
          </cell>
        </row>
        <row r="10">
          <cell r="C10">
            <v>0</v>
          </cell>
          <cell r="D10">
            <v>0</v>
          </cell>
          <cell r="E10" t="str">
            <v/>
          </cell>
          <cell r="F10">
            <v>0</v>
          </cell>
          <cell r="G10" t="str">
            <v/>
          </cell>
        </row>
        <row r="11">
          <cell r="C11">
            <v>0</v>
          </cell>
          <cell r="D11">
            <v>0</v>
          </cell>
          <cell r="E11" t="str">
            <v/>
          </cell>
          <cell r="F11">
            <v>0</v>
          </cell>
          <cell r="G11" t="str">
            <v/>
          </cell>
        </row>
        <row r="12">
          <cell r="C12">
            <v>0</v>
          </cell>
          <cell r="D12">
            <v>0</v>
          </cell>
          <cell r="E12" t="str">
            <v/>
          </cell>
          <cell r="F12">
            <v>0</v>
          </cell>
          <cell r="G12" t="str">
            <v/>
          </cell>
        </row>
        <row r="13">
          <cell r="C13">
            <v>0</v>
          </cell>
          <cell r="D13">
            <v>0</v>
          </cell>
          <cell r="E13" t="str">
            <v/>
          </cell>
          <cell r="F13">
            <v>0</v>
          </cell>
          <cell r="G13" t="str">
            <v/>
          </cell>
        </row>
        <row r="14">
          <cell r="C14">
            <v>0</v>
          </cell>
          <cell r="D14">
            <v>0</v>
          </cell>
          <cell r="E14" t="str">
            <v/>
          </cell>
          <cell r="F14">
            <v>0</v>
          </cell>
          <cell r="G14" t="str">
            <v/>
          </cell>
        </row>
        <row r="15">
          <cell r="C15">
            <v>0</v>
          </cell>
          <cell r="D15">
            <v>0</v>
          </cell>
          <cell r="E15" t="str">
            <v/>
          </cell>
          <cell r="F15">
            <v>0</v>
          </cell>
          <cell r="G15" t="str">
            <v/>
          </cell>
        </row>
        <row r="16">
          <cell r="C16">
            <v>0</v>
          </cell>
          <cell r="D16">
            <v>0</v>
          </cell>
          <cell r="E16" t="str">
            <v/>
          </cell>
          <cell r="F16">
            <v>0</v>
          </cell>
          <cell r="G16" t="str">
            <v/>
          </cell>
        </row>
        <row r="18">
          <cell r="G18" t="str">
            <v/>
          </cell>
        </row>
      </sheetData>
      <sheetData sheetId="6"/>
      <sheetData sheetId="7">
        <row r="1">
          <cell r="C1" t="str">
            <v>[KEY LOOK]</v>
          </cell>
          <cell r="D1" t="str">
            <v>[DM1] [CARI] ROW NO SJ</v>
          </cell>
          <cell r="E1" t="str">
            <v>[DM2] [CARI] ROW NO SJ</v>
          </cell>
          <cell r="F1" t="str">
            <v>[CARI] ROW NO SJ</v>
          </cell>
          <cell r="G1">
            <v>2</v>
          </cell>
          <cell r="H1" t="str">
            <v>START KE</v>
          </cell>
          <cell r="I1">
            <v>4</v>
          </cell>
          <cell r="J1" t="str">
            <v>END KE</v>
          </cell>
          <cell r="K1" t="str">
            <v>[GET] NO SJ</v>
          </cell>
          <cell r="L1" t="str">
            <v>[CARI] ROW TGL SJ</v>
          </cell>
          <cell r="M1">
            <v>2</v>
          </cell>
          <cell r="N1" t="str">
            <v>START KE</v>
          </cell>
          <cell r="O1" t="str">
            <v>[DM] TAHUN</v>
          </cell>
          <cell r="P1" t="str">
            <v>TAHUN</v>
          </cell>
          <cell r="Q1" t="str">
            <v>END KE</v>
          </cell>
          <cell r="R1" t="str">
            <v>[GET] TGL SJ</v>
          </cell>
        </row>
        <row r="2">
          <cell r="C2">
            <v>0</v>
          </cell>
          <cell r="D2">
            <v>0</v>
          </cell>
          <cell r="E2">
            <v>0</v>
          </cell>
          <cell r="F2" t="b">
            <v>0</v>
          </cell>
          <cell r="G2" t="e">
            <v>#VALUE!</v>
          </cell>
          <cell r="H2" t="e">
            <v>#VALUE!</v>
          </cell>
          <cell r="I2" t="e">
            <v>#VALUE!</v>
          </cell>
          <cell r="J2" t="e">
            <v>#VALUE!</v>
          </cell>
          <cell r="K2" t="str">
            <v/>
          </cell>
          <cell r="L2">
            <v>0</v>
          </cell>
          <cell r="M2" t="b">
            <v>0</v>
          </cell>
          <cell r="N2" t="e">
            <v>#VALUE!</v>
          </cell>
          <cell r="O2" t="str">
            <v>33/GG/MJK/VII/24</v>
          </cell>
          <cell r="P2">
            <v>2024</v>
          </cell>
          <cell r="Q2" t="e">
            <v>#VALUE!</v>
          </cell>
          <cell r="R2" t="str">
            <v/>
          </cell>
        </row>
        <row r="3">
          <cell r="C3">
            <v>0</v>
          </cell>
          <cell r="D3">
            <v>0</v>
          </cell>
          <cell r="E3">
            <v>0</v>
          </cell>
          <cell r="F3" t="b">
            <v>0</v>
          </cell>
          <cell r="G3" t="str">
            <v>/P</v>
          </cell>
          <cell r="H3">
            <v>14</v>
          </cell>
          <cell r="I3" t="str">
            <v>/PT.</v>
          </cell>
          <cell r="J3">
            <v>12</v>
          </cell>
          <cell r="K3" t="str">
            <v/>
          </cell>
          <cell r="L3">
            <v>0</v>
          </cell>
          <cell r="M3" t="b">
            <v>0</v>
          </cell>
          <cell r="N3" t="e">
            <v>#VALUE!</v>
          </cell>
          <cell r="O3" t="str">
            <v>33/GG/MJK/VII/24</v>
          </cell>
          <cell r="P3">
            <v>2024</v>
          </cell>
          <cell r="Q3" t="e">
            <v>#VALUE!</v>
          </cell>
          <cell r="R3" t="str">
            <v/>
          </cell>
        </row>
        <row r="4">
          <cell r="C4">
            <v>0</v>
          </cell>
          <cell r="D4">
            <v>0</v>
          </cell>
          <cell r="E4">
            <v>0</v>
          </cell>
          <cell r="F4" t="b">
            <v>0</v>
          </cell>
          <cell r="G4" t="e">
            <v>#VALUE!</v>
          </cell>
          <cell r="H4" t="e">
            <v>#VALUE!</v>
          </cell>
          <cell r="I4" t="e">
            <v>#VALUE!</v>
          </cell>
          <cell r="J4" t="e">
            <v>#VALUE!</v>
          </cell>
          <cell r="K4" t="str">
            <v/>
          </cell>
          <cell r="L4">
            <v>0</v>
          </cell>
          <cell r="M4" t="b">
            <v>0</v>
          </cell>
          <cell r="N4" t="e">
            <v>#VALUE!</v>
          </cell>
          <cell r="O4" t="str">
            <v>33/GG/MJK/VII/24</v>
          </cell>
          <cell r="P4">
            <v>2024</v>
          </cell>
          <cell r="Q4" t="e">
            <v>#VALUE!</v>
          </cell>
          <cell r="R4" t="str">
            <v/>
          </cell>
        </row>
        <row r="5">
          <cell r="C5">
            <v>0</v>
          </cell>
          <cell r="D5">
            <v>0</v>
          </cell>
          <cell r="E5">
            <v>0</v>
          </cell>
          <cell r="F5" t="b">
            <v>0</v>
          </cell>
          <cell r="G5" t="e">
            <v>#VALUE!</v>
          </cell>
          <cell r="H5" t="e">
            <v>#VALUE!</v>
          </cell>
          <cell r="I5" t="e">
            <v>#VALUE!</v>
          </cell>
          <cell r="J5" t="e">
            <v>#VALUE!</v>
          </cell>
          <cell r="K5" t="str">
            <v/>
          </cell>
          <cell r="L5">
            <v>0</v>
          </cell>
          <cell r="M5" t="b">
            <v>0</v>
          </cell>
          <cell r="N5" t="e">
            <v>#VALUE!</v>
          </cell>
          <cell r="O5" t="str">
            <v>33/GG/MJK/VII/24</v>
          </cell>
          <cell r="P5">
            <v>2024</v>
          </cell>
          <cell r="Q5" t="e">
            <v>#VALUE!</v>
          </cell>
          <cell r="R5" t="str">
            <v/>
          </cell>
        </row>
        <row r="6">
          <cell r="C6" t="str">
            <v>GET_TGL_SJ</v>
          </cell>
          <cell r="D6">
            <v>0</v>
          </cell>
          <cell r="E6">
            <v>0</v>
          </cell>
          <cell r="F6" t="b">
            <v>0</v>
          </cell>
          <cell r="G6" t="e">
            <v>#VALUE!</v>
          </cell>
          <cell r="H6" t="e">
            <v>#VALUE!</v>
          </cell>
          <cell r="I6" t="e">
            <v>#VALUE!</v>
          </cell>
          <cell r="J6" t="e">
            <v>#VALUE!</v>
          </cell>
          <cell r="K6" t="str">
            <v/>
          </cell>
          <cell r="L6" t="b">
            <v>1</v>
          </cell>
          <cell r="M6" t="str">
            <v>:2</v>
          </cell>
          <cell r="N6">
            <v>9</v>
          </cell>
          <cell r="O6" t="str">
            <v>33/GG/MJK/VII/24</v>
          </cell>
          <cell r="P6">
            <v>2024</v>
          </cell>
          <cell r="Q6">
            <v>10</v>
          </cell>
          <cell r="R6" t="str">
            <v>23JULI2024</v>
          </cell>
        </row>
        <row r="7">
          <cell r="C7" t="str">
            <v>GET_NO_SJ</v>
          </cell>
          <cell r="D7">
            <v>1</v>
          </cell>
          <cell r="E7">
            <v>1</v>
          </cell>
          <cell r="F7" t="b">
            <v>1</v>
          </cell>
          <cell r="G7" t="str">
            <v>/G</v>
          </cell>
          <cell r="H7">
            <v>7</v>
          </cell>
          <cell r="I7" t="str">
            <v>/24N</v>
          </cell>
          <cell r="J7">
            <v>16</v>
          </cell>
          <cell r="K7" t="str">
            <v>33/GG/MJK/VII/24</v>
          </cell>
          <cell r="L7">
            <v>0</v>
          </cell>
          <cell r="M7" t="b">
            <v>0</v>
          </cell>
          <cell r="N7" t="e">
            <v>#VALUE!</v>
          </cell>
          <cell r="O7" t="str">
            <v>33/GG/MJK/VII/24</v>
          </cell>
          <cell r="P7">
            <v>2024</v>
          </cell>
          <cell r="Q7" t="e">
            <v>#VALUE!</v>
          </cell>
          <cell r="R7" t="str">
            <v/>
          </cell>
        </row>
        <row r="8">
          <cell r="C8">
            <v>0</v>
          </cell>
          <cell r="D8">
            <v>0</v>
          </cell>
          <cell r="E8">
            <v>0</v>
          </cell>
          <cell r="F8" t="b">
            <v>0</v>
          </cell>
          <cell r="G8" t="e">
            <v>#VALUE!</v>
          </cell>
          <cell r="H8" t="e">
            <v>#VALUE!</v>
          </cell>
          <cell r="I8" t="e">
            <v>#VALUE!</v>
          </cell>
          <cell r="J8" t="e">
            <v>#VALUE!</v>
          </cell>
          <cell r="K8" t="str">
            <v/>
          </cell>
          <cell r="L8">
            <v>0</v>
          </cell>
          <cell r="M8" t="b">
            <v>0</v>
          </cell>
          <cell r="N8" t="e">
            <v>#VALUE!</v>
          </cell>
          <cell r="O8" t="str">
            <v>33/GG/MJK/VII/24</v>
          </cell>
          <cell r="P8">
            <v>2024</v>
          </cell>
          <cell r="Q8" t="e">
            <v>#VALUE!</v>
          </cell>
          <cell r="R8" t="str">
            <v/>
          </cell>
        </row>
        <row r="9">
          <cell r="C9">
            <v>0</v>
          </cell>
          <cell r="D9">
            <v>0</v>
          </cell>
          <cell r="E9">
            <v>0</v>
          </cell>
          <cell r="F9" t="b">
            <v>0</v>
          </cell>
          <cell r="G9" t="e">
            <v>#VALUE!</v>
          </cell>
          <cell r="H9" t="e">
            <v>#VALUE!</v>
          </cell>
          <cell r="I9" t="e">
            <v>#VALUE!</v>
          </cell>
          <cell r="J9" t="e">
            <v>#VALUE!</v>
          </cell>
          <cell r="K9" t="str">
            <v/>
          </cell>
          <cell r="L9">
            <v>0</v>
          </cell>
          <cell r="M9" t="b">
            <v>0</v>
          </cell>
          <cell r="N9" t="e">
            <v>#VALUE!</v>
          </cell>
          <cell r="O9" t="str">
            <v>33/GG/MJK/VII/24</v>
          </cell>
          <cell r="P9">
            <v>2024</v>
          </cell>
          <cell r="Q9" t="e">
            <v>#VALUE!</v>
          </cell>
          <cell r="R9" t="str">
            <v/>
          </cell>
        </row>
        <row r="10">
          <cell r="C10">
            <v>0</v>
          </cell>
          <cell r="D10">
            <v>0</v>
          </cell>
          <cell r="E10">
            <v>0</v>
          </cell>
          <cell r="F10" t="b">
            <v>0</v>
          </cell>
          <cell r="G10" t="e">
            <v>#VALUE!</v>
          </cell>
          <cell r="H10" t="e">
            <v>#VALUE!</v>
          </cell>
          <cell r="I10" t="e">
            <v>#VALUE!</v>
          </cell>
          <cell r="J10" t="e">
            <v>#VALUE!</v>
          </cell>
          <cell r="K10" t="str">
            <v/>
          </cell>
          <cell r="L10">
            <v>0</v>
          </cell>
          <cell r="M10" t="b">
            <v>0</v>
          </cell>
          <cell r="N10" t="e">
            <v>#VALUE!</v>
          </cell>
          <cell r="O10" t="str">
            <v>33/GG/MJK/VII/24</v>
          </cell>
          <cell r="P10">
            <v>2024</v>
          </cell>
          <cell r="Q10" t="e">
            <v>#VALUE!</v>
          </cell>
          <cell r="R10" t="str">
            <v/>
          </cell>
        </row>
        <row r="11">
          <cell r="C11">
            <v>0</v>
          </cell>
          <cell r="D11">
            <v>0</v>
          </cell>
          <cell r="E11">
            <v>0</v>
          </cell>
          <cell r="F11" t="b">
            <v>0</v>
          </cell>
          <cell r="G11" t="e">
            <v>#VALUE!</v>
          </cell>
          <cell r="H11" t="e">
            <v>#VALUE!</v>
          </cell>
          <cell r="I11" t="e">
            <v>#VALUE!</v>
          </cell>
          <cell r="J11" t="e">
            <v>#VALUE!</v>
          </cell>
          <cell r="K11" t="str">
            <v/>
          </cell>
          <cell r="L11">
            <v>0</v>
          </cell>
          <cell r="M11" t="b">
            <v>0</v>
          </cell>
          <cell r="N11" t="e">
            <v>#VALUE!</v>
          </cell>
          <cell r="O11" t="str">
            <v>33/GG/MJK/VII/24</v>
          </cell>
          <cell r="P11">
            <v>2024</v>
          </cell>
          <cell r="Q11" t="e">
            <v>#VALUE!</v>
          </cell>
          <cell r="R11" t="str">
            <v/>
          </cell>
        </row>
        <row r="12">
          <cell r="C12">
            <v>0</v>
          </cell>
          <cell r="D12">
            <v>0</v>
          </cell>
          <cell r="E12">
            <v>0</v>
          </cell>
          <cell r="F12" t="b">
            <v>0</v>
          </cell>
          <cell r="G12" t="e">
            <v>#VALUE!</v>
          </cell>
          <cell r="H12" t="e">
            <v>#VALUE!</v>
          </cell>
          <cell r="I12" t="e">
            <v>#VALUE!</v>
          </cell>
          <cell r="J12" t="e">
            <v>#VALUE!</v>
          </cell>
          <cell r="K12" t="str">
            <v/>
          </cell>
          <cell r="L12">
            <v>0</v>
          </cell>
          <cell r="M12" t="b">
            <v>0</v>
          </cell>
          <cell r="N12" t="e">
            <v>#VALUE!</v>
          </cell>
          <cell r="O12" t="str">
            <v>33/GG/MJK/VII/24</v>
          </cell>
          <cell r="P12">
            <v>2024</v>
          </cell>
          <cell r="Q12" t="e">
            <v>#VALUE!</v>
          </cell>
          <cell r="R12" t="str">
            <v/>
          </cell>
        </row>
        <row r="13">
          <cell r="C13">
            <v>0</v>
          </cell>
          <cell r="D13">
            <v>0</v>
          </cell>
          <cell r="E13">
            <v>0</v>
          </cell>
          <cell r="F13" t="b">
            <v>0</v>
          </cell>
          <cell r="G13" t="e">
            <v>#VALUE!</v>
          </cell>
          <cell r="H13" t="e">
            <v>#VALUE!</v>
          </cell>
          <cell r="I13" t="e">
            <v>#VALUE!</v>
          </cell>
          <cell r="J13" t="e">
            <v>#VALUE!</v>
          </cell>
          <cell r="K13" t="str">
            <v/>
          </cell>
          <cell r="L13">
            <v>0</v>
          </cell>
          <cell r="M13" t="b">
            <v>0</v>
          </cell>
          <cell r="N13" t="e">
            <v>#VALUE!</v>
          </cell>
          <cell r="O13" t="str">
            <v>33/GG/MJK/VII/24</v>
          </cell>
          <cell r="P13">
            <v>2024</v>
          </cell>
          <cell r="Q13" t="e">
            <v>#VALUE!</v>
          </cell>
          <cell r="R13" t="str">
            <v/>
          </cell>
        </row>
        <row r="14">
          <cell r="C14">
            <v>0</v>
          </cell>
          <cell r="D14">
            <v>0</v>
          </cell>
          <cell r="E14">
            <v>0</v>
          </cell>
          <cell r="F14" t="b">
            <v>0</v>
          </cell>
          <cell r="G14" t="e">
            <v>#VALUE!</v>
          </cell>
          <cell r="H14" t="e">
            <v>#VALUE!</v>
          </cell>
          <cell r="I14" t="e">
            <v>#VALUE!</v>
          </cell>
          <cell r="J14" t="e">
            <v>#VALUE!</v>
          </cell>
          <cell r="K14" t="str">
            <v/>
          </cell>
          <cell r="L14">
            <v>0</v>
          </cell>
          <cell r="M14" t="b">
            <v>0</v>
          </cell>
          <cell r="N14" t="e">
            <v>#VALUE!</v>
          </cell>
          <cell r="O14" t="str">
            <v>33/GG/MJK/VII/24</v>
          </cell>
          <cell r="P14">
            <v>2024</v>
          </cell>
          <cell r="Q14" t="e">
            <v>#VALUE!</v>
          </cell>
          <cell r="R14" t="str">
            <v/>
          </cell>
        </row>
        <row r="15">
          <cell r="C15">
            <v>0</v>
          </cell>
          <cell r="D15">
            <v>0</v>
          </cell>
          <cell r="E15">
            <v>0</v>
          </cell>
          <cell r="F15" t="b">
            <v>0</v>
          </cell>
          <cell r="G15" t="e">
            <v>#VALUE!</v>
          </cell>
          <cell r="H15" t="e">
            <v>#VALUE!</v>
          </cell>
          <cell r="I15" t="e">
            <v>#VALUE!</v>
          </cell>
          <cell r="J15" t="e">
            <v>#VALUE!</v>
          </cell>
          <cell r="K15" t="str">
            <v/>
          </cell>
          <cell r="L15">
            <v>0</v>
          </cell>
          <cell r="M15" t="b">
            <v>0</v>
          </cell>
          <cell r="N15" t="e">
            <v>#VALUE!</v>
          </cell>
          <cell r="O15" t="str">
            <v>33/GG/MJK/VII/24</v>
          </cell>
          <cell r="P15">
            <v>2024</v>
          </cell>
          <cell r="Q15" t="e">
            <v>#VALUE!</v>
          </cell>
          <cell r="R15" t="str">
            <v/>
          </cell>
        </row>
        <row r="16">
          <cell r="C16">
            <v>0</v>
          </cell>
          <cell r="D16">
            <v>0</v>
          </cell>
          <cell r="E16">
            <v>0</v>
          </cell>
          <cell r="F16" t="b">
            <v>0</v>
          </cell>
          <cell r="G16" t="e">
            <v>#VALUE!</v>
          </cell>
          <cell r="H16" t="e">
            <v>#VALUE!</v>
          </cell>
          <cell r="I16" t="e">
            <v>#VALUE!</v>
          </cell>
          <cell r="J16" t="e">
            <v>#VALUE!</v>
          </cell>
          <cell r="K16" t="str">
            <v/>
          </cell>
          <cell r="L16">
            <v>0</v>
          </cell>
          <cell r="M16" t="b">
            <v>0</v>
          </cell>
          <cell r="N16" t="e">
            <v>#VALUE!</v>
          </cell>
          <cell r="O16" t="str">
            <v>33/GG/MJK/VII/24</v>
          </cell>
          <cell r="P16">
            <v>2024</v>
          </cell>
          <cell r="Q16" t="e">
            <v>#VALUE!</v>
          </cell>
          <cell r="R16" t="str">
            <v/>
          </cell>
        </row>
        <row r="17">
          <cell r="C17">
            <v>0</v>
          </cell>
          <cell r="D17">
            <v>0</v>
          </cell>
          <cell r="E17">
            <v>0</v>
          </cell>
          <cell r="F17" t="b">
            <v>0</v>
          </cell>
          <cell r="G17" t="e">
            <v>#VALUE!</v>
          </cell>
          <cell r="H17" t="e">
            <v>#VALUE!</v>
          </cell>
          <cell r="I17" t="e">
            <v>#VALUE!</v>
          </cell>
          <cell r="J17" t="e">
            <v>#VALUE!</v>
          </cell>
          <cell r="K17" t="str">
            <v/>
          </cell>
          <cell r="L17">
            <v>0</v>
          </cell>
          <cell r="M17" t="b">
            <v>0</v>
          </cell>
          <cell r="N17" t="e">
            <v>#VALUE!</v>
          </cell>
          <cell r="O17" t="str">
            <v>33/GG/MJK/VII/24</v>
          </cell>
          <cell r="P17">
            <v>2024</v>
          </cell>
          <cell r="Q17" t="e">
            <v>#VALUE!</v>
          </cell>
          <cell r="R17" t="str">
            <v/>
          </cell>
        </row>
        <row r="18">
          <cell r="C18">
            <v>0</v>
          </cell>
          <cell r="D18">
            <v>0</v>
          </cell>
          <cell r="E18">
            <v>0</v>
          </cell>
          <cell r="F18" t="b">
            <v>0</v>
          </cell>
          <cell r="G18" t="str">
            <v>/</v>
          </cell>
          <cell r="H18">
            <v>9</v>
          </cell>
          <cell r="I18" t="str">
            <v>/</v>
          </cell>
          <cell r="J18">
            <v>7</v>
          </cell>
          <cell r="K18" t="str">
            <v/>
          </cell>
          <cell r="L18">
            <v>0</v>
          </cell>
          <cell r="M18" t="b">
            <v>0</v>
          </cell>
          <cell r="N18" t="e">
            <v>#VALUE!</v>
          </cell>
          <cell r="O18" t="str">
            <v>33/GG/MJK/VII/24</v>
          </cell>
          <cell r="P18">
            <v>2024</v>
          </cell>
          <cell r="Q18" t="e">
            <v>#VALUE!</v>
          </cell>
          <cell r="R18" t="str">
            <v/>
          </cell>
        </row>
        <row r="19">
          <cell r="C19">
            <v>0</v>
          </cell>
          <cell r="D19">
            <v>0</v>
          </cell>
          <cell r="E19">
            <v>0</v>
          </cell>
          <cell r="F19" t="b">
            <v>0</v>
          </cell>
          <cell r="G19" t="e">
            <v>#VALUE!</v>
          </cell>
          <cell r="H19" t="e">
            <v>#VALUE!</v>
          </cell>
          <cell r="I19" t="e">
            <v>#VALUE!</v>
          </cell>
          <cell r="J19" t="e">
            <v>#VALUE!</v>
          </cell>
          <cell r="K19" t="str">
            <v/>
          </cell>
          <cell r="L19">
            <v>0</v>
          </cell>
          <cell r="M19" t="b">
            <v>0</v>
          </cell>
          <cell r="N19" t="e">
            <v>#VALUE!</v>
          </cell>
          <cell r="O19" t="str">
            <v>33/GG/MJK/VII/24</v>
          </cell>
          <cell r="P19">
            <v>2024</v>
          </cell>
          <cell r="Q19" t="e">
            <v>#VALUE!</v>
          </cell>
          <cell r="R19" t="str">
            <v/>
          </cell>
        </row>
      </sheetData>
      <sheetData sheetId="8">
        <row r="2">
          <cell r="G2" t="str">
            <v>Date: 20-08-2024</v>
          </cell>
        </row>
        <row r="4">
          <cell r="H4" t="str">
            <v>mm/dd/yyyy</v>
          </cell>
        </row>
        <row r="9">
          <cell r="I9">
            <v>5.6000000000000005</v>
          </cell>
          <cell r="J9">
            <v>5.6010000000000009</v>
          </cell>
          <cell r="K9">
            <v>1</v>
          </cell>
          <cell r="L9" t="str">
            <v>box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3FC24-5688-402D-AB43-99F04809A0C5}">
  <sheetPr codeName="Sheet16"/>
  <dimension ref="A1:N2"/>
  <sheetViews>
    <sheetView tabSelected="1" workbookViewId="0">
      <selection activeCell="B11" sqref="B11"/>
    </sheetView>
  </sheetViews>
  <sheetFormatPr defaultColWidth="8.7265625" defaultRowHeight="14.5" x14ac:dyDescent="0.35"/>
  <cols>
    <col min="1" max="1" width="36.1796875" style="4" customWidth="1"/>
    <col min="2" max="2" width="40.81640625" style="4" customWidth="1"/>
    <col min="3" max="3" width="26.6328125" style="3" customWidth="1"/>
    <col min="4" max="4" width="27.36328125" style="3" customWidth="1"/>
    <col min="5" max="5" width="57.453125" style="3" bestFit="1" customWidth="1"/>
    <col min="6" max="6" width="52.54296875" style="3" bestFit="1" customWidth="1"/>
    <col min="7" max="7" width="16.26953125" style="3" bestFit="1" customWidth="1"/>
    <col min="8" max="9" width="10.26953125" style="3" bestFit="1" customWidth="1"/>
    <col min="10" max="10" width="12.1796875" style="3" bestFit="1" customWidth="1"/>
    <col min="11" max="11" width="14.54296875" style="3" bestFit="1" customWidth="1"/>
    <col min="12" max="12" width="10" style="3" bestFit="1" customWidth="1"/>
    <col min="13" max="13" width="13.54296875" style="3" bestFit="1" customWidth="1"/>
    <col min="14" max="14" width="13.1796875" style="3" bestFit="1" customWidth="1"/>
    <col min="15" max="16384" width="8.7265625" style="3"/>
  </cols>
  <sheetData>
    <row r="1" spans="1:14" x14ac:dyDescent="0.3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35">
      <c r="A2" s="4" t="str">
        <f>[1]CC3_Retur!H4</f>
        <v>mm/dd/yyyy</v>
      </c>
      <c r="B2" s="4" t="str">
        <f>VLOOKUP("GET_TGL_INV",[1]CC1_ImpINV!$C:$G,5,FALSE)</f>
        <v>24/07/2024</v>
      </c>
      <c r="C2" s="3" t="str">
        <f>VLOOKUP("GET_NO_INV",[1]CC1_ImpINV!$C:$E,3,FALSE)</f>
        <v>34/GG/MJK/VII/24</v>
      </c>
      <c r="D2" s="3" t="str">
        <f>SUBSTITUTE(SUBSTITUTE(SUBSTITUTE([1]CC3_Retur!G2," ",""),":",""),"Date","")</f>
        <v>20-08-2024</v>
      </c>
      <c r="E2" s="3">
        <v>1</v>
      </c>
      <c r="F2" s="3" t="str">
        <f>VLOOKUP("GET_TGL_SJ",[1]CC2_ImpSJ!$C:$R,16,FALSE)</f>
        <v>23JULI2024</v>
      </c>
      <c r="G2" s="3" t="str">
        <f>VLOOKUP("GET_NO_SJ",[1]CC2_ImpSJ!$C:$K,9,FALSE)</f>
        <v>33/GG/MJK/VII/24</v>
      </c>
      <c r="H2" s="3">
        <f>SUM([1]CC3_Retur!$I$9:$I$1048576)</f>
        <v>5.6000000000000005</v>
      </c>
      <c r="I2" s="3">
        <f>SUM([1]CC3_Retur!$J$9:$J$1048576)</f>
        <v>5.6010000000000009</v>
      </c>
      <c r="J2" s="3">
        <f>SUM([1]CC3_Retur!$K$9:$K$1048576)</f>
        <v>1</v>
      </c>
      <c r="K2" s="3" t="str">
        <f>UPPER([1]CC3_Retur!L9)</f>
        <v>BOX</v>
      </c>
      <c r="L2" s="3" t="str">
        <f>[1]HOME!$E$12</f>
        <v>\\10.8.0.35\Bersama\IT\Macro Record Projects\Local Project\MACRO_InputUser - Partial 262 at GCC\.Macro\Backup\LOGIKA ALGORITMA\20241016\3\INV 33 ACC SEWING 24001061 CLN.pdf</v>
      </c>
      <c r="M2" s="3" t="str">
        <f>[1]HOME!$E$13</f>
        <v>\\10.8.0.35\Bersama\IT\Macro Record Projects\Local Project\MACRO_InputUser - Partial 262 at GCC\.Macro\Backup\LOGIKA ALGORITMA\20241016\3\PL 33 ACC SEWING 24001061 CLN.pdf</v>
      </c>
      <c r="N2" s="5" t="str">
        <f>[1]HOME!$E$14</f>
        <v>\\10.8.0.35\Bersama\IT\Macro Record Projects\Local Project\MACRO_InputUser - Partial 262 at GCC\.Macro\Backup\LOGIKA ALGORITMA\20241016\3\SJ 33 ACC SEWING 24001061 CLN.pdf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BakalInput_Kelengkapan (RPA)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2024-10-18T02:02:10Z</dcterms:created>
  <dcterms:modified xsi:type="dcterms:W3CDTF">2024-10-18T02:47:26Z</dcterms:modified>
</cp:coreProperties>
</file>