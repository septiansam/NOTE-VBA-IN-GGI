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Alert AR\BACKUP\MACRO_RPA - VALIDASI EMIAL Alert AR\New folder\"/>
    </mc:Choice>
  </mc:AlternateContent>
  <xr:revisionPtr revIDLastSave="0" documentId="13_ncr:1_{1FE2E03B-7E80-4B45-B27C-E8D948E2AF31}" xr6:coauthVersionLast="47" xr6:coauthVersionMax="47" xr10:uidLastSave="{00000000-0000-0000-0000-000000000000}"/>
  <bookViews>
    <workbookView xWindow="-120" yWindow="-120" windowWidth="20730" windowHeight="11160" tabRatio="877" xr2:uid="{B9F91617-F9BE-46CA-98DC-11126EB0C8BF}"/>
  </bookViews>
  <sheets>
    <sheet name="TOMBOL" sheetId="3" r:id="rId1"/>
    <sheet name="Ref_WA" sheetId="3120" r:id="rId2"/>
    <sheet name="CC1_DataAR" sheetId="3113" r:id="rId3"/>
    <sheet name="CC2_Email" sheetId="3114" r:id="rId4"/>
    <sheet name="CC3_DaftarEmail" sheetId="3115" r:id="rId5"/>
    <sheet name="RPA1_StatusWA" sheetId="3116" r:id="rId6"/>
    <sheet name="VALIDASI EMAIL BUYER" sheetId="3117" r:id="rId7"/>
    <sheet name="RPA1_WA1" sheetId="3118" r:id="rId8"/>
    <sheet name="RPA1_WA2" sheetId="3121" r:id="rId9"/>
  </sheets>
  <functionGroups builtInGroupCount="19"/>
  <definedNames>
    <definedName name="_xlnm._FilterDatabase" localSheetId="4" hidden="1">CC3_DaftarEmail!$A$1:$D$54</definedName>
    <definedName name="_xlnm.Print_Area" localSheetId="6">'VALIDASI EMAIL BUYER'!$A$1:$A$11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3120" l="1"/>
  <c r="B3" i="3120"/>
  <c r="B2" i="3120"/>
  <c r="A4" i="3117"/>
</calcChain>
</file>

<file path=xl/sharedStrings.xml><?xml version="1.0" encoding="utf-8"?>
<sst xmlns="http://schemas.openxmlformats.org/spreadsheetml/2006/main" count="1856" uniqueCount="356">
  <si>
    <t>Lokasi File AR</t>
  </si>
  <si>
    <t>\\10.8.0.35\rpa$\RPA Excel Template\Accounting Finance\Alert AR\File AR</t>
  </si>
  <si>
    <t>PEMBELI</t>
  </si>
  <si>
    <t>INVOICE</t>
  </si>
  <si>
    <t>AMOUNT</t>
  </si>
  <si>
    <t>H&amp;M</t>
  </si>
  <si>
    <t>1407EXPGGXII21</t>
  </si>
  <si>
    <t>1254EXPGGXI2022</t>
  </si>
  <si>
    <t>0117EXPGGII2023</t>
  </si>
  <si>
    <t>0454EXPGGV2023</t>
  </si>
  <si>
    <t>0482EXPGGV2023</t>
  </si>
  <si>
    <t>0485EXPGGV2023</t>
  </si>
  <si>
    <t>suwartini@gistexgroup.com</t>
  </si>
  <si>
    <t>CC</t>
  </si>
  <si>
    <t>fira@gistexgroup.com</t>
  </si>
  <si>
    <t>BERGANS OUTDOOR GMBH</t>
  </si>
  <si>
    <t>0882EXPGGXII2023</t>
  </si>
  <si>
    <t>dsusianti@gistexgroup.com</t>
  </si>
  <si>
    <t>0049EXPGGI2024</t>
  </si>
  <si>
    <t>LI MEI TING</t>
  </si>
  <si>
    <t>afungfung@gistexgroup.com</t>
  </si>
  <si>
    <t>WEARTEX</t>
  </si>
  <si>
    <t>2407EXPGIX19</t>
  </si>
  <si>
    <t>0332EXPGGIII2023</t>
  </si>
  <si>
    <t>H&amp;M HENNES &amp; MAURITZ GBC AB</t>
  </si>
  <si>
    <t>0256EXPGGVII24</t>
  </si>
  <si>
    <t>iretnowati@gistexgroup.com</t>
  </si>
  <si>
    <t>vkristianada@gistexgroup.com</t>
  </si>
  <si>
    <t>CV BI-ENSEI FESYENINDO</t>
  </si>
  <si>
    <t>yhartati@gistexgroup.com</t>
  </si>
  <si>
    <t>snany@gistexgroup.com</t>
  </si>
  <si>
    <t>vebrianto@gistexgroup.com</t>
  </si>
  <si>
    <t>owijaya@gistexgroup.com</t>
  </si>
  <si>
    <t>GAJAH TUNGGAL TBK</t>
  </si>
  <si>
    <t>PT.EIGERINDO MULTI PRODUK INDUSTRI</t>
  </si>
  <si>
    <t>LNurlaela@gistexgroup.com</t>
  </si>
  <si>
    <t>PT.BATUTUA TEMBAGA RAYA</t>
  </si>
  <si>
    <t>PT.BUMI SUKSESINDO</t>
  </si>
  <si>
    <t>PT. FOCUS MARK SEARCH ASIA</t>
  </si>
  <si>
    <t>PT.MERDEKA MINING INDONESIA</t>
  </si>
  <si>
    <t>KARYA SUKSES MANDIRI/KEMAYORAN</t>
  </si>
  <si>
    <t>PERSEROAN TERBATAS - BADAN EKAMITA ARAHTEGAR/KELAPA GADING</t>
  </si>
  <si>
    <t>PT.EKAMITA ARAHTEGAR/GADING SERPONG</t>
  </si>
  <si>
    <t>PT.KINARYA LOKA BUANA/JATIASIH</t>
  </si>
  <si>
    <t>PT.PROTEINDO KARYASEHAT/CIKARANG</t>
  </si>
  <si>
    <t>PT.PROTEINDO KARYASEHAT/DELTAMAS</t>
  </si>
  <si>
    <t>PT.RAGAMSEHAT MULTIFITA/KALIDERES</t>
  </si>
  <si>
    <t>DEDE HERMANTO</t>
  </si>
  <si>
    <t>ywinardy@gistexgroup.com</t>
  </si>
  <si>
    <t>ENDO JUANDA</t>
  </si>
  <si>
    <t>PERSEROAN TERBATAS - BADAN EKAMITA ARAHTEGAR (CIBUBUR)</t>
  </si>
  <si>
    <t>PERSEROAN TERBATAS - BADAN EKAMITA ARAHTEGAR(CIBUBUR)</t>
  </si>
  <si>
    <t>PERSEROAN TERBATAS - BADAN EKAMITA ARAHTEGAR(KELAPA GADING)</t>
  </si>
  <si>
    <t>PT.PROTEINDO KARYASEHAT (BEKASI BARAT)</t>
  </si>
  <si>
    <t>PT.PROTEINDO KARYASEHAT (BINTARO)</t>
  </si>
  <si>
    <t>PT.PROTEINDO KARYASEHAT (DELTAMAS)</t>
  </si>
  <si>
    <t>PT.PROTEINDO KARYASEHAT (DEPOK)</t>
  </si>
  <si>
    <t>PT.PROTEINDO KARYASEHAT (GRAND WISATA)</t>
  </si>
  <si>
    <t>PT.PROTEINDO KARYASEHAT (GRANDWISATA)</t>
  </si>
  <si>
    <t>PT.PROTEINDO KARYASEHAT(BEKASI BARAT)</t>
  </si>
  <si>
    <t>PT.PROTEINDO KARYASEHAT(BEKASI TIMUR)</t>
  </si>
  <si>
    <t>PT.PROTEINDO KARYASEHAT(BINTARO)</t>
  </si>
  <si>
    <t>PT.PROTEINDO KARYASEHAT(CIKARANG)</t>
  </si>
  <si>
    <t>PT.PROTEINDO KARYASEHAT/BEKASI TIMUR</t>
  </si>
  <si>
    <t>PT.RAGAMSEHAT MULTIFITA (DEPOK)</t>
  </si>
  <si>
    <t>PT.RAGAMSEHAT MULTIFITA (PAMULANG)</t>
  </si>
  <si>
    <t>PT.RAGAMSEHAT MULTIFITA(KALIDERES)</t>
  </si>
  <si>
    <t>PT.RAGAMSEHAT MULTIFITA(PAMULANG)</t>
  </si>
  <si>
    <t>PT. FILAMENDO SAKTI</t>
  </si>
  <si>
    <t>030/GGI/05/III/2023</t>
  </si>
  <si>
    <t>001/GGI/04/VI/2024</t>
  </si>
  <si>
    <t>002/GGI/04/IV/2024</t>
  </si>
  <si>
    <t>014/GGI/05/IV/2023</t>
  </si>
  <si>
    <t>006/GGI/05/VII/2024</t>
  </si>
  <si>
    <t>041/GGI/05/IV/2024</t>
  </si>
  <si>
    <t>012/GGI/05/V/2024</t>
  </si>
  <si>
    <t>028/GGI/05/V/2024</t>
  </si>
  <si>
    <t>049/GGI/05/V/2024</t>
  </si>
  <si>
    <t>026/GGI/05/VI/2024</t>
  </si>
  <si>
    <t>036/GGI/05/VI/2024</t>
  </si>
  <si>
    <t>071/GGI/05/V/2024</t>
  </si>
  <si>
    <t>059/GGI/05/V/2024</t>
  </si>
  <si>
    <t>036/GGI/05/V/2024</t>
  </si>
  <si>
    <t>093/GGI/05/V/2024</t>
  </si>
  <si>
    <t>040/GGI/05/IV/2024</t>
  </si>
  <si>
    <t>045/GGI/05/VI/2024</t>
  </si>
  <si>
    <t>005/GGI/05/VII/2024</t>
  </si>
  <si>
    <t>018/GGI/05/IV/2022</t>
  </si>
  <si>
    <t>008/GGI/05/VII/2024</t>
  </si>
  <si>
    <t>052/GGI/05/VIII/2024</t>
  </si>
  <si>
    <t>001/GGI/05/VII/2024</t>
  </si>
  <si>
    <t>004/GGI/05/VII/2024</t>
  </si>
  <si>
    <t>007/GGI/05/VII/2024</t>
  </si>
  <si>
    <t>001/GGI/05/VIII/2024</t>
  </si>
  <si>
    <t>036/GGI/05/IV/2024</t>
  </si>
  <si>
    <t>014/GGI/05/V/2024</t>
  </si>
  <si>
    <t>032/GGI/05/V/2024</t>
  </si>
  <si>
    <t>042/GGI/05/V/2024</t>
  </si>
  <si>
    <t>042/GGI/05/IV/2024</t>
  </si>
  <si>
    <t>044/GGI/05/V/2024</t>
  </si>
  <si>
    <t>024/GGI/05/V/2024</t>
  </si>
  <si>
    <t>038/GGI/05/III/2024</t>
  </si>
  <si>
    <t>030/GGI/05/VI/2024</t>
  </si>
  <si>
    <t>077GGI/05/V/2024</t>
  </si>
  <si>
    <t>020/GGI/05/VI/2024</t>
  </si>
  <si>
    <t>026/GGI/05/V/2024</t>
  </si>
  <si>
    <t>018/GGI/05/VI/2024</t>
  </si>
  <si>
    <t>024/GGI/05/VI/2024</t>
  </si>
  <si>
    <t>022/GGI/05/VI/2024</t>
  </si>
  <si>
    <t>032/GGI/05/VI/2024</t>
  </si>
  <si>
    <t>067/GGI/05/V/2024</t>
  </si>
  <si>
    <t>065/GGI/05/V/2024</t>
  </si>
  <si>
    <t>018/GGI/05/V/2024</t>
  </si>
  <si>
    <t>030/GGI/05/V/2024</t>
  </si>
  <si>
    <t>051/GGI/05/V/2024</t>
  </si>
  <si>
    <t>063/GGI/05/V/2024</t>
  </si>
  <si>
    <t>022/GGI/05/V/2024</t>
  </si>
  <si>
    <t>035/GGI/05/IV/2024</t>
  </si>
  <si>
    <t>008/GGI/05/VI/2024</t>
  </si>
  <si>
    <t>038/GGI/05/IV/2024</t>
  </si>
  <si>
    <t>039/GGI/05/IV/2024</t>
  </si>
  <si>
    <t>006/GGI/05/VI/2024</t>
  </si>
  <si>
    <t>010/GGI/05/VI/2024</t>
  </si>
  <si>
    <t xml:space="preserve"> 034/GGI/05/VI/2024</t>
  </si>
  <si>
    <t>028/GGI/05/VI/2024</t>
  </si>
  <si>
    <t>034/GGI/05/V/2024</t>
  </si>
  <si>
    <t>047/GGI/05/V/2024</t>
  </si>
  <si>
    <t>061/GGI/05/V/2024</t>
  </si>
  <si>
    <t>073/GGI/05/V/2024</t>
  </si>
  <si>
    <t>037/GGI/05/IV/2024</t>
  </si>
  <si>
    <t>004/GGI/05/VI/2024</t>
  </si>
  <si>
    <t>ekasari@gistexgroup.com</t>
  </si>
  <si>
    <t>MARUBENI FASHION LINK, LTD.</t>
  </si>
  <si>
    <t>0261EXPGGVIII2024</t>
  </si>
  <si>
    <t>0262EXPGGVIII2024</t>
  </si>
  <si>
    <t>BINA HUSADA GEMILANG</t>
  </si>
  <si>
    <t>023/GGI/05/VIII/2024</t>
  </si>
  <si>
    <t>007/GGI/05/VIII/2024</t>
  </si>
  <si>
    <t>019/GGI/05/VIII/2024</t>
  </si>
  <si>
    <t>021/GGI/05/VIII/2024</t>
  </si>
  <si>
    <t>0011/GGI/05/VIII/2024</t>
  </si>
  <si>
    <t>004/GGI/05/VIII/2024</t>
  </si>
  <si>
    <t xml:space="preserve"> 013/GGI/05/VIII/2024</t>
  </si>
  <si>
    <t>015/GGI/05/VIII/2024</t>
  </si>
  <si>
    <t>017/GGI/05/VIII/2024</t>
  </si>
  <si>
    <t>009/GGI/05/VIII/2024</t>
  </si>
  <si>
    <t>AGRON INC C/O STRAUB COLLABORATIVE</t>
  </si>
  <si>
    <t>0285EXPGGVIII2024</t>
  </si>
  <si>
    <t>0263EXPGGVIII2024</t>
  </si>
  <si>
    <t>036/GGI/05/VIII/2024</t>
  </si>
  <si>
    <t>037/GGI/05/VIII/2024</t>
  </si>
  <si>
    <t>PT.ALPEN AGUNGKARYA (KENJERAN)</t>
  </si>
  <si>
    <t>031/GGI/05/VIII/2024</t>
  </si>
  <si>
    <t>045/GGI/05/VIII/2024</t>
  </si>
  <si>
    <t>PT.ANUGERAH RETAIL KARYA</t>
  </si>
  <si>
    <t>027/GGI/05/VIII/2024</t>
  </si>
  <si>
    <t>053/GGI/05/VIII/2024</t>
  </si>
  <si>
    <t>047/GGI/05/VIII/2024</t>
  </si>
  <si>
    <t>PT.EKAMITA ARAHTEGAR (SLAWI)</t>
  </si>
  <si>
    <t>029/GGI/05/VIII/2024</t>
  </si>
  <si>
    <t>043/GGI/05/VIII/2024</t>
  </si>
  <si>
    <t>030/GGI/05/VIII/2024</t>
  </si>
  <si>
    <t>028/GGI/05/VIII/2024</t>
  </si>
  <si>
    <t>041/GGI/05/VIII/2024</t>
  </si>
  <si>
    <t>039/GGI/05/VIII/2024</t>
  </si>
  <si>
    <t>PT. MULTITREND INDO</t>
  </si>
  <si>
    <t>G-III APPAREL GROUP.LTD.</t>
  </si>
  <si>
    <t>REMCO C/O ADIDAS CANADA</t>
  </si>
  <si>
    <t>ADIDAS CANADA LIMITED</t>
  </si>
  <si>
    <t>0283EXPGGVIII2024</t>
  </si>
  <si>
    <t>0284EXPGGVIII2024</t>
  </si>
  <si>
    <t>0288EXPGGVIII2024</t>
  </si>
  <si>
    <t>0289EXPGGVIII2024</t>
  </si>
  <si>
    <t>062/GGI/05/VIII/2024</t>
  </si>
  <si>
    <t>055/GGI/05/VIII/2024</t>
  </si>
  <si>
    <t>PT.ALPEN AGUNGKARYA (PONDOK TJANDRA)</t>
  </si>
  <si>
    <t>060/GGI/05/VIII/2024</t>
  </si>
  <si>
    <t>PT.ALPEN AGUNGKARYA (SURABAYA)</t>
  </si>
  <si>
    <t>056/GGI/05/VIII/2024</t>
  </si>
  <si>
    <t>PT.ALPEN AGUNGKARYA (WARU)</t>
  </si>
  <si>
    <t>057/GGI/05/VIII/2024</t>
  </si>
  <si>
    <t>051/GGI/05/VII/2024</t>
  </si>
  <si>
    <t>054/GGI/05/VIII/2024</t>
  </si>
  <si>
    <t>050/GGI/05/VIII/2024</t>
  </si>
  <si>
    <t>063/GGI/05/VIII/2024</t>
  </si>
  <si>
    <t xml:space="preserve"> 058/GGI/05/VIII/2024</t>
  </si>
  <si>
    <t>Buyers</t>
  </si>
  <si>
    <t>TERDAPAT BUYER YG TIDAK MEMILIKI EMAIL</t>
  </si>
  <si>
    <t>Mohon Lengkapi Alamat Email dan CC Email pada file AR:</t>
  </si>
  <si>
    <t>PROSES MACRO_RPA ALERT AR DIHENTIKAN!</t>
  </si>
  <si>
    <t>Macro Alert AR akan dijalankan kembali pada Pukul 11-00 WIB, mohon untuk segera update data emailnya sebelum pkl 11-00 WIB, jika data tidak diupdate maka buyer tersebut tidak akan di proses Alert AR</t>
  </si>
  <si>
    <t>Marketing</t>
  </si>
  <si>
    <t>Email</t>
  </si>
  <si>
    <t>ADIDAS COSTCO AUSTRALIA</t>
  </si>
  <si>
    <t>Diana</t>
  </si>
  <si>
    <t>AGRON, INC</t>
  </si>
  <si>
    <t>Suwartini</t>
  </si>
  <si>
    <t>JC PENNEY</t>
  </si>
  <si>
    <t>Fung2</t>
  </si>
  <si>
    <t xml:space="preserve">MARUBENI CORPORATION </t>
  </si>
  <si>
    <t>MARUBENI CORPORATION B356</t>
  </si>
  <si>
    <t>Nunung</t>
  </si>
  <si>
    <t>nhalimah@gistexgroup.com</t>
  </si>
  <si>
    <t>MARUBENI CORPORATION JEPANG</t>
  </si>
  <si>
    <t>SHINATOMO CO .,LTD</t>
  </si>
  <si>
    <t>Synta</t>
  </si>
  <si>
    <t>skusnadi@gistexgroup.com</t>
  </si>
  <si>
    <t>Mey</t>
  </si>
  <si>
    <t>RED WING SHOE COMPANY LLC</t>
  </si>
  <si>
    <t>MARUBENI FASHION LINK LTD.</t>
  </si>
  <si>
    <t>Eka</t>
  </si>
  <si>
    <t>Yuli</t>
  </si>
  <si>
    <t>Sari</t>
  </si>
  <si>
    <t>ENDO  JUANDA</t>
  </si>
  <si>
    <t>Fery</t>
  </si>
  <si>
    <t>PT. HAHA BANDUNG SEJAHTERA</t>
  </si>
  <si>
    <t>Lilis</t>
  </si>
  <si>
    <t>PT.RUMAH MEBEL NUSANTARA</t>
  </si>
  <si>
    <t>UTEP ABDUL NASIR</t>
  </si>
  <si>
    <t>UUS SUBAKTI</t>
  </si>
  <si>
    <t>VIGINDO INTI USAHA PERDANA</t>
  </si>
  <si>
    <t>YAYASAN BUDDHA TZU CHI MEDIKA INDONESIA</t>
  </si>
  <si>
    <t>BUNTARA ARI SURYA</t>
  </si>
  <si>
    <t>ekartiwa@gistexgroup.com</t>
  </si>
  <si>
    <t>chalim@gistexgroup.com</t>
  </si>
  <si>
    <t>INDRIANI SUTRISNA,SH</t>
  </si>
  <si>
    <t>PANI BERSAMA TAMBANG</t>
  </si>
  <si>
    <t>PT. AKUR PRATAMA</t>
  </si>
  <si>
    <t>PT.ASMARA KARYA ABADI</t>
  </si>
  <si>
    <t>PT.FINDORA INTERNUSA</t>
  </si>
  <si>
    <t>PT.GORONTALO SEJAHTERA MINING</t>
  </si>
  <si>
    <t>PUNCAK EMAS TANI SEJAHTERA</t>
  </si>
  <si>
    <t>INNOVATIV INC</t>
  </si>
  <si>
    <t>Yogi</t>
  </si>
  <si>
    <t>HEXAPOLE COMPANY LIMITED</t>
  </si>
  <si>
    <t>MARUBENI INTEX CO. , LTD.</t>
  </si>
  <si>
    <t>PEMBELI 2</t>
  </si>
  <si>
    <t>BU</t>
  </si>
  <si>
    <t>TANGGAL PEB</t>
  </si>
  <si>
    <t>NO PEB</t>
  </si>
  <si>
    <t>NO KPBC</t>
  </si>
  <si>
    <t>NEGARA TUJUAN</t>
  </si>
  <si>
    <t>PO NO</t>
  </si>
  <si>
    <t>STYLE</t>
  </si>
  <si>
    <t>CUSTOMER NO</t>
  </si>
  <si>
    <t>TGL BAYAR</t>
  </si>
  <si>
    <t>BANK</t>
  </si>
  <si>
    <t>REF NO</t>
  </si>
  <si>
    <t>UPDATE</t>
  </si>
  <si>
    <t>BERGANS</t>
  </si>
  <si>
    <t>DE</t>
  </si>
  <si>
    <t>LSPANHEX3067      S24</t>
  </si>
  <si>
    <t>LPANTHEX3187      S24</t>
  </si>
  <si>
    <t>SPANTHEX3190      S24</t>
  </si>
  <si>
    <t>LPANTHEX3210      S24</t>
  </si>
  <si>
    <t>SPANTHEX3212      S24</t>
  </si>
  <si>
    <t>LPANTHEX3186      S24</t>
  </si>
  <si>
    <t>SPANTHEX3189      S24</t>
  </si>
  <si>
    <t>LPANTHEX3209      S24</t>
  </si>
  <si>
    <t>SPANTHEX3211      S24</t>
  </si>
  <si>
    <t>043909</t>
  </si>
  <si>
    <t>LSPANHEX3067      1S24</t>
  </si>
  <si>
    <t>LPANTHEX3186      1S24</t>
  </si>
  <si>
    <t>LPANTHEX3209      1S24</t>
  </si>
  <si>
    <t>LPANTHEX3210      1S24</t>
  </si>
  <si>
    <t>SPANTHEX3211      1S24</t>
  </si>
  <si>
    <t>SPANTHEX3212      1S24</t>
  </si>
  <si>
    <t>HDRKRHEX3527      S24</t>
  </si>
  <si>
    <t>879153</t>
  </si>
  <si>
    <t>040300</t>
  </si>
  <si>
    <t>HR</t>
  </si>
  <si>
    <t>SHIRTHNM223262HR  /S5</t>
  </si>
  <si>
    <t>832201</t>
  </si>
  <si>
    <t>BE</t>
  </si>
  <si>
    <t>BOXERHNM427471NLBE/S7</t>
  </si>
  <si>
    <t>GB</t>
  </si>
  <si>
    <t>BOXERHNM464469NLGB/S7</t>
  </si>
  <si>
    <t>TH</t>
  </si>
  <si>
    <t>BOXERHNM517319OL  /S8</t>
  </si>
  <si>
    <t>MY</t>
  </si>
  <si>
    <t>AE</t>
  </si>
  <si>
    <t>BOXERHNM517319OD  /S8</t>
  </si>
  <si>
    <t>418367</t>
  </si>
  <si>
    <t>050100</t>
  </si>
  <si>
    <t>HK</t>
  </si>
  <si>
    <t>WEARTEX PTY LTD</t>
  </si>
  <si>
    <t>AU</t>
  </si>
  <si>
    <t>LSVSHWTXWEARTEX 1 SN22</t>
  </si>
  <si>
    <t>LSVSHWTXWEARTEX 2 SN22</t>
  </si>
  <si>
    <t>TROUSWTXWEARTEX 3 SN22</t>
  </si>
  <si>
    <t>TROUSWTXWEARTEX 4 SN22</t>
  </si>
  <si>
    <t>KR</t>
  </si>
  <si>
    <t xml:space="preserve">BOXERHNM902788KR  </t>
  </si>
  <si>
    <t>NISHIMATSUYA</t>
  </si>
  <si>
    <t>JP</t>
  </si>
  <si>
    <t>LEG  MFL24140N    24AH</t>
  </si>
  <si>
    <t>LEG  MFL54142N    24AH</t>
  </si>
  <si>
    <t>LEG  MFL54145N    24AH</t>
  </si>
  <si>
    <t>LEG  MFL24140     23AH</t>
  </si>
  <si>
    <t>LEG  MFL54142     24AH</t>
  </si>
  <si>
    <t>LEG  MFL28142     24AH</t>
  </si>
  <si>
    <t>LEG  MFL54145     24AH</t>
  </si>
  <si>
    <t>LEG  MFL28145     24AH</t>
  </si>
  <si>
    <t>LEG  MFL54156     24AH</t>
  </si>
  <si>
    <t>TSHRTMFL34106     24AH</t>
  </si>
  <si>
    <t>SHIRTMFL34613     24AH</t>
  </si>
  <si>
    <t>SHIRTMFL08613     24AH</t>
  </si>
  <si>
    <t>BLS  MFL34ML102   24AH</t>
  </si>
  <si>
    <t>BLS  MFL08ML102   24AH</t>
  </si>
  <si>
    <t>SUITSMFLG1403     24AH</t>
  </si>
  <si>
    <t>SUITSMFLG1702     24AH</t>
  </si>
  <si>
    <t>ADIDAS</t>
  </si>
  <si>
    <t>US</t>
  </si>
  <si>
    <t>BRF  ADS5160289   SMS</t>
  </si>
  <si>
    <t>BRF  ADS5160293   SMS</t>
  </si>
  <si>
    <t>BRF  ADS5160301   SMS</t>
  </si>
  <si>
    <t>BRF  ADS5160291   SMS</t>
  </si>
  <si>
    <t>BRF  ADS5160300   SMS</t>
  </si>
  <si>
    <t>BRF  ADS5160295   SMS</t>
  </si>
  <si>
    <t>BRF  ADS5160288   SMS</t>
  </si>
  <si>
    <t>BRF  ADS5160297   SMS</t>
  </si>
  <si>
    <t>CA</t>
  </si>
  <si>
    <t>TOMMY</t>
  </si>
  <si>
    <t>HOODITMHA1GK1LB6ROHL24</t>
  </si>
  <si>
    <t>DRESSTMHP4IK1KTC  HL24</t>
  </si>
  <si>
    <t>HOODITMHP1GK1LB6  HL24</t>
  </si>
  <si>
    <t>HOODITMHA4IK0392ROHL24</t>
  </si>
  <si>
    <t>DRESSTMHA4IK1KTCROHL24</t>
  </si>
  <si>
    <t>HOODITMHA1GK1JCAROHL24</t>
  </si>
  <si>
    <t>HOODITMHA1GA1KRLROHL24</t>
  </si>
  <si>
    <t>HOODITMHP1GA1KRL  HL24</t>
  </si>
  <si>
    <t>HOODITMHA1GK1LB6BUHL24</t>
  </si>
  <si>
    <t>HOODITMHA4IK0392BUHL24</t>
  </si>
  <si>
    <t>DRESSTMHA4IK1KTCBUHL24</t>
  </si>
  <si>
    <t>HOODITMHA1GK1JCABUHL24</t>
  </si>
  <si>
    <t>HOODITMHA1GA1KRLBUHL24</t>
  </si>
  <si>
    <t>EMAIL</t>
  </si>
  <si>
    <t>STATUS</t>
  </si>
  <si>
    <t>Tidak Ditemukan</t>
  </si>
  <si>
    <t>STATUS WA</t>
  </si>
  <si>
    <t>Santi Silalahi</t>
  </si>
  <si>
    <t>Lokasi File Pdf</t>
  </si>
  <si>
    <t>Nama File Pdf</t>
  </si>
  <si>
    <t>Validasi Email Alert AR.Pdf</t>
  </si>
  <si>
    <t>Buyers:</t>
  </si>
  <si>
    <t>Hadi Charn</t>
  </si>
  <si>
    <t>KONTAK WA1</t>
  </si>
  <si>
    <t>KONTAK WA2</t>
  </si>
  <si>
    <t>RPA GGI &amp; Makro GGI</t>
  </si>
  <si>
    <t>ATTACHMENT</t>
  </si>
  <si>
    <t>PESAN</t>
  </si>
  <si>
    <t>DONE: MACRO_RPA - VALIDASI EMIAL Alert AR</t>
  </si>
  <si>
    <t>\\10.8.0.35\rpa$\RPA Excel Template\Accounting Finance\Alert AR\MACRO_RPA - VALIDASI EMIAL Alert AR\.Results</t>
  </si>
  <si>
    <t>\\10.8.0.35\rpa$\RPA Excel Template\Accounting Finance\Alert AR\MACRO_RPA - VALIDASI EMIAL Alert AR\.Results\Validasi Email Alert AR.Pdf</t>
  </si>
  <si>
    <t>Lokasi File Macro</t>
  </si>
  <si>
    <t>\\10.8.0.35\rpa$\RPA Excel Template\Accounting Finance\Alert AR\BACKUP\MACRO_RPA - VALIDASI EMIAL Alert AR\New folder\MACRO_RPA - VALIDASI EMIAL Alert AR.xlsm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</si>
</sst>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_);_(* \(#,##0.00\);_(* \-??_);_(@_)"/>
    <numFmt numFmtId="165" formatCode="d\-mmm\-yy;@"/>
    <numFmt numFmtId="166" formatCode="[$-409]d\-mmm\-yy;@"/>
  </numFmts>
  <fonts count="11" x14ac:knownFonts="1">
    <font>
      <sz val="11"/>
      <color theme="1"/>
      <name val="Calibri"/>
      <family val="2"/>
      <scheme val="minor"/>
    </font>
    <font>
      <sz val="11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0"/>
      <name val="Arial"/>
      <family val="2"/>
    </font>
    <font>
      <b/>
      <i/>
      <u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1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  <xf numFmtId="0" fontId="5" fillId="0" borderId="0"/>
    <xf numFmtId="164" fontId="5" fillId="0" borderId="0" applyFill="0" applyBorder="0" applyAlignment="0" applyProtection="0"/>
  </cellStyleXfs>
  <cellXfs count="31">
    <xf numFmtId="0" fontId="0" fillId="0" borderId="0" xfId="0"/>
    <xf numFmtId="0" fontId="3" fillId="0" borderId="0" xfId="0" applyFont="1"/>
    <xf numFmtId="43" fontId="0" fillId="0" borderId="0" xfId="0" applyNumberFormat="1"/>
    <xf numFmtId="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6" fillId="0" borderId="0" xfId="0" applyFont="1" applyAlignment="1">
      <alignment wrapText="1"/>
    </xf>
    <xf numFmtId="0" fontId="0" fillId="2" borderId="0" xfId="0" applyFill="1"/>
    <xf numFmtId="0" fontId="7" fillId="0" borderId="3" xfId="1" applyFont="1" applyBorder="1" applyAlignment="1">
      <alignment horizontal="left" vertical="center"/>
    </xf>
    <xf numFmtId="0" fontId="7" fillId="0" borderId="3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1" applyFont="1" applyAlignment="1">
      <alignment horizontal="left" vertical="center"/>
    </xf>
    <xf numFmtId="0" fontId="8" fillId="0" borderId="0" xfId="3" applyFont="1" applyFill="1" applyBorder="1" applyAlignment="1">
      <alignment horizontal="left"/>
    </xf>
    <xf numFmtId="0" fontId="9" fillId="0" borderId="0" xfId="5" applyFont="1" applyAlignment="1">
      <alignment horizontal="left" vertical="center"/>
    </xf>
    <xf numFmtId="0" fontId="10" fillId="0" borderId="0" xfId="4" applyFont="1" applyAlignment="1">
      <alignment horizontal="left"/>
    </xf>
    <xf numFmtId="0" fontId="8" fillId="0" borderId="0" xfId="5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3" applyFill="1" applyBorder="1" applyAlignment="1">
      <alignment horizontal="left"/>
    </xf>
    <xf numFmtId="0" fontId="2" fillId="0" borderId="0" xfId="3" applyAlignment="1">
      <alignment horizontal="left"/>
    </xf>
    <xf numFmtId="0" fontId="2" fillId="0" borderId="0" xfId="3"/>
    <xf numFmtId="0" fontId="1" fillId="0" borderId="4" xfId="0" applyFont="1" applyBorder="1"/>
    <xf numFmtId="0" fontId="5" fillId="0" borderId="3" xfId="5" applyBorder="1" applyAlignment="1">
      <alignment horizontal="left" vertical="center" wrapText="1"/>
    </xf>
    <xf numFmtId="0" fontId="5" fillId="0" borderId="3" xfId="5" applyBorder="1" applyAlignment="1">
      <alignment vertical="center" wrapText="1"/>
    </xf>
    <xf numFmtId="166" fontId="0" fillId="0" borderId="0" xfId="0" applyNumberFormat="1"/>
    <xf numFmtId="44" fontId="0" fillId="0" borderId="0" xfId="0" applyNumberFormat="1"/>
    <xf numFmtId="14" fontId="0" fillId="0" borderId="0" xfId="0" applyNumberFormat="1"/>
    <xf numFmtId="0" fontId="3" fillId="3" borderId="1" xfId="0" applyFont="1" applyFill="1" applyBorder="1"/>
    <xf numFmtId="0" fontId="3" fillId="3" borderId="5" xfId="0" applyFont="1" applyFill="1" applyBorder="1"/>
    <xf numFmtId="0" fontId="4" fillId="4" borderId="2" xfId="3" applyFont="1" applyFill="1" applyBorder="1"/>
    <xf numFmtId="0" fontId="7" fillId="4" borderId="2" xfId="3" applyFont="1" applyFill="1" applyBorder="1"/>
    <xf numFmtId="0" fontId="2" fillId="4" borderId="2" xfId="3" applyFill="1" applyBorder="1"/>
  </cellXfs>
  <cellStyles count="7">
    <cellStyle name="20% - Accent1 71" xfId="2" xr:uid="{8E1E7D97-A74D-40AA-A597-6126E6967BC1}"/>
    <cellStyle name="20% - Accent1 87" xfId="1" xr:uid="{F01E732D-76D8-4182-9C1C-3564752E6FF8}"/>
    <cellStyle name="Comma 4" xfId="6" xr:uid="{ED464040-DA1E-4683-95AF-75132FBC814D}"/>
    <cellStyle name="Hyperlink" xfId="3" builtinId="8"/>
    <cellStyle name="Normal" xfId="0" builtinId="0"/>
    <cellStyle name="Normal 2" xfId="4" xr:uid="{D20E8184-9C13-43C1-ABF8-59C955680480}"/>
    <cellStyle name="Normal 2 2 2" xfId="5" xr:uid="{54794776-3432-4EBC-80FA-601FBD307278}"/>
  </cellStyles>
  <dxfs count="0"/>
  <tableStyles count="0" defaultTableStyle="TableStyleMedium2" defaultPivotStyle="PivotStyleLight16"/>
  <colors>
    <mruColors>
      <color rgb="FF0D8F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2</xdr:row>
      <xdr:rowOff>104774</xdr:rowOff>
    </xdr:from>
    <xdr:to>
      <xdr:col>2</xdr:col>
      <xdr:colOff>342900</xdr:colOff>
      <xdr:row>5</xdr:row>
      <xdr:rowOff>95249</xdr:rowOff>
    </xdr:to>
    <xdr:sp macro="[0]!BTN_PROS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5B17872-3CAC-76D2-05E0-35B32F957907}"/>
            </a:ext>
          </a:extLst>
        </xdr:cNvPr>
        <xdr:cNvSpPr/>
      </xdr:nvSpPr>
      <xdr:spPr>
        <a:xfrm>
          <a:off x="314325" y="485774"/>
          <a:ext cx="1247775" cy="581025"/>
        </a:xfrm>
        <a:prstGeom prst="roundRect">
          <a:avLst/>
        </a:prstGeom>
        <a:solidFill>
          <a:schemeClr val="tx2">
            <a:lumMod val="50000"/>
          </a:schemeClr>
        </a:solidFill>
        <a:ln w="28575">
          <a:noFill/>
        </a:ln>
        <a:effectLst>
          <a:outerShdw blurRad="149987" dist="114300" dir="2580000" sx="103000" sy="103000" algn="ctr">
            <a:srgbClr val="000000">
              <a:alpha val="62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001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chemeClr val="bg1"/>
              </a:solidFill>
              <a:latin typeface="Comic Sans MS" panose="030F0702030302020204" pitchFamily="66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../../MACRO_RPA%20-%20VALIDASI%20EMIAL%20Alert%20AR/.Results" TargetMode="External"/><Relationship Id="rId1" Type="http://schemas.openxmlformats.org/officeDocument/2006/relationships/hyperlink" Target="../../File%20AR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vebrianto@gistexgroup.com" TargetMode="External"/><Relationship Id="rId13" Type="http://schemas.openxmlformats.org/officeDocument/2006/relationships/hyperlink" Target="mailto:snany@gistexgroup.com" TargetMode="External"/><Relationship Id="rId18" Type="http://schemas.openxmlformats.org/officeDocument/2006/relationships/hyperlink" Target="mailto:snany@gistexgroup.com" TargetMode="External"/><Relationship Id="rId26" Type="http://schemas.openxmlformats.org/officeDocument/2006/relationships/hyperlink" Target="mailto:vkristianada@gistexgroup.com" TargetMode="External"/><Relationship Id="rId3" Type="http://schemas.openxmlformats.org/officeDocument/2006/relationships/hyperlink" Target="mailto:afungfung@gistexgroup.com" TargetMode="External"/><Relationship Id="rId21" Type="http://schemas.openxmlformats.org/officeDocument/2006/relationships/hyperlink" Target="mailto:snany@gistexgroup.com" TargetMode="External"/><Relationship Id="rId7" Type="http://schemas.openxmlformats.org/officeDocument/2006/relationships/hyperlink" Target="mailto:vebrianto@gistexgroup.com" TargetMode="External"/><Relationship Id="rId12" Type="http://schemas.openxmlformats.org/officeDocument/2006/relationships/hyperlink" Target="mailto:snany@gistexgroup.com" TargetMode="External"/><Relationship Id="rId17" Type="http://schemas.openxmlformats.org/officeDocument/2006/relationships/hyperlink" Target="mailto:snany@gistexgroup.com" TargetMode="External"/><Relationship Id="rId25" Type="http://schemas.openxmlformats.org/officeDocument/2006/relationships/hyperlink" Target="mailto:snany@gistexgroup.com" TargetMode="External"/><Relationship Id="rId2" Type="http://schemas.openxmlformats.org/officeDocument/2006/relationships/hyperlink" Target="mailto:myufandila@gistexgroup.com" TargetMode="External"/><Relationship Id="rId16" Type="http://schemas.openxmlformats.org/officeDocument/2006/relationships/hyperlink" Target="mailto:snany@gistexgroup.com" TargetMode="External"/><Relationship Id="rId20" Type="http://schemas.openxmlformats.org/officeDocument/2006/relationships/hyperlink" Target="mailto:iretnowati@gistexgroup.com" TargetMode="External"/><Relationship Id="rId1" Type="http://schemas.openxmlformats.org/officeDocument/2006/relationships/hyperlink" Target="mailto:ekasari@gistexgroup.com" TargetMode="External"/><Relationship Id="rId6" Type="http://schemas.openxmlformats.org/officeDocument/2006/relationships/hyperlink" Target="mailto:ekasari@gistexgroup.com" TargetMode="External"/><Relationship Id="rId11" Type="http://schemas.openxmlformats.org/officeDocument/2006/relationships/hyperlink" Target="mailto:snany@gistexgroup.com" TargetMode="External"/><Relationship Id="rId24" Type="http://schemas.openxmlformats.org/officeDocument/2006/relationships/hyperlink" Target="mailto:owijaya@gistexgroup.com" TargetMode="External"/><Relationship Id="rId5" Type="http://schemas.openxmlformats.org/officeDocument/2006/relationships/hyperlink" Target="mailto:snany@gistexgroup.com" TargetMode="External"/><Relationship Id="rId15" Type="http://schemas.openxmlformats.org/officeDocument/2006/relationships/hyperlink" Target="mailto:ekartiwa@gistexgroup.com" TargetMode="External"/><Relationship Id="rId23" Type="http://schemas.openxmlformats.org/officeDocument/2006/relationships/hyperlink" Target="mailto:ywinardy@gistexgroup.com" TargetMode="External"/><Relationship Id="rId28" Type="http://schemas.openxmlformats.org/officeDocument/2006/relationships/hyperlink" Target="mailto:snany@gistexgroup.com" TargetMode="External"/><Relationship Id="rId10" Type="http://schemas.openxmlformats.org/officeDocument/2006/relationships/hyperlink" Target="mailto:snany@gistexgroup.com" TargetMode="External"/><Relationship Id="rId19" Type="http://schemas.openxmlformats.org/officeDocument/2006/relationships/hyperlink" Target="mailto:snany@gistexgroup.com" TargetMode="External"/><Relationship Id="rId4" Type="http://schemas.openxmlformats.org/officeDocument/2006/relationships/hyperlink" Target="mailto:vebrianto@gistexgroup.com" TargetMode="External"/><Relationship Id="rId9" Type="http://schemas.openxmlformats.org/officeDocument/2006/relationships/hyperlink" Target="mailto:snany@gistexgroup.com" TargetMode="External"/><Relationship Id="rId14" Type="http://schemas.openxmlformats.org/officeDocument/2006/relationships/hyperlink" Target="mailto:snany@gistexgroup.com" TargetMode="External"/><Relationship Id="rId22" Type="http://schemas.openxmlformats.org/officeDocument/2006/relationships/hyperlink" Target="mailto:ekasari@gistexgroup.com" TargetMode="External"/><Relationship Id="rId27" Type="http://schemas.openxmlformats.org/officeDocument/2006/relationships/hyperlink" Target="mailto:snany@gistexgroup.com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2ED6E-DB7B-42B7-9F3C-A578EEC37797}">
  <sheetPr codeName="Sheet1">
    <tabColor rgb="FFFFC000"/>
  </sheetPr>
  <dimension ref="B3:E25"/>
  <sheetViews>
    <sheetView showGridLines="0" tabSelected="1" workbookViewId="0">
      <selection activeCell="D11" sqref="D11"/>
    </sheetView>
  </sheetViews>
  <sheetFormatPr defaultColWidth="9.140625" defaultRowHeight="15" x14ac:dyDescent="0.25"/>
  <cols>
    <col min="1" max="2" width="9.140625" style="7"/>
    <col min="3" max="3" width="8.5703125" style="7" customWidth="1"/>
    <col min="4" max="4" width="68.5703125" style="7" bestFit="1" customWidth="1"/>
    <col min="5" max="5" width="25" style="7" bestFit="1" customWidth="1"/>
    <col min="6" max="16384" width="9.140625" style="7"/>
  </cols>
  <sheetData>
    <row r="3" spans="2:5" ht="15.75" thickBot="1" x14ac:dyDescent="0.3"/>
    <row r="4" spans="2:5" x14ac:dyDescent="0.25">
      <c r="D4" s="26" t="s">
        <v>0</v>
      </c>
    </row>
    <row r="5" spans="2:5" ht="15.75" thickBot="1" x14ac:dyDescent="0.3">
      <c r="D5" s="28" t="s">
        <v>1</v>
      </c>
    </row>
    <row r="6" spans="2:5" ht="15.75" thickBot="1" x14ac:dyDescent="0.3"/>
    <row r="7" spans="2:5" x14ac:dyDescent="0.25">
      <c r="D7" s="26" t="s">
        <v>341</v>
      </c>
      <c r="E7" s="27" t="s">
        <v>342</v>
      </c>
    </row>
    <row r="8" spans="2:5" ht="15.75" thickBot="1" x14ac:dyDescent="0.3">
      <c r="D8" s="30" t="s">
        <v>352</v>
      </c>
      <c r="E8" s="29" t="s">
        <v>343</v>
      </c>
    </row>
    <row r="9" spans="2:5" ht="15.75" thickBot="1" x14ac:dyDescent="0.3"/>
    <row r="10" spans="2:5" x14ac:dyDescent="0.25">
      <c r="D10" s="26" t="s">
        <v>354</v>
      </c>
    </row>
    <row r="11" spans="2:5" ht="15.75" thickBot="1" x14ac:dyDescent="0.3">
      <c r="D11" s="30" t="s">
        <v>355</v>
      </c>
    </row>
    <row r="13" spans="2:5" x14ac:dyDescent="0.25">
      <c r="B13"/>
    </row>
    <row r="14" spans="2:5" x14ac:dyDescent="0.25">
      <c r="B14" s="1"/>
    </row>
    <row r="15" spans="2:5" x14ac:dyDescent="0.25">
      <c r="B15"/>
    </row>
    <row r="16" spans="2:5" x14ac:dyDescent="0.25">
      <c r="B16"/>
    </row>
    <row r="17" spans="2:2" x14ac:dyDescent="0.25">
      <c r="B17"/>
    </row>
    <row r="18" spans="2:2" x14ac:dyDescent="0.25">
      <c r="B18" s="1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 s="6"/>
    </row>
  </sheetData>
  <hyperlinks>
    <hyperlink ref="D5" r:id="rId1" xr:uid="{CF7CF8C2-441C-4DB1-84CA-A01CE655FC0A}"/>
    <hyperlink ref="D8" r:id="rId2" xr:uid="{C5C3EF80-6C6D-4414-8397-EB2942175B52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7090-6C20-477B-8619-D166CFB09C18}">
  <sheetPr codeName="Sheet79"/>
  <dimension ref="A1:E3"/>
  <sheetViews>
    <sheetView workbookViewId="0">
      <selection activeCell="B6" sqref="B6"/>
    </sheetView>
  </sheetViews>
  <sheetFormatPr defaultRowHeight="15" x14ac:dyDescent="0.25"/>
  <cols>
    <col min="1" max="1" width="14.28515625" customWidth="1"/>
    <col min="2" max="2" width="129.42578125" customWidth="1"/>
    <col min="3" max="3" width="13.28515625" customWidth="1"/>
    <col min="4" max="4" width="19.85546875" bestFit="1" customWidth="1"/>
    <col min="5" max="5" width="42.85546875" bestFit="1" customWidth="1"/>
  </cols>
  <sheetData>
    <row r="1" spans="1:5" x14ac:dyDescent="0.25">
      <c r="A1" s="1" t="s">
        <v>346</v>
      </c>
      <c r="B1" s="1" t="s">
        <v>349</v>
      </c>
      <c r="D1" s="1" t="s">
        <v>347</v>
      </c>
      <c r="E1" s="1" t="s">
        <v>350</v>
      </c>
    </row>
    <row r="2" spans="1:5" x14ac:dyDescent="0.25">
      <c r="A2" t="s">
        <v>340</v>
      </c>
      <c r="B2" t="str">
        <f>TOMBOL!$D$8&amp;"\"&amp;TOMBOL!$E$8</f>
        <v>\\10.8.0.35\rpa$\RPA Excel Template\Accounting Finance\Alert AR\MACRO_RPA - VALIDASI EMIAL Alert AR\.Results\Validasi Email Alert AR.Pdf</v>
      </c>
      <c r="D2" t="s">
        <v>348</v>
      </c>
      <c r="E2" t="str">
        <f>"DONE: " &amp; TOMBOL!D11</f>
        <v>DONE: \\10.8.0.35\rpa$\RPA Excel Template\Accounting Finance\Alert AR\BACKUP\MACRO_RPA - VALIDASI EMIAL Alert AR\New folder\MACRO_RPA - VALIDASI EMIAL Alert AR.xlsm</v>
      </c>
    </row>
    <row r="3" spans="1:5" x14ac:dyDescent="0.25">
      <c r="A3" t="s">
        <v>345</v>
      </c>
      <c r="B3" t="str">
        <f>TOMBOL!$D$8&amp;"\"&amp;TOMBOL!$E$8</f>
        <v>\\10.8.0.35\rpa$\RPA Excel Template\Accounting Finance\Alert AR\MACRO_RPA - VALIDASI EMIAL Alert AR\.Results\Validasi Email Alert AR.Pdf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66AA6-51D5-4282-9F3D-3104D0FC3FFD}">
  <sheetPr codeName="Sheet72"/>
  <dimension ref="A1:Q228"/>
  <sheetViews>
    <sheetView workbookViewId="0"/>
  </sheetViews>
  <sheetFormatPr defaultRowHeight="15" x14ac:dyDescent="0.25"/>
  <cols>
    <col min="1" max="2" width="66" bestFit="1" customWidth="1"/>
    <col min="3" max="3" width="20.85546875" bestFit="1" customWidth="1"/>
    <col min="4" max="4" width="5" bestFit="1" customWidth="1"/>
    <col min="5" max="5" width="13.5703125" bestFit="1" customWidth="1"/>
    <col min="6" max="6" width="7.5703125" bestFit="1" customWidth="1"/>
    <col min="7" max="7" width="8.85546875" bestFit="1" customWidth="1"/>
    <col min="8" max="8" width="16.42578125" bestFit="1" customWidth="1"/>
    <col min="9" max="9" width="16.85546875" bestFit="1" customWidth="1"/>
    <col min="10" max="10" width="6.85546875" bestFit="1" customWidth="1"/>
    <col min="11" max="11" width="27.28515625" bestFit="1" customWidth="1"/>
    <col min="12" max="12" width="14.42578125" bestFit="1" customWidth="1"/>
    <col min="13" max="13" width="10.7109375" bestFit="1" customWidth="1"/>
    <col min="14" max="14" width="6" bestFit="1" customWidth="1"/>
    <col min="15" max="15" width="9.42578125" bestFit="1" customWidth="1"/>
    <col min="16" max="16" width="7.42578125" bestFit="1" customWidth="1"/>
    <col min="17" max="17" width="8.140625" bestFit="1" customWidth="1"/>
  </cols>
  <sheetData>
    <row r="1" spans="1:17" s="1" customFormat="1" x14ac:dyDescent="0.25">
      <c r="A1" s="1" t="s">
        <v>2</v>
      </c>
      <c r="B1" s="1" t="s">
        <v>236</v>
      </c>
      <c r="C1" s="1" t="s">
        <v>3</v>
      </c>
      <c r="D1" s="1" t="s">
        <v>237</v>
      </c>
      <c r="E1" s="1" t="s">
        <v>238</v>
      </c>
      <c r="F1" s="1" t="s">
        <v>239</v>
      </c>
      <c r="G1" s="1" t="s">
        <v>240</v>
      </c>
      <c r="H1" s="1" t="s">
        <v>241</v>
      </c>
      <c r="I1" s="1" t="s">
        <v>4</v>
      </c>
      <c r="J1" s="1" t="s">
        <v>242</v>
      </c>
      <c r="K1" s="1" t="s">
        <v>243</v>
      </c>
      <c r="L1" s="1" t="s">
        <v>244</v>
      </c>
      <c r="M1" s="1" t="s">
        <v>245</v>
      </c>
      <c r="N1" s="1" t="s">
        <v>246</v>
      </c>
      <c r="O1" s="1" t="s">
        <v>4</v>
      </c>
      <c r="P1" s="1" t="s">
        <v>247</v>
      </c>
      <c r="Q1" s="1" t="s">
        <v>248</v>
      </c>
    </row>
    <row r="2" spans="1:17" x14ac:dyDescent="0.25">
      <c r="A2" t="s">
        <v>15</v>
      </c>
      <c r="B2" t="s">
        <v>249</v>
      </c>
      <c r="C2" t="s">
        <v>16</v>
      </c>
      <c r="D2">
        <v>1201</v>
      </c>
      <c r="E2" s="23">
        <v>45281</v>
      </c>
      <c r="F2">
        <v>743664</v>
      </c>
      <c r="H2" t="s">
        <v>250</v>
      </c>
      <c r="I2" s="4">
        <v>2297.6999999999998</v>
      </c>
      <c r="K2" t="s">
        <v>251</v>
      </c>
      <c r="L2">
        <v>57328621</v>
      </c>
      <c r="Q2" t="s">
        <v>248</v>
      </c>
    </row>
    <row r="3" spans="1:17" x14ac:dyDescent="0.25">
      <c r="A3" t="s">
        <v>15</v>
      </c>
      <c r="B3" t="s">
        <v>249</v>
      </c>
      <c r="C3" t="s">
        <v>16</v>
      </c>
      <c r="D3">
        <v>1201</v>
      </c>
      <c r="E3" s="23">
        <v>45281</v>
      </c>
      <c r="F3">
        <v>743664</v>
      </c>
      <c r="H3" t="s">
        <v>250</v>
      </c>
      <c r="I3" s="4">
        <v>2225.5500000000002</v>
      </c>
      <c r="K3" t="s">
        <v>251</v>
      </c>
      <c r="L3">
        <v>57328621</v>
      </c>
      <c r="Q3" t="s">
        <v>248</v>
      </c>
    </row>
    <row r="4" spans="1:17" x14ac:dyDescent="0.25">
      <c r="A4" t="s">
        <v>15</v>
      </c>
      <c r="B4" t="s">
        <v>249</v>
      </c>
      <c r="C4" t="s">
        <v>16</v>
      </c>
      <c r="D4">
        <v>1201</v>
      </c>
      <c r="E4" s="23">
        <v>45281</v>
      </c>
      <c r="F4">
        <v>743664</v>
      </c>
      <c r="H4" t="s">
        <v>250</v>
      </c>
      <c r="I4" s="4">
        <v>4981.8</v>
      </c>
      <c r="K4" t="s">
        <v>252</v>
      </c>
      <c r="L4">
        <v>57328621</v>
      </c>
      <c r="Q4" t="s">
        <v>248</v>
      </c>
    </row>
    <row r="5" spans="1:17" x14ac:dyDescent="0.25">
      <c r="A5" t="s">
        <v>15</v>
      </c>
      <c r="B5" t="s">
        <v>249</v>
      </c>
      <c r="C5" t="s">
        <v>16</v>
      </c>
      <c r="D5">
        <v>1201</v>
      </c>
      <c r="E5" s="23">
        <v>45281</v>
      </c>
      <c r="F5">
        <v>743664</v>
      </c>
      <c r="H5" t="s">
        <v>250</v>
      </c>
      <c r="I5" s="4">
        <v>4822.2</v>
      </c>
      <c r="K5" t="s">
        <v>252</v>
      </c>
      <c r="L5">
        <v>57328621</v>
      </c>
      <c r="Q5" t="s">
        <v>248</v>
      </c>
    </row>
    <row r="6" spans="1:17" x14ac:dyDescent="0.25">
      <c r="A6" t="s">
        <v>15</v>
      </c>
      <c r="B6" t="s">
        <v>249</v>
      </c>
      <c r="C6" t="s">
        <v>16</v>
      </c>
      <c r="D6">
        <v>1201</v>
      </c>
      <c r="E6" s="23">
        <v>45281</v>
      </c>
      <c r="F6">
        <v>743664</v>
      </c>
      <c r="H6" t="s">
        <v>250</v>
      </c>
      <c r="I6" s="4">
        <v>1733.75</v>
      </c>
      <c r="K6" t="s">
        <v>253</v>
      </c>
      <c r="L6">
        <v>57328621</v>
      </c>
      <c r="Q6" t="s">
        <v>248</v>
      </c>
    </row>
    <row r="7" spans="1:17" x14ac:dyDescent="0.25">
      <c r="A7" t="s">
        <v>15</v>
      </c>
      <c r="B7" t="s">
        <v>249</v>
      </c>
      <c r="C7" t="s">
        <v>16</v>
      </c>
      <c r="D7">
        <v>1201</v>
      </c>
      <c r="E7" s="23">
        <v>45281</v>
      </c>
      <c r="F7">
        <v>743664</v>
      </c>
      <c r="H7" t="s">
        <v>250</v>
      </c>
      <c r="I7" s="4">
        <v>2071</v>
      </c>
      <c r="K7" t="s">
        <v>253</v>
      </c>
      <c r="L7">
        <v>57328621</v>
      </c>
      <c r="Q7" t="s">
        <v>248</v>
      </c>
    </row>
    <row r="8" spans="1:17" x14ac:dyDescent="0.25">
      <c r="A8" t="s">
        <v>15</v>
      </c>
      <c r="B8" t="s">
        <v>249</v>
      </c>
      <c r="C8" t="s">
        <v>16</v>
      </c>
      <c r="D8">
        <v>1201</v>
      </c>
      <c r="E8" s="23">
        <v>45281</v>
      </c>
      <c r="F8">
        <v>743664</v>
      </c>
      <c r="H8" t="s">
        <v>250</v>
      </c>
      <c r="I8" s="4">
        <v>7011</v>
      </c>
      <c r="K8" t="s">
        <v>254</v>
      </c>
      <c r="L8">
        <v>57328621</v>
      </c>
      <c r="Q8" t="s">
        <v>248</v>
      </c>
    </row>
    <row r="9" spans="1:17" x14ac:dyDescent="0.25">
      <c r="A9" t="s">
        <v>15</v>
      </c>
      <c r="B9" t="s">
        <v>249</v>
      </c>
      <c r="C9" t="s">
        <v>16</v>
      </c>
      <c r="D9">
        <v>1201</v>
      </c>
      <c r="E9" s="23">
        <v>45281</v>
      </c>
      <c r="F9">
        <v>743664</v>
      </c>
      <c r="H9" t="s">
        <v>250</v>
      </c>
      <c r="I9" s="4">
        <v>2821.5</v>
      </c>
      <c r="K9" t="s">
        <v>254</v>
      </c>
      <c r="L9">
        <v>57328621</v>
      </c>
      <c r="Q9" t="s">
        <v>248</v>
      </c>
    </row>
    <row r="10" spans="1:17" x14ac:dyDescent="0.25">
      <c r="A10" t="s">
        <v>15</v>
      </c>
      <c r="B10" t="s">
        <v>249</v>
      </c>
      <c r="C10" t="s">
        <v>16</v>
      </c>
      <c r="D10">
        <v>1201</v>
      </c>
      <c r="E10" s="23">
        <v>45281</v>
      </c>
      <c r="F10">
        <v>743664</v>
      </c>
      <c r="H10" t="s">
        <v>250</v>
      </c>
      <c r="I10" s="4">
        <v>1966.5</v>
      </c>
      <c r="K10" t="s">
        <v>255</v>
      </c>
      <c r="L10">
        <v>57328621</v>
      </c>
      <c r="Q10" t="s">
        <v>248</v>
      </c>
    </row>
    <row r="11" spans="1:17" x14ac:dyDescent="0.25">
      <c r="A11" t="s">
        <v>15</v>
      </c>
      <c r="B11" t="s">
        <v>249</v>
      </c>
      <c r="C11" t="s">
        <v>16</v>
      </c>
      <c r="D11">
        <v>1201</v>
      </c>
      <c r="E11" s="23">
        <v>45281</v>
      </c>
      <c r="F11">
        <v>743664</v>
      </c>
      <c r="H11" t="s">
        <v>250</v>
      </c>
      <c r="I11" s="4">
        <v>1976</v>
      </c>
      <c r="K11" t="s">
        <v>255</v>
      </c>
      <c r="L11">
        <v>57328621</v>
      </c>
      <c r="Q11" t="s">
        <v>248</v>
      </c>
    </row>
    <row r="12" spans="1:17" x14ac:dyDescent="0.25">
      <c r="A12" t="s">
        <v>15</v>
      </c>
      <c r="B12" t="s">
        <v>249</v>
      </c>
      <c r="C12" t="s">
        <v>16</v>
      </c>
      <c r="D12">
        <v>1201</v>
      </c>
      <c r="E12" s="23">
        <v>45281</v>
      </c>
      <c r="F12">
        <v>743664</v>
      </c>
      <c r="H12" t="s">
        <v>250</v>
      </c>
      <c r="I12" s="4">
        <v>4594.2</v>
      </c>
      <c r="K12" t="s">
        <v>256</v>
      </c>
      <c r="L12">
        <v>57328621</v>
      </c>
      <c r="Q12" t="s">
        <v>248</v>
      </c>
    </row>
    <row r="13" spans="1:17" x14ac:dyDescent="0.25">
      <c r="A13" t="s">
        <v>15</v>
      </c>
      <c r="B13" t="s">
        <v>249</v>
      </c>
      <c r="C13" t="s">
        <v>16</v>
      </c>
      <c r="D13">
        <v>1201</v>
      </c>
      <c r="E13" s="23">
        <v>45281</v>
      </c>
      <c r="F13">
        <v>743664</v>
      </c>
      <c r="H13" t="s">
        <v>250</v>
      </c>
      <c r="I13" s="4">
        <v>4993.2</v>
      </c>
      <c r="K13" t="s">
        <v>256</v>
      </c>
      <c r="L13">
        <v>57328621</v>
      </c>
      <c r="Q13" t="s">
        <v>248</v>
      </c>
    </row>
    <row r="14" spans="1:17" x14ac:dyDescent="0.25">
      <c r="A14" t="s">
        <v>15</v>
      </c>
      <c r="B14" t="s">
        <v>249</v>
      </c>
      <c r="C14" t="s">
        <v>16</v>
      </c>
      <c r="D14">
        <v>1201</v>
      </c>
      <c r="E14" s="23">
        <v>45281</v>
      </c>
      <c r="F14">
        <v>743664</v>
      </c>
      <c r="H14" t="s">
        <v>250</v>
      </c>
      <c r="I14" s="4">
        <v>1862</v>
      </c>
      <c r="K14" t="s">
        <v>257</v>
      </c>
      <c r="L14">
        <v>57328621</v>
      </c>
      <c r="Q14" t="s">
        <v>248</v>
      </c>
    </row>
    <row r="15" spans="1:17" x14ac:dyDescent="0.25">
      <c r="A15" t="s">
        <v>15</v>
      </c>
      <c r="B15" t="s">
        <v>249</v>
      </c>
      <c r="C15" t="s">
        <v>16</v>
      </c>
      <c r="D15">
        <v>1201</v>
      </c>
      <c r="E15" s="23">
        <v>45281</v>
      </c>
      <c r="F15">
        <v>743664</v>
      </c>
      <c r="H15" t="s">
        <v>250</v>
      </c>
      <c r="I15" s="4">
        <v>1966.5</v>
      </c>
      <c r="K15" t="s">
        <v>257</v>
      </c>
      <c r="L15">
        <v>57328621</v>
      </c>
      <c r="Q15" t="s">
        <v>248</v>
      </c>
    </row>
    <row r="16" spans="1:17" x14ac:dyDescent="0.25">
      <c r="A16" t="s">
        <v>15</v>
      </c>
      <c r="B16" t="s">
        <v>249</v>
      </c>
      <c r="C16" t="s">
        <v>16</v>
      </c>
      <c r="D16">
        <v>1201</v>
      </c>
      <c r="E16" s="23">
        <v>45281</v>
      </c>
      <c r="F16">
        <v>743664</v>
      </c>
      <c r="H16" t="s">
        <v>250</v>
      </c>
      <c r="I16" s="4">
        <v>6931.2</v>
      </c>
      <c r="K16" t="s">
        <v>258</v>
      </c>
      <c r="L16">
        <v>57328621</v>
      </c>
      <c r="Q16" t="s">
        <v>248</v>
      </c>
    </row>
    <row r="17" spans="1:17" x14ac:dyDescent="0.25">
      <c r="A17" t="s">
        <v>15</v>
      </c>
      <c r="B17" t="s">
        <v>249</v>
      </c>
      <c r="C17" t="s">
        <v>16</v>
      </c>
      <c r="D17">
        <v>1201</v>
      </c>
      <c r="E17" s="23">
        <v>45281</v>
      </c>
      <c r="F17">
        <v>743664</v>
      </c>
      <c r="H17" t="s">
        <v>250</v>
      </c>
      <c r="I17" s="4">
        <v>2399.6999999999998</v>
      </c>
      <c r="K17" t="s">
        <v>258</v>
      </c>
      <c r="L17">
        <v>57328621</v>
      </c>
      <c r="Q17" t="s">
        <v>248</v>
      </c>
    </row>
    <row r="18" spans="1:17" x14ac:dyDescent="0.25">
      <c r="A18" t="s">
        <v>15</v>
      </c>
      <c r="B18" t="s">
        <v>249</v>
      </c>
      <c r="C18" t="s">
        <v>16</v>
      </c>
      <c r="D18">
        <v>1201</v>
      </c>
      <c r="E18" s="23">
        <v>45281</v>
      </c>
      <c r="F18">
        <v>743664</v>
      </c>
      <c r="H18" t="s">
        <v>250</v>
      </c>
      <c r="I18" s="4">
        <v>3857</v>
      </c>
      <c r="K18" t="s">
        <v>259</v>
      </c>
      <c r="L18">
        <v>57328621</v>
      </c>
      <c r="Q18" t="s">
        <v>248</v>
      </c>
    </row>
    <row r="19" spans="1:17" x14ac:dyDescent="0.25">
      <c r="A19" t="s">
        <v>15</v>
      </c>
      <c r="B19" t="s">
        <v>249</v>
      </c>
      <c r="C19" t="s">
        <v>18</v>
      </c>
      <c r="D19">
        <v>1201</v>
      </c>
      <c r="E19" s="23">
        <v>45322</v>
      </c>
      <c r="F19" t="s">
        <v>260</v>
      </c>
      <c r="H19" t="s">
        <v>250</v>
      </c>
      <c r="I19" s="4">
        <v>3424.35</v>
      </c>
      <c r="K19" t="s">
        <v>261</v>
      </c>
      <c r="L19">
        <v>57328621</v>
      </c>
      <c r="Q19" t="s">
        <v>248</v>
      </c>
    </row>
    <row r="20" spans="1:17" x14ac:dyDescent="0.25">
      <c r="A20" t="s">
        <v>15</v>
      </c>
      <c r="B20" t="s">
        <v>249</v>
      </c>
      <c r="C20" t="s">
        <v>18</v>
      </c>
      <c r="D20">
        <v>1201</v>
      </c>
      <c r="E20" s="23">
        <v>45322</v>
      </c>
      <c r="F20" t="s">
        <v>260</v>
      </c>
      <c r="H20" t="s">
        <v>250</v>
      </c>
      <c r="I20" s="4">
        <v>2292.15</v>
      </c>
      <c r="K20" t="s">
        <v>261</v>
      </c>
      <c r="L20">
        <v>57328621</v>
      </c>
      <c r="Q20" t="s">
        <v>248</v>
      </c>
    </row>
    <row r="21" spans="1:17" x14ac:dyDescent="0.25">
      <c r="A21" t="s">
        <v>15</v>
      </c>
      <c r="B21" t="s">
        <v>249</v>
      </c>
      <c r="C21" t="s">
        <v>18</v>
      </c>
      <c r="D21">
        <v>1201</v>
      </c>
      <c r="E21" s="23">
        <v>45322</v>
      </c>
      <c r="F21" t="s">
        <v>260</v>
      </c>
      <c r="H21" t="s">
        <v>250</v>
      </c>
      <c r="I21" s="4">
        <v>7415.7</v>
      </c>
      <c r="K21" t="s">
        <v>262</v>
      </c>
      <c r="L21">
        <v>57328621</v>
      </c>
      <c r="Q21" t="s">
        <v>248</v>
      </c>
    </row>
    <row r="22" spans="1:17" x14ac:dyDescent="0.25">
      <c r="A22" t="s">
        <v>15</v>
      </c>
      <c r="B22" t="s">
        <v>249</v>
      </c>
      <c r="C22" t="s">
        <v>18</v>
      </c>
      <c r="D22">
        <v>1201</v>
      </c>
      <c r="E22" s="23">
        <v>45322</v>
      </c>
      <c r="F22" t="s">
        <v>260</v>
      </c>
      <c r="H22" t="s">
        <v>250</v>
      </c>
      <c r="I22" s="4">
        <v>2969.7000000000003</v>
      </c>
      <c r="K22" t="s">
        <v>262</v>
      </c>
      <c r="L22">
        <v>57328621</v>
      </c>
      <c r="Q22" t="s">
        <v>248</v>
      </c>
    </row>
    <row r="23" spans="1:17" x14ac:dyDescent="0.25">
      <c r="A23" t="s">
        <v>15</v>
      </c>
      <c r="B23" t="s">
        <v>249</v>
      </c>
      <c r="C23" t="s">
        <v>18</v>
      </c>
      <c r="D23">
        <v>1201</v>
      </c>
      <c r="E23" s="23">
        <v>45322</v>
      </c>
      <c r="F23" t="s">
        <v>260</v>
      </c>
      <c r="H23" t="s">
        <v>250</v>
      </c>
      <c r="I23" s="4">
        <v>4480.2</v>
      </c>
      <c r="K23" t="s">
        <v>262</v>
      </c>
      <c r="L23">
        <v>57328621</v>
      </c>
      <c r="Q23" t="s">
        <v>248</v>
      </c>
    </row>
    <row r="24" spans="1:17" x14ac:dyDescent="0.25">
      <c r="A24" t="s">
        <v>15</v>
      </c>
      <c r="B24" t="s">
        <v>249</v>
      </c>
      <c r="C24" t="s">
        <v>18</v>
      </c>
      <c r="D24">
        <v>1201</v>
      </c>
      <c r="E24" s="23">
        <v>45322</v>
      </c>
      <c r="F24" t="s">
        <v>260</v>
      </c>
      <c r="H24" t="s">
        <v>250</v>
      </c>
      <c r="I24" s="4">
        <v>6463.8</v>
      </c>
      <c r="K24" t="s">
        <v>263</v>
      </c>
      <c r="L24">
        <v>57328621</v>
      </c>
      <c r="Q24" t="s">
        <v>248</v>
      </c>
    </row>
    <row r="25" spans="1:17" x14ac:dyDescent="0.25">
      <c r="A25" t="s">
        <v>15</v>
      </c>
      <c r="B25" t="s">
        <v>249</v>
      </c>
      <c r="C25" t="s">
        <v>18</v>
      </c>
      <c r="D25">
        <v>1201</v>
      </c>
      <c r="E25" s="23">
        <v>45322</v>
      </c>
      <c r="F25" t="s">
        <v>260</v>
      </c>
      <c r="H25" t="s">
        <v>250</v>
      </c>
      <c r="I25" s="4">
        <v>5266.8</v>
      </c>
      <c r="K25" t="s">
        <v>264</v>
      </c>
      <c r="L25">
        <v>57328621</v>
      </c>
      <c r="Q25" t="s">
        <v>248</v>
      </c>
    </row>
    <row r="26" spans="1:17" x14ac:dyDescent="0.25">
      <c r="A26" t="s">
        <v>15</v>
      </c>
      <c r="B26" t="s">
        <v>249</v>
      </c>
      <c r="C26" t="s">
        <v>18</v>
      </c>
      <c r="D26">
        <v>1201</v>
      </c>
      <c r="E26" s="23">
        <v>45322</v>
      </c>
      <c r="F26" t="s">
        <v>260</v>
      </c>
      <c r="H26" t="s">
        <v>250</v>
      </c>
      <c r="I26" s="4">
        <v>2456.7000000000003</v>
      </c>
      <c r="K26" t="s">
        <v>264</v>
      </c>
      <c r="L26">
        <v>57328621</v>
      </c>
      <c r="Q26" t="s">
        <v>248</v>
      </c>
    </row>
    <row r="27" spans="1:17" x14ac:dyDescent="0.25">
      <c r="A27" t="s">
        <v>15</v>
      </c>
      <c r="B27" t="s">
        <v>249</v>
      </c>
      <c r="C27" t="s">
        <v>18</v>
      </c>
      <c r="D27">
        <v>1201</v>
      </c>
      <c r="E27" s="23">
        <v>45322</v>
      </c>
      <c r="F27" t="s">
        <v>260</v>
      </c>
      <c r="H27" t="s">
        <v>250</v>
      </c>
      <c r="I27" s="4">
        <v>7286.5</v>
      </c>
      <c r="K27" t="s">
        <v>265</v>
      </c>
      <c r="L27">
        <v>57328621</v>
      </c>
      <c r="Q27" t="s">
        <v>248</v>
      </c>
    </row>
    <row r="28" spans="1:17" x14ac:dyDescent="0.25">
      <c r="A28" t="s">
        <v>15</v>
      </c>
      <c r="B28" t="s">
        <v>249</v>
      </c>
      <c r="C28" t="s">
        <v>18</v>
      </c>
      <c r="D28">
        <v>1201</v>
      </c>
      <c r="E28" s="23">
        <v>45322</v>
      </c>
      <c r="F28" t="s">
        <v>260</v>
      </c>
      <c r="H28" t="s">
        <v>250</v>
      </c>
      <c r="I28" s="4">
        <v>2113.75</v>
      </c>
      <c r="K28" t="s">
        <v>265</v>
      </c>
      <c r="L28">
        <v>57328621</v>
      </c>
      <c r="Q28" t="s">
        <v>248</v>
      </c>
    </row>
    <row r="29" spans="1:17" x14ac:dyDescent="0.25">
      <c r="A29" t="s">
        <v>15</v>
      </c>
      <c r="B29" t="s">
        <v>249</v>
      </c>
      <c r="C29" t="s">
        <v>18</v>
      </c>
      <c r="D29">
        <v>1201</v>
      </c>
      <c r="E29" s="23">
        <v>45322</v>
      </c>
      <c r="F29" t="s">
        <v>260</v>
      </c>
      <c r="H29" t="s">
        <v>250</v>
      </c>
      <c r="I29" s="4">
        <v>6327</v>
      </c>
      <c r="K29" t="s">
        <v>266</v>
      </c>
      <c r="L29">
        <v>57328621</v>
      </c>
      <c r="Q29" t="s">
        <v>248</v>
      </c>
    </row>
    <row r="30" spans="1:17" x14ac:dyDescent="0.25">
      <c r="A30" t="s">
        <v>15</v>
      </c>
      <c r="B30" t="s">
        <v>249</v>
      </c>
      <c r="C30" t="s">
        <v>18</v>
      </c>
      <c r="D30">
        <v>1201</v>
      </c>
      <c r="E30" s="23">
        <v>45322</v>
      </c>
      <c r="F30" t="s">
        <v>260</v>
      </c>
      <c r="H30" t="s">
        <v>250</v>
      </c>
      <c r="I30" s="4">
        <v>3486.5</v>
      </c>
      <c r="K30" t="s">
        <v>266</v>
      </c>
      <c r="L30">
        <v>57328621</v>
      </c>
      <c r="Q30" t="s">
        <v>248</v>
      </c>
    </row>
    <row r="31" spans="1:17" x14ac:dyDescent="0.25">
      <c r="A31" t="s">
        <v>15</v>
      </c>
      <c r="B31" t="s">
        <v>249</v>
      </c>
      <c r="C31" t="s">
        <v>18</v>
      </c>
      <c r="D31">
        <v>1201</v>
      </c>
      <c r="E31" s="23">
        <v>45322</v>
      </c>
      <c r="F31" t="s">
        <v>260</v>
      </c>
      <c r="H31" t="s">
        <v>250</v>
      </c>
      <c r="I31" s="4">
        <v>2346.5</v>
      </c>
      <c r="K31" t="s">
        <v>266</v>
      </c>
      <c r="L31">
        <v>57328621</v>
      </c>
      <c r="Q31" t="s">
        <v>248</v>
      </c>
    </row>
    <row r="32" spans="1:17" x14ac:dyDescent="0.25">
      <c r="A32" t="s">
        <v>15</v>
      </c>
      <c r="B32" t="s">
        <v>249</v>
      </c>
      <c r="C32" t="s">
        <v>18</v>
      </c>
      <c r="D32">
        <v>1201</v>
      </c>
      <c r="E32" s="23">
        <v>45322</v>
      </c>
      <c r="F32" t="s">
        <v>260</v>
      </c>
      <c r="H32" t="s">
        <v>250</v>
      </c>
      <c r="I32" s="4">
        <v>1875</v>
      </c>
      <c r="K32" t="s">
        <v>267</v>
      </c>
      <c r="L32">
        <v>57328621</v>
      </c>
      <c r="Q32" t="s">
        <v>248</v>
      </c>
    </row>
    <row r="33" spans="1:17" x14ac:dyDescent="0.25">
      <c r="A33" t="s">
        <v>5</v>
      </c>
      <c r="B33" t="s">
        <v>5</v>
      </c>
      <c r="C33" t="s">
        <v>6</v>
      </c>
      <c r="D33">
        <v>1201</v>
      </c>
      <c r="E33" s="23">
        <v>44557</v>
      </c>
      <c r="F33" t="s">
        <v>268</v>
      </c>
      <c r="G33" t="s">
        <v>269</v>
      </c>
      <c r="H33" t="s">
        <v>270</v>
      </c>
      <c r="I33" s="3">
        <v>215.76</v>
      </c>
      <c r="J33" s="2"/>
      <c r="K33" t="s">
        <v>271</v>
      </c>
      <c r="L33">
        <v>53000085</v>
      </c>
      <c r="Q33" t="s">
        <v>248</v>
      </c>
    </row>
    <row r="34" spans="1:17" x14ac:dyDescent="0.25">
      <c r="A34" t="s">
        <v>5</v>
      </c>
      <c r="B34" t="s">
        <v>5</v>
      </c>
      <c r="C34" t="s">
        <v>7</v>
      </c>
      <c r="D34">
        <v>1201</v>
      </c>
      <c r="E34" s="23">
        <v>44895</v>
      </c>
      <c r="F34" t="s">
        <v>272</v>
      </c>
      <c r="G34" t="s">
        <v>269</v>
      </c>
      <c r="H34" t="s">
        <v>273</v>
      </c>
      <c r="I34" s="2">
        <v>22778.12</v>
      </c>
      <c r="K34" t="s">
        <v>274</v>
      </c>
      <c r="L34">
        <v>53000085</v>
      </c>
      <c r="Q34" t="s">
        <v>248</v>
      </c>
    </row>
    <row r="35" spans="1:17" x14ac:dyDescent="0.25">
      <c r="A35" t="s">
        <v>5</v>
      </c>
      <c r="B35" t="s">
        <v>5</v>
      </c>
      <c r="C35" t="s">
        <v>8</v>
      </c>
      <c r="D35">
        <v>1204</v>
      </c>
      <c r="E35" s="23">
        <v>44957</v>
      </c>
      <c r="F35">
        <v>70068</v>
      </c>
      <c r="G35" t="s">
        <v>269</v>
      </c>
      <c r="H35" t="s">
        <v>275</v>
      </c>
      <c r="I35" s="2">
        <v>878.04</v>
      </c>
      <c r="K35" t="s">
        <v>276</v>
      </c>
      <c r="L35">
        <v>53000085</v>
      </c>
      <c r="Q35" t="s">
        <v>248</v>
      </c>
    </row>
    <row r="36" spans="1:17" x14ac:dyDescent="0.25">
      <c r="A36" t="s">
        <v>5</v>
      </c>
      <c r="B36" t="s">
        <v>5</v>
      </c>
      <c r="C36" t="s">
        <v>9</v>
      </c>
      <c r="D36">
        <v>1204</v>
      </c>
      <c r="E36" s="23">
        <v>45063</v>
      </c>
      <c r="F36">
        <v>307673</v>
      </c>
      <c r="G36" t="s">
        <v>269</v>
      </c>
      <c r="H36" t="s">
        <v>277</v>
      </c>
      <c r="I36" s="2">
        <v>310.24</v>
      </c>
      <c r="K36" t="s">
        <v>278</v>
      </c>
      <c r="L36">
        <v>53000085</v>
      </c>
      <c r="Q36" t="s">
        <v>248</v>
      </c>
    </row>
    <row r="37" spans="1:17" x14ac:dyDescent="0.25">
      <c r="A37" t="s">
        <v>5</v>
      </c>
      <c r="B37" t="s">
        <v>5</v>
      </c>
      <c r="C37" t="s">
        <v>10</v>
      </c>
      <c r="D37">
        <v>1204</v>
      </c>
      <c r="E37" s="23">
        <v>45063</v>
      </c>
      <c r="F37">
        <v>307687</v>
      </c>
      <c r="G37" t="s">
        <v>269</v>
      </c>
      <c r="H37" t="s">
        <v>279</v>
      </c>
      <c r="I37" s="2">
        <v>204.98</v>
      </c>
      <c r="K37" t="s">
        <v>278</v>
      </c>
      <c r="L37">
        <v>53000085</v>
      </c>
      <c r="Q37" t="s">
        <v>248</v>
      </c>
    </row>
    <row r="38" spans="1:17" x14ac:dyDescent="0.25">
      <c r="A38" t="s">
        <v>5</v>
      </c>
      <c r="B38" t="s">
        <v>5</v>
      </c>
      <c r="C38" t="s">
        <v>11</v>
      </c>
      <c r="D38">
        <v>1204</v>
      </c>
      <c r="E38" s="23">
        <v>45063</v>
      </c>
      <c r="F38">
        <v>305942</v>
      </c>
      <c r="G38" t="s">
        <v>269</v>
      </c>
      <c r="H38" t="s">
        <v>280</v>
      </c>
      <c r="I38" s="2">
        <v>220</v>
      </c>
      <c r="K38" t="s">
        <v>281</v>
      </c>
      <c r="L38">
        <v>53000085</v>
      </c>
      <c r="Q38" t="s">
        <v>248</v>
      </c>
    </row>
    <row r="39" spans="1:17" x14ac:dyDescent="0.25">
      <c r="A39" t="s">
        <v>19</v>
      </c>
      <c r="C39" s="5" t="s">
        <v>22</v>
      </c>
      <c r="D39">
        <v>1201</v>
      </c>
      <c r="E39" s="23">
        <v>43739</v>
      </c>
      <c r="F39" t="s">
        <v>282</v>
      </c>
      <c r="G39" t="s">
        <v>283</v>
      </c>
      <c r="H39" s="4" t="s">
        <v>284</v>
      </c>
      <c r="I39" s="3">
        <v>2475</v>
      </c>
      <c r="J39" s="2"/>
      <c r="L39" s="24"/>
      <c r="Q39" t="s">
        <v>248</v>
      </c>
    </row>
    <row r="40" spans="1:17" x14ac:dyDescent="0.25">
      <c r="A40" t="s">
        <v>21</v>
      </c>
      <c r="B40" t="s">
        <v>285</v>
      </c>
      <c r="C40" t="s">
        <v>23</v>
      </c>
      <c r="D40">
        <v>1201</v>
      </c>
      <c r="E40" s="23">
        <v>45005</v>
      </c>
      <c r="F40">
        <v>104609</v>
      </c>
      <c r="G40" t="s">
        <v>283</v>
      </c>
      <c r="H40" t="s">
        <v>286</v>
      </c>
      <c r="I40" s="2">
        <v>540</v>
      </c>
      <c r="K40" t="s">
        <v>287</v>
      </c>
      <c r="L40">
        <v>57372286</v>
      </c>
      <c r="Q40" t="s">
        <v>248</v>
      </c>
    </row>
    <row r="41" spans="1:17" x14ac:dyDescent="0.25">
      <c r="A41" t="s">
        <v>21</v>
      </c>
      <c r="B41" t="s">
        <v>285</v>
      </c>
      <c r="C41" t="s">
        <v>23</v>
      </c>
      <c r="D41">
        <v>1201</v>
      </c>
      <c r="E41" s="23">
        <v>45005</v>
      </c>
      <c r="F41">
        <v>104609</v>
      </c>
      <c r="G41" t="s">
        <v>283</v>
      </c>
      <c r="H41" t="s">
        <v>286</v>
      </c>
      <c r="I41" s="2">
        <v>315</v>
      </c>
      <c r="K41" t="s">
        <v>288</v>
      </c>
      <c r="L41">
        <v>57372286</v>
      </c>
      <c r="Q41" t="s">
        <v>248</v>
      </c>
    </row>
    <row r="42" spans="1:17" x14ac:dyDescent="0.25">
      <c r="A42" t="s">
        <v>21</v>
      </c>
      <c r="B42" t="s">
        <v>285</v>
      </c>
      <c r="C42" t="s">
        <v>23</v>
      </c>
      <c r="D42">
        <v>1201</v>
      </c>
      <c r="E42" s="23">
        <v>45005</v>
      </c>
      <c r="F42">
        <v>104609</v>
      </c>
      <c r="G42" t="s">
        <v>283</v>
      </c>
      <c r="H42" t="s">
        <v>286</v>
      </c>
      <c r="I42" s="2">
        <v>315</v>
      </c>
      <c r="K42" t="s">
        <v>289</v>
      </c>
      <c r="L42">
        <v>57372286</v>
      </c>
      <c r="Q42" t="s">
        <v>248</v>
      </c>
    </row>
    <row r="43" spans="1:17" x14ac:dyDescent="0.25">
      <c r="A43" t="s">
        <v>21</v>
      </c>
      <c r="B43" t="s">
        <v>285</v>
      </c>
      <c r="C43" t="s">
        <v>23</v>
      </c>
      <c r="D43">
        <v>1201</v>
      </c>
      <c r="E43" s="23">
        <v>45005</v>
      </c>
      <c r="F43">
        <v>104609</v>
      </c>
      <c r="G43" t="s">
        <v>283</v>
      </c>
      <c r="H43" t="s">
        <v>286</v>
      </c>
      <c r="I43" s="2">
        <v>75</v>
      </c>
      <c r="K43" t="s">
        <v>290</v>
      </c>
      <c r="L43">
        <v>57372286</v>
      </c>
      <c r="Q43" t="s">
        <v>248</v>
      </c>
    </row>
    <row r="44" spans="1:17" x14ac:dyDescent="0.25">
      <c r="A44" t="s">
        <v>24</v>
      </c>
      <c r="B44" t="s">
        <v>5</v>
      </c>
      <c r="C44" t="s">
        <v>25</v>
      </c>
      <c r="D44">
        <v>1204</v>
      </c>
      <c r="E44" s="23">
        <v>45490</v>
      </c>
      <c r="F44">
        <v>923265</v>
      </c>
      <c r="G44" t="s">
        <v>269</v>
      </c>
      <c r="H44" t="s">
        <v>291</v>
      </c>
      <c r="I44" s="4">
        <v>107.4</v>
      </c>
      <c r="K44" t="s">
        <v>292</v>
      </c>
      <c r="L44">
        <v>53000085</v>
      </c>
      <c r="Q44" t="s">
        <v>248</v>
      </c>
    </row>
    <row r="45" spans="1:17" x14ac:dyDescent="0.25">
      <c r="A45" t="s">
        <v>132</v>
      </c>
      <c r="B45" t="s">
        <v>293</v>
      </c>
      <c r="C45" t="s">
        <v>133</v>
      </c>
      <c r="D45">
        <v>1201</v>
      </c>
      <c r="E45" s="23">
        <v>45519</v>
      </c>
      <c r="F45">
        <v>998566</v>
      </c>
      <c r="G45" t="s">
        <v>269</v>
      </c>
      <c r="H45" t="s">
        <v>294</v>
      </c>
      <c r="I45" s="4">
        <v>660.4</v>
      </c>
      <c r="K45" t="s">
        <v>295</v>
      </c>
      <c r="L45">
        <v>55391977</v>
      </c>
      <c r="Q45" t="s">
        <v>248</v>
      </c>
    </row>
    <row r="46" spans="1:17" x14ac:dyDescent="0.25">
      <c r="A46" t="s">
        <v>132</v>
      </c>
      <c r="B46" t="s">
        <v>293</v>
      </c>
      <c r="C46" t="s">
        <v>133</v>
      </c>
      <c r="D46">
        <v>1201</v>
      </c>
      <c r="E46" s="23">
        <v>45519</v>
      </c>
      <c r="F46">
        <v>998566</v>
      </c>
      <c r="G46" t="s">
        <v>269</v>
      </c>
      <c r="H46" t="s">
        <v>294</v>
      </c>
      <c r="I46" s="4">
        <v>806</v>
      </c>
      <c r="K46" t="s">
        <v>296</v>
      </c>
      <c r="L46">
        <v>55391977</v>
      </c>
      <c r="Q46" t="s">
        <v>248</v>
      </c>
    </row>
    <row r="47" spans="1:17" x14ac:dyDescent="0.25">
      <c r="A47" t="s">
        <v>132</v>
      </c>
      <c r="B47" t="s">
        <v>293</v>
      </c>
      <c r="C47" t="s">
        <v>133</v>
      </c>
      <c r="D47">
        <v>1201</v>
      </c>
      <c r="E47" s="23">
        <v>45519</v>
      </c>
      <c r="F47">
        <v>998566</v>
      </c>
      <c r="G47" t="s">
        <v>269</v>
      </c>
      <c r="H47" t="s">
        <v>294</v>
      </c>
      <c r="I47" s="4">
        <v>735</v>
      </c>
      <c r="K47" t="s">
        <v>297</v>
      </c>
      <c r="L47">
        <v>55391977</v>
      </c>
      <c r="Q47" t="s">
        <v>248</v>
      </c>
    </row>
    <row r="48" spans="1:17" x14ac:dyDescent="0.25">
      <c r="A48" t="s">
        <v>132</v>
      </c>
      <c r="B48" t="s">
        <v>293</v>
      </c>
      <c r="C48" t="s">
        <v>133</v>
      </c>
      <c r="D48">
        <v>1201</v>
      </c>
      <c r="E48" s="23">
        <v>45519</v>
      </c>
      <c r="F48">
        <v>998566</v>
      </c>
      <c r="G48" t="s">
        <v>269</v>
      </c>
      <c r="H48" t="s">
        <v>294</v>
      </c>
      <c r="I48" s="4">
        <v>31264.47</v>
      </c>
      <c r="K48" t="s">
        <v>298</v>
      </c>
      <c r="L48">
        <v>55391977</v>
      </c>
      <c r="Q48" t="s">
        <v>248</v>
      </c>
    </row>
    <row r="49" spans="1:17" x14ac:dyDescent="0.25">
      <c r="A49" t="s">
        <v>132</v>
      </c>
      <c r="B49" t="s">
        <v>293</v>
      </c>
      <c r="C49" t="s">
        <v>133</v>
      </c>
      <c r="D49">
        <v>1201</v>
      </c>
      <c r="E49" s="23">
        <v>45519</v>
      </c>
      <c r="F49">
        <v>998566</v>
      </c>
      <c r="G49" t="s">
        <v>269</v>
      </c>
      <c r="H49" t="s">
        <v>294</v>
      </c>
      <c r="I49" s="4">
        <v>17925.600000000002</v>
      </c>
      <c r="K49" t="s">
        <v>299</v>
      </c>
      <c r="L49">
        <v>55391977</v>
      </c>
      <c r="Q49" t="s">
        <v>248</v>
      </c>
    </row>
    <row r="50" spans="1:17" x14ac:dyDescent="0.25">
      <c r="A50" t="s">
        <v>132</v>
      </c>
      <c r="B50" t="s">
        <v>293</v>
      </c>
      <c r="C50" t="s">
        <v>133</v>
      </c>
      <c r="D50">
        <v>1201</v>
      </c>
      <c r="E50" s="23">
        <v>45519</v>
      </c>
      <c r="F50">
        <v>998566</v>
      </c>
      <c r="G50" t="s">
        <v>269</v>
      </c>
      <c r="H50" t="s">
        <v>294</v>
      </c>
      <c r="I50" s="4">
        <v>1527.1999999999998</v>
      </c>
      <c r="K50" t="s">
        <v>300</v>
      </c>
      <c r="L50">
        <v>55391977</v>
      </c>
      <c r="Q50" t="s">
        <v>248</v>
      </c>
    </row>
    <row r="51" spans="1:17" x14ac:dyDescent="0.25">
      <c r="A51" t="s">
        <v>132</v>
      </c>
      <c r="B51" t="s">
        <v>293</v>
      </c>
      <c r="C51" t="s">
        <v>133</v>
      </c>
      <c r="D51">
        <v>1201</v>
      </c>
      <c r="E51" s="23">
        <v>45519</v>
      </c>
      <c r="F51">
        <v>998566</v>
      </c>
      <c r="G51" t="s">
        <v>269</v>
      </c>
      <c r="H51" t="s">
        <v>294</v>
      </c>
      <c r="I51" s="4">
        <v>18547.2</v>
      </c>
      <c r="K51" t="s">
        <v>301</v>
      </c>
      <c r="L51">
        <v>55391977</v>
      </c>
      <c r="Q51" t="s">
        <v>248</v>
      </c>
    </row>
    <row r="52" spans="1:17" x14ac:dyDescent="0.25">
      <c r="A52" t="s">
        <v>132</v>
      </c>
      <c r="B52" t="s">
        <v>293</v>
      </c>
      <c r="C52" t="s">
        <v>133</v>
      </c>
      <c r="D52">
        <v>1201</v>
      </c>
      <c r="E52" s="23">
        <v>45519</v>
      </c>
      <c r="F52">
        <v>998566</v>
      </c>
      <c r="G52" t="s">
        <v>269</v>
      </c>
      <c r="H52" t="s">
        <v>294</v>
      </c>
      <c r="I52" s="4">
        <v>974.05</v>
      </c>
      <c r="K52" t="s">
        <v>302</v>
      </c>
      <c r="L52">
        <v>55391977</v>
      </c>
      <c r="Q52" t="s">
        <v>248</v>
      </c>
    </row>
    <row r="53" spans="1:17" x14ac:dyDescent="0.25">
      <c r="A53" t="s">
        <v>132</v>
      </c>
      <c r="B53" t="s">
        <v>293</v>
      </c>
      <c r="C53" t="s">
        <v>133</v>
      </c>
      <c r="D53">
        <v>1201</v>
      </c>
      <c r="E53" s="23">
        <v>45519</v>
      </c>
      <c r="F53">
        <v>998566</v>
      </c>
      <c r="G53" t="s">
        <v>269</v>
      </c>
      <c r="H53" t="s">
        <v>294</v>
      </c>
      <c r="I53" s="4">
        <v>4454.12</v>
      </c>
      <c r="K53" t="s">
        <v>303</v>
      </c>
      <c r="L53">
        <v>55391977</v>
      </c>
      <c r="Q53" t="s">
        <v>248</v>
      </c>
    </row>
    <row r="54" spans="1:17" x14ac:dyDescent="0.25">
      <c r="A54" t="s">
        <v>132</v>
      </c>
      <c r="B54" t="s">
        <v>293</v>
      </c>
      <c r="C54" t="s">
        <v>133</v>
      </c>
      <c r="D54">
        <v>1201</v>
      </c>
      <c r="E54" s="23">
        <v>45519</v>
      </c>
      <c r="F54">
        <v>998566</v>
      </c>
      <c r="G54" t="s">
        <v>269</v>
      </c>
      <c r="H54" t="s">
        <v>294</v>
      </c>
      <c r="I54" s="4">
        <v>791.19999999999993</v>
      </c>
      <c r="K54" t="s">
        <v>304</v>
      </c>
      <c r="L54">
        <v>55391977</v>
      </c>
      <c r="Q54" t="s">
        <v>248</v>
      </c>
    </row>
    <row r="55" spans="1:17" x14ac:dyDescent="0.25">
      <c r="A55" t="s">
        <v>132</v>
      </c>
      <c r="B55" t="s">
        <v>293</v>
      </c>
      <c r="C55" t="s">
        <v>133</v>
      </c>
      <c r="D55">
        <v>1201</v>
      </c>
      <c r="E55" s="23">
        <v>45519</v>
      </c>
      <c r="F55">
        <v>998566</v>
      </c>
      <c r="G55" t="s">
        <v>269</v>
      </c>
      <c r="H55" t="s">
        <v>294</v>
      </c>
      <c r="I55" s="4">
        <v>6822</v>
      </c>
      <c r="K55" t="s">
        <v>305</v>
      </c>
      <c r="L55">
        <v>55391977</v>
      </c>
      <c r="Q55" t="s">
        <v>248</v>
      </c>
    </row>
    <row r="56" spans="1:17" x14ac:dyDescent="0.25">
      <c r="A56" t="s">
        <v>132</v>
      </c>
      <c r="B56" t="s">
        <v>293</v>
      </c>
      <c r="C56" t="s">
        <v>133</v>
      </c>
      <c r="D56">
        <v>1201</v>
      </c>
      <c r="E56" s="23">
        <v>45519</v>
      </c>
      <c r="F56">
        <v>998566</v>
      </c>
      <c r="G56" t="s">
        <v>269</v>
      </c>
      <c r="H56" t="s">
        <v>294</v>
      </c>
      <c r="I56" s="4">
        <v>8840</v>
      </c>
      <c r="K56" t="s">
        <v>306</v>
      </c>
      <c r="L56">
        <v>55391977</v>
      </c>
      <c r="Q56" t="s">
        <v>248</v>
      </c>
    </row>
    <row r="57" spans="1:17" x14ac:dyDescent="0.25">
      <c r="A57" t="s">
        <v>132</v>
      </c>
      <c r="B57" t="s">
        <v>293</v>
      </c>
      <c r="C57" t="s">
        <v>133</v>
      </c>
      <c r="D57">
        <v>1201</v>
      </c>
      <c r="E57" s="23">
        <v>45519</v>
      </c>
      <c r="F57">
        <v>998566</v>
      </c>
      <c r="G57" t="s">
        <v>269</v>
      </c>
      <c r="H57" t="s">
        <v>294</v>
      </c>
      <c r="I57" s="4">
        <v>342.5</v>
      </c>
      <c r="K57" t="s">
        <v>307</v>
      </c>
      <c r="L57">
        <v>55391977</v>
      </c>
      <c r="Q57" t="s">
        <v>248</v>
      </c>
    </row>
    <row r="58" spans="1:17" x14ac:dyDescent="0.25">
      <c r="A58" t="s">
        <v>132</v>
      </c>
      <c r="B58" t="s">
        <v>293</v>
      </c>
      <c r="C58" t="s">
        <v>133</v>
      </c>
      <c r="D58">
        <v>1201</v>
      </c>
      <c r="E58" s="23">
        <v>45519</v>
      </c>
      <c r="F58">
        <v>998566</v>
      </c>
      <c r="G58" t="s">
        <v>269</v>
      </c>
      <c r="H58" t="s">
        <v>294</v>
      </c>
      <c r="I58" s="4">
        <v>1545.5</v>
      </c>
      <c r="K58" t="s">
        <v>308</v>
      </c>
      <c r="L58">
        <v>55391977</v>
      </c>
      <c r="Q58" t="s">
        <v>248</v>
      </c>
    </row>
    <row r="59" spans="1:17" x14ac:dyDescent="0.25">
      <c r="A59" t="s">
        <v>132</v>
      </c>
      <c r="B59" t="s">
        <v>293</v>
      </c>
      <c r="C59" t="s">
        <v>133</v>
      </c>
      <c r="D59">
        <v>1201</v>
      </c>
      <c r="E59" s="23">
        <v>45519</v>
      </c>
      <c r="F59">
        <v>998566</v>
      </c>
      <c r="G59" t="s">
        <v>269</v>
      </c>
      <c r="H59" t="s">
        <v>294</v>
      </c>
      <c r="I59" s="4">
        <v>995.59999999999991</v>
      </c>
      <c r="K59" t="s">
        <v>309</v>
      </c>
      <c r="L59">
        <v>55391977</v>
      </c>
      <c r="Q59" t="s">
        <v>248</v>
      </c>
    </row>
    <row r="60" spans="1:17" x14ac:dyDescent="0.25">
      <c r="A60" t="s">
        <v>132</v>
      </c>
      <c r="B60" t="s">
        <v>293</v>
      </c>
      <c r="C60" t="s">
        <v>133</v>
      </c>
      <c r="D60">
        <v>1201</v>
      </c>
      <c r="E60" s="23">
        <v>45519</v>
      </c>
      <c r="F60">
        <v>998566</v>
      </c>
      <c r="G60" t="s">
        <v>269</v>
      </c>
      <c r="H60" t="s">
        <v>294</v>
      </c>
      <c r="I60" s="4">
        <v>1432.2</v>
      </c>
      <c r="K60" t="s">
        <v>310</v>
      </c>
      <c r="L60">
        <v>55391977</v>
      </c>
      <c r="Q60" t="s">
        <v>248</v>
      </c>
    </row>
    <row r="61" spans="1:17" x14ac:dyDescent="0.25">
      <c r="A61" t="s">
        <v>132</v>
      </c>
      <c r="B61" t="s">
        <v>293</v>
      </c>
      <c r="C61" t="s">
        <v>134</v>
      </c>
      <c r="D61">
        <v>1201</v>
      </c>
      <c r="E61" s="23">
        <v>45519</v>
      </c>
      <c r="F61">
        <v>998990</v>
      </c>
      <c r="G61" t="s">
        <v>269</v>
      </c>
      <c r="H61" t="s">
        <v>294</v>
      </c>
      <c r="I61" s="4">
        <v>164.32</v>
      </c>
      <c r="K61" t="s">
        <v>295</v>
      </c>
      <c r="L61">
        <v>55391977</v>
      </c>
      <c r="Q61" t="s">
        <v>248</v>
      </c>
    </row>
    <row r="62" spans="1:17" x14ac:dyDescent="0.25">
      <c r="A62" t="s">
        <v>132</v>
      </c>
      <c r="B62" t="s">
        <v>293</v>
      </c>
      <c r="C62" t="s">
        <v>134</v>
      </c>
      <c r="D62">
        <v>1201</v>
      </c>
      <c r="E62" s="23">
        <v>45519</v>
      </c>
      <c r="F62">
        <v>998990</v>
      </c>
      <c r="G62" t="s">
        <v>269</v>
      </c>
      <c r="H62" t="s">
        <v>294</v>
      </c>
      <c r="I62" s="4">
        <v>121</v>
      </c>
      <c r="K62" t="s">
        <v>296</v>
      </c>
      <c r="L62">
        <v>55391977</v>
      </c>
      <c r="Q62" t="s">
        <v>248</v>
      </c>
    </row>
    <row r="63" spans="1:17" x14ac:dyDescent="0.25">
      <c r="A63" t="s">
        <v>132</v>
      </c>
      <c r="B63" t="s">
        <v>293</v>
      </c>
      <c r="C63" t="s">
        <v>134</v>
      </c>
      <c r="D63">
        <v>1201</v>
      </c>
      <c r="E63" s="23">
        <v>45519</v>
      </c>
      <c r="F63">
        <v>998990</v>
      </c>
      <c r="G63" t="s">
        <v>269</v>
      </c>
      <c r="H63" t="s">
        <v>294</v>
      </c>
      <c r="I63" s="4">
        <v>563</v>
      </c>
      <c r="K63" t="s">
        <v>297</v>
      </c>
      <c r="L63">
        <v>55391977</v>
      </c>
      <c r="Q63" t="s">
        <v>248</v>
      </c>
    </row>
    <row r="64" spans="1:17" x14ac:dyDescent="0.25">
      <c r="A64" t="s">
        <v>132</v>
      </c>
      <c r="B64" t="s">
        <v>293</v>
      </c>
      <c r="C64" t="s">
        <v>134</v>
      </c>
      <c r="D64">
        <v>1201</v>
      </c>
      <c r="E64" s="23">
        <v>45519</v>
      </c>
      <c r="F64">
        <v>998990</v>
      </c>
      <c r="G64" t="s">
        <v>269</v>
      </c>
      <c r="H64" t="s">
        <v>294</v>
      </c>
      <c r="I64" s="4">
        <v>17971.920000000002</v>
      </c>
      <c r="K64" t="s">
        <v>298</v>
      </c>
      <c r="L64">
        <v>55391977</v>
      </c>
      <c r="Q64" t="s">
        <v>248</v>
      </c>
    </row>
    <row r="65" spans="1:17" x14ac:dyDescent="0.25">
      <c r="A65" t="s">
        <v>132</v>
      </c>
      <c r="B65" t="s">
        <v>293</v>
      </c>
      <c r="C65" t="s">
        <v>134</v>
      </c>
      <c r="D65">
        <v>1201</v>
      </c>
      <c r="E65" s="23">
        <v>45519</v>
      </c>
      <c r="F65">
        <v>998990</v>
      </c>
      <c r="G65" t="s">
        <v>269</v>
      </c>
      <c r="H65" t="s">
        <v>294</v>
      </c>
      <c r="I65" s="4">
        <v>10626</v>
      </c>
      <c r="K65" t="s">
        <v>299</v>
      </c>
      <c r="L65">
        <v>55391977</v>
      </c>
      <c r="Q65" t="s">
        <v>248</v>
      </c>
    </row>
    <row r="66" spans="1:17" x14ac:dyDescent="0.25">
      <c r="A66" t="s">
        <v>132</v>
      </c>
      <c r="B66" t="s">
        <v>293</v>
      </c>
      <c r="C66" t="s">
        <v>134</v>
      </c>
      <c r="D66">
        <v>1201</v>
      </c>
      <c r="E66" s="23">
        <v>45519</v>
      </c>
      <c r="F66">
        <v>998990</v>
      </c>
      <c r="G66" t="s">
        <v>269</v>
      </c>
      <c r="H66" t="s">
        <v>294</v>
      </c>
      <c r="I66" s="4">
        <v>11385.15</v>
      </c>
      <c r="K66" t="s">
        <v>301</v>
      </c>
      <c r="L66">
        <v>55391977</v>
      </c>
      <c r="Q66" t="s">
        <v>248</v>
      </c>
    </row>
    <row r="67" spans="1:17" x14ac:dyDescent="0.25">
      <c r="A67" t="s">
        <v>132</v>
      </c>
      <c r="B67" t="s">
        <v>293</v>
      </c>
      <c r="C67" t="s">
        <v>134</v>
      </c>
      <c r="D67">
        <v>1201</v>
      </c>
      <c r="E67" s="23">
        <v>45519</v>
      </c>
      <c r="F67">
        <v>998990</v>
      </c>
      <c r="G67" t="s">
        <v>269</v>
      </c>
      <c r="H67" t="s">
        <v>294</v>
      </c>
      <c r="I67" s="4">
        <v>3906.1000000000004</v>
      </c>
      <c r="K67" t="s">
        <v>303</v>
      </c>
      <c r="L67">
        <v>55391977</v>
      </c>
      <c r="Q67" t="s">
        <v>248</v>
      </c>
    </row>
    <row r="68" spans="1:17" x14ac:dyDescent="0.25">
      <c r="A68" t="s">
        <v>132</v>
      </c>
      <c r="B68" t="s">
        <v>293</v>
      </c>
      <c r="C68" t="s">
        <v>134</v>
      </c>
      <c r="D68">
        <v>1201</v>
      </c>
      <c r="E68" s="23">
        <v>45519</v>
      </c>
      <c r="F68">
        <v>998990</v>
      </c>
      <c r="G68" t="s">
        <v>269</v>
      </c>
      <c r="H68" t="s">
        <v>294</v>
      </c>
      <c r="I68" s="4">
        <v>34.5</v>
      </c>
      <c r="K68" t="s">
        <v>304</v>
      </c>
      <c r="L68">
        <v>55391977</v>
      </c>
      <c r="Q68" t="s">
        <v>248</v>
      </c>
    </row>
    <row r="69" spans="1:17" x14ac:dyDescent="0.25">
      <c r="A69" t="s">
        <v>132</v>
      </c>
      <c r="B69" t="s">
        <v>293</v>
      </c>
      <c r="C69" t="s">
        <v>134</v>
      </c>
      <c r="D69">
        <v>1201</v>
      </c>
      <c r="E69" s="23">
        <v>45519</v>
      </c>
      <c r="F69">
        <v>998990</v>
      </c>
      <c r="G69" t="s">
        <v>269</v>
      </c>
      <c r="H69" t="s">
        <v>294</v>
      </c>
      <c r="I69" s="4">
        <v>5026.5</v>
      </c>
      <c r="K69" t="s">
        <v>305</v>
      </c>
      <c r="L69">
        <v>55391977</v>
      </c>
      <c r="Q69" t="s">
        <v>248</v>
      </c>
    </row>
    <row r="70" spans="1:17" x14ac:dyDescent="0.25">
      <c r="A70" t="s">
        <v>132</v>
      </c>
      <c r="B70" t="s">
        <v>293</v>
      </c>
      <c r="C70" t="s">
        <v>134</v>
      </c>
      <c r="D70">
        <v>1201</v>
      </c>
      <c r="E70" s="23">
        <v>45519</v>
      </c>
      <c r="F70">
        <v>998990</v>
      </c>
      <c r="G70" t="s">
        <v>269</v>
      </c>
      <c r="H70" t="s">
        <v>294</v>
      </c>
      <c r="I70" s="4">
        <v>6775</v>
      </c>
      <c r="K70" t="s">
        <v>306</v>
      </c>
      <c r="L70">
        <v>55391977</v>
      </c>
      <c r="Q70" t="s">
        <v>248</v>
      </c>
    </row>
    <row r="71" spans="1:17" x14ac:dyDescent="0.25">
      <c r="A71" t="s">
        <v>132</v>
      </c>
      <c r="B71" t="s">
        <v>293</v>
      </c>
      <c r="C71" t="s">
        <v>134</v>
      </c>
      <c r="D71">
        <v>1201</v>
      </c>
      <c r="E71" s="23">
        <v>45519</v>
      </c>
      <c r="F71">
        <v>998990</v>
      </c>
      <c r="G71" t="s">
        <v>269</v>
      </c>
      <c r="H71" t="s">
        <v>294</v>
      </c>
      <c r="I71" s="4">
        <v>27.5</v>
      </c>
      <c r="K71" t="s">
        <v>307</v>
      </c>
      <c r="L71">
        <v>55391977</v>
      </c>
      <c r="Q71" t="s">
        <v>248</v>
      </c>
    </row>
    <row r="72" spans="1:17" x14ac:dyDescent="0.25">
      <c r="A72" t="s">
        <v>132</v>
      </c>
      <c r="B72" t="s">
        <v>293</v>
      </c>
      <c r="C72" t="s">
        <v>134</v>
      </c>
      <c r="D72">
        <v>1201</v>
      </c>
      <c r="E72" s="23">
        <v>45519</v>
      </c>
      <c r="F72">
        <v>998990</v>
      </c>
      <c r="G72" t="s">
        <v>269</v>
      </c>
      <c r="H72" t="s">
        <v>294</v>
      </c>
      <c r="I72" s="4">
        <v>77</v>
      </c>
      <c r="K72" t="s">
        <v>308</v>
      </c>
      <c r="L72">
        <v>55391977</v>
      </c>
      <c r="Q72" t="s">
        <v>248</v>
      </c>
    </row>
    <row r="73" spans="1:17" x14ac:dyDescent="0.25">
      <c r="A73" t="s">
        <v>132</v>
      </c>
      <c r="B73" t="s">
        <v>293</v>
      </c>
      <c r="C73" t="s">
        <v>134</v>
      </c>
      <c r="D73">
        <v>1201</v>
      </c>
      <c r="E73" s="23">
        <v>45519</v>
      </c>
      <c r="F73">
        <v>998990</v>
      </c>
      <c r="G73" t="s">
        <v>269</v>
      </c>
      <c r="H73" t="s">
        <v>294</v>
      </c>
      <c r="I73" s="4">
        <v>98.8</v>
      </c>
      <c r="K73" t="s">
        <v>309</v>
      </c>
      <c r="L73">
        <v>55391977</v>
      </c>
      <c r="Q73" t="s">
        <v>248</v>
      </c>
    </row>
    <row r="74" spans="1:17" x14ac:dyDescent="0.25">
      <c r="A74" t="s">
        <v>132</v>
      </c>
      <c r="B74" t="s">
        <v>293</v>
      </c>
      <c r="C74" t="s">
        <v>134</v>
      </c>
      <c r="D74">
        <v>1201</v>
      </c>
      <c r="E74" s="23">
        <v>45519</v>
      </c>
      <c r="F74">
        <v>998990</v>
      </c>
      <c r="G74" t="s">
        <v>269</v>
      </c>
      <c r="H74" t="s">
        <v>294</v>
      </c>
      <c r="I74" s="4">
        <v>176.4</v>
      </c>
      <c r="K74" t="s">
        <v>310</v>
      </c>
      <c r="L74">
        <v>55391977</v>
      </c>
      <c r="Q74" t="s">
        <v>248</v>
      </c>
    </row>
    <row r="75" spans="1:17" x14ac:dyDescent="0.25">
      <c r="A75" t="s">
        <v>132</v>
      </c>
      <c r="B75" t="s">
        <v>293</v>
      </c>
      <c r="C75" t="s">
        <v>148</v>
      </c>
      <c r="D75">
        <v>1201</v>
      </c>
      <c r="E75" s="23">
        <v>45523</v>
      </c>
      <c r="F75">
        <v>156378</v>
      </c>
      <c r="G75" t="s">
        <v>269</v>
      </c>
      <c r="H75" t="s">
        <v>294</v>
      </c>
      <c r="I75" s="4">
        <v>160.16</v>
      </c>
      <c r="K75" t="s">
        <v>295</v>
      </c>
      <c r="L75">
        <v>55391977</v>
      </c>
      <c r="Q75" t="s">
        <v>248</v>
      </c>
    </row>
    <row r="76" spans="1:17" x14ac:dyDescent="0.25">
      <c r="A76" t="s">
        <v>132</v>
      </c>
      <c r="B76" t="s">
        <v>293</v>
      </c>
      <c r="C76" t="s">
        <v>148</v>
      </c>
      <c r="D76">
        <v>1201</v>
      </c>
      <c r="E76" s="23">
        <v>45523</v>
      </c>
      <c r="F76">
        <v>156378</v>
      </c>
      <c r="G76" t="s">
        <v>269</v>
      </c>
      <c r="H76" t="s">
        <v>294</v>
      </c>
      <c r="I76" s="4">
        <v>511</v>
      </c>
      <c r="K76" t="s">
        <v>296</v>
      </c>
      <c r="L76">
        <v>55391977</v>
      </c>
      <c r="Q76" t="s">
        <v>248</v>
      </c>
    </row>
    <row r="77" spans="1:17" x14ac:dyDescent="0.25">
      <c r="A77" t="s">
        <v>132</v>
      </c>
      <c r="B77" t="s">
        <v>293</v>
      </c>
      <c r="C77" t="s">
        <v>148</v>
      </c>
      <c r="D77">
        <v>1201</v>
      </c>
      <c r="E77" s="23">
        <v>45523</v>
      </c>
      <c r="F77">
        <v>156378</v>
      </c>
      <c r="G77" t="s">
        <v>269</v>
      </c>
      <c r="H77" t="s">
        <v>294</v>
      </c>
      <c r="I77" s="4">
        <v>189</v>
      </c>
      <c r="K77" t="s">
        <v>297</v>
      </c>
      <c r="L77">
        <v>55391977</v>
      </c>
      <c r="Q77" t="s">
        <v>248</v>
      </c>
    </row>
    <row r="78" spans="1:17" x14ac:dyDescent="0.25">
      <c r="A78" t="s">
        <v>132</v>
      </c>
      <c r="B78" t="s">
        <v>293</v>
      </c>
      <c r="C78" t="s">
        <v>148</v>
      </c>
      <c r="D78">
        <v>1201</v>
      </c>
      <c r="E78" s="23">
        <v>45523</v>
      </c>
      <c r="F78">
        <v>156378</v>
      </c>
      <c r="G78" t="s">
        <v>269</v>
      </c>
      <c r="H78" t="s">
        <v>294</v>
      </c>
      <c r="I78" s="4">
        <v>9864.5</v>
      </c>
      <c r="K78" t="s">
        <v>298</v>
      </c>
      <c r="L78">
        <v>55391977</v>
      </c>
      <c r="Q78" t="s">
        <v>248</v>
      </c>
    </row>
    <row r="79" spans="1:17" x14ac:dyDescent="0.25">
      <c r="A79" t="s">
        <v>132</v>
      </c>
      <c r="B79" t="s">
        <v>293</v>
      </c>
      <c r="C79" t="s">
        <v>148</v>
      </c>
      <c r="D79">
        <v>1201</v>
      </c>
      <c r="E79" s="23">
        <v>45523</v>
      </c>
      <c r="F79">
        <v>156378</v>
      </c>
      <c r="G79" t="s">
        <v>269</v>
      </c>
      <c r="H79" t="s">
        <v>294</v>
      </c>
      <c r="I79" s="4">
        <v>6292.6500000000005</v>
      </c>
      <c r="K79" t="s">
        <v>299</v>
      </c>
      <c r="L79">
        <v>55391977</v>
      </c>
      <c r="Q79" t="s">
        <v>248</v>
      </c>
    </row>
    <row r="80" spans="1:17" x14ac:dyDescent="0.25">
      <c r="A80" t="s">
        <v>132</v>
      </c>
      <c r="B80" t="s">
        <v>293</v>
      </c>
      <c r="C80" t="s">
        <v>148</v>
      </c>
      <c r="D80">
        <v>1201</v>
      </c>
      <c r="E80" s="23">
        <v>45523</v>
      </c>
      <c r="F80">
        <v>156378</v>
      </c>
      <c r="G80" t="s">
        <v>269</v>
      </c>
      <c r="H80" t="s">
        <v>294</v>
      </c>
      <c r="I80" s="4">
        <v>459.99999999999994</v>
      </c>
      <c r="K80" t="s">
        <v>300</v>
      </c>
      <c r="L80">
        <v>55391977</v>
      </c>
      <c r="Q80" t="s">
        <v>248</v>
      </c>
    </row>
    <row r="81" spans="1:17" x14ac:dyDescent="0.25">
      <c r="A81" t="s">
        <v>132</v>
      </c>
      <c r="B81" t="s">
        <v>293</v>
      </c>
      <c r="C81" t="s">
        <v>148</v>
      </c>
      <c r="D81">
        <v>1201</v>
      </c>
      <c r="E81" s="23">
        <v>45523</v>
      </c>
      <c r="F81">
        <v>156378</v>
      </c>
      <c r="G81" t="s">
        <v>269</v>
      </c>
      <c r="H81" t="s">
        <v>294</v>
      </c>
      <c r="I81" s="4">
        <v>450.45000000000005</v>
      </c>
      <c r="K81" t="s">
        <v>301</v>
      </c>
      <c r="L81">
        <v>55391977</v>
      </c>
      <c r="Q81" t="s">
        <v>248</v>
      </c>
    </row>
    <row r="82" spans="1:17" x14ac:dyDescent="0.25">
      <c r="A82" t="s">
        <v>132</v>
      </c>
      <c r="B82" t="s">
        <v>293</v>
      </c>
      <c r="C82" t="s">
        <v>148</v>
      </c>
      <c r="D82">
        <v>1201</v>
      </c>
      <c r="E82" s="23">
        <v>45523</v>
      </c>
      <c r="F82">
        <v>156378</v>
      </c>
      <c r="G82" t="s">
        <v>269</v>
      </c>
      <c r="H82" t="s">
        <v>294</v>
      </c>
      <c r="I82" s="4">
        <v>6491.1</v>
      </c>
      <c r="K82" t="s">
        <v>301</v>
      </c>
      <c r="L82">
        <v>55391977</v>
      </c>
      <c r="Q82" t="s">
        <v>248</v>
      </c>
    </row>
    <row r="83" spans="1:17" x14ac:dyDescent="0.25">
      <c r="A83" t="s">
        <v>132</v>
      </c>
      <c r="B83" t="s">
        <v>293</v>
      </c>
      <c r="C83" t="s">
        <v>148</v>
      </c>
      <c r="D83">
        <v>1201</v>
      </c>
      <c r="E83" s="23">
        <v>45523</v>
      </c>
      <c r="F83">
        <v>156378</v>
      </c>
      <c r="G83" t="s">
        <v>269</v>
      </c>
      <c r="H83" t="s">
        <v>294</v>
      </c>
      <c r="I83" s="4">
        <v>114.99999999999999</v>
      </c>
      <c r="K83" t="s">
        <v>302</v>
      </c>
      <c r="L83">
        <v>55391977</v>
      </c>
      <c r="Q83" t="s">
        <v>248</v>
      </c>
    </row>
    <row r="84" spans="1:17" x14ac:dyDescent="0.25">
      <c r="A84" t="s">
        <v>132</v>
      </c>
      <c r="B84" t="s">
        <v>293</v>
      </c>
      <c r="C84" t="s">
        <v>148</v>
      </c>
      <c r="D84">
        <v>1201</v>
      </c>
      <c r="E84" s="23">
        <v>45523</v>
      </c>
      <c r="F84">
        <v>156378</v>
      </c>
      <c r="G84" t="s">
        <v>269</v>
      </c>
      <c r="H84" t="s">
        <v>294</v>
      </c>
      <c r="I84" s="4">
        <v>2800.52</v>
      </c>
      <c r="K84" t="s">
        <v>303</v>
      </c>
      <c r="L84">
        <v>55391977</v>
      </c>
      <c r="Q84" t="s">
        <v>248</v>
      </c>
    </row>
    <row r="85" spans="1:17" x14ac:dyDescent="0.25">
      <c r="A85" t="s">
        <v>132</v>
      </c>
      <c r="B85" t="s">
        <v>293</v>
      </c>
      <c r="C85" t="s">
        <v>148</v>
      </c>
      <c r="D85">
        <v>1201</v>
      </c>
      <c r="E85" s="23">
        <v>45523</v>
      </c>
      <c r="F85">
        <v>156378</v>
      </c>
      <c r="G85" t="s">
        <v>269</v>
      </c>
      <c r="H85" t="s">
        <v>294</v>
      </c>
      <c r="I85" s="4">
        <v>46</v>
      </c>
      <c r="K85" t="s">
        <v>304</v>
      </c>
      <c r="L85">
        <v>55391977</v>
      </c>
      <c r="Q85" t="s">
        <v>248</v>
      </c>
    </row>
    <row r="86" spans="1:17" x14ac:dyDescent="0.25">
      <c r="A86" t="s">
        <v>132</v>
      </c>
      <c r="B86" t="s">
        <v>293</v>
      </c>
      <c r="C86" t="s">
        <v>148</v>
      </c>
      <c r="D86">
        <v>1201</v>
      </c>
      <c r="E86" s="23">
        <v>45523</v>
      </c>
      <c r="F86">
        <v>156378</v>
      </c>
      <c r="G86" t="s">
        <v>269</v>
      </c>
      <c r="H86" t="s">
        <v>294</v>
      </c>
      <c r="I86" s="4">
        <v>2679.75</v>
      </c>
      <c r="K86" t="s">
        <v>305</v>
      </c>
      <c r="L86">
        <v>55391977</v>
      </c>
      <c r="Q86" t="s">
        <v>248</v>
      </c>
    </row>
    <row r="87" spans="1:17" x14ac:dyDescent="0.25">
      <c r="A87" t="s">
        <v>132</v>
      </c>
      <c r="B87" t="s">
        <v>293</v>
      </c>
      <c r="C87" t="s">
        <v>148</v>
      </c>
      <c r="D87">
        <v>1201</v>
      </c>
      <c r="E87" s="23">
        <v>45523</v>
      </c>
      <c r="F87">
        <v>156378</v>
      </c>
      <c r="G87" t="s">
        <v>269</v>
      </c>
      <c r="H87" t="s">
        <v>294</v>
      </c>
      <c r="I87" s="4">
        <v>2605</v>
      </c>
      <c r="K87" t="s">
        <v>306</v>
      </c>
      <c r="L87">
        <v>55391977</v>
      </c>
      <c r="Q87" t="s">
        <v>248</v>
      </c>
    </row>
    <row r="88" spans="1:17" x14ac:dyDescent="0.25">
      <c r="A88" t="s">
        <v>132</v>
      </c>
      <c r="B88" t="s">
        <v>293</v>
      </c>
      <c r="C88" t="s">
        <v>148</v>
      </c>
      <c r="D88">
        <v>1201</v>
      </c>
      <c r="E88" s="23">
        <v>45523</v>
      </c>
      <c r="F88">
        <v>156378</v>
      </c>
      <c r="G88" t="s">
        <v>269</v>
      </c>
      <c r="H88" t="s">
        <v>294</v>
      </c>
      <c r="I88" s="4">
        <v>27.5</v>
      </c>
      <c r="K88" t="s">
        <v>307</v>
      </c>
      <c r="L88">
        <v>55391977</v>
      </c>
      <c r="Q88" t="s">
        <v>248</v>
      </c>
    </row>
    <row r="89" spans="1:17" x14ac:dyDescent="0.25">
      <c r="A89" t="s">
        <v>132</v>
      </c>
      <c r="B89" t="s">
        <v>293</v>
      </c>
      <c r="C89" t="s">
        <v>148</v>
      </c>
      <c r="D89">
        <v>1201</v>
      </c>
      <c r="E89" s="23">
        <v>45523</v>
      </c>
      <c r="F89">
        <v>156378</v>
      </c>
      <c r="G89" t="s">
        <v>269</v>
      </c>
      <c r="H89" t="s">
        <v>294</v>
      </c>
      <c r="I89" s="4">
        <v>63.25</v>
      </c>
      <c r="K89" t="s">
        <v>308</v>
      </c>
      <c r="L89">
        <v>55391977</v>
      </c>
      <c r="Q89" t="s">
        <v>248</v>
      </c>
    </row>
    <row r="90" spans="1:17" x14ac:dyDescent="0.25">
      <c r="A90" t="s">
        <v>132</v>
      </c>
      <c r="B90" t="s">
        <v>293</v>
      </c>
      <c r="C90" t="s">
        <v>148</v>
      </c>
      <c r="D90">
        <v>1201</v>
      </c>
      <c r="E90" s="23">
        <v>45523</v>
      </c>
      <c r="F90">
        <v>156378</v>
      </c>
      <c r="G90" t="s">
        <v>269</v>
      </c>
      <c r="H90" t="s">
        <v>294</v>
      </c>
      <c r="I90" s="4">
        <v>216.6</v>
      </c>
      <c r="K90" t="s">
        <v>309</v>
      </c>
      <c r="L90">
        <v>55391977</v>
      </c>
      <c r="Q90" t="s">
        <v>248</v>
      </c>
    </row>
    <row r="91" spans="1:17" x14ac:dyDescent="0.25">
      <c r="A91" t="s">
        <v>132</v>
      </c>
      <c r="B91" t="s">
        <v>293</v>
      </c>
      <c r="C91" t="s">
        <v>148</v>
      </c>
      <c r="D91">
        <v>1201</v>
      </c>
      <c r="E91" s="23">
        <v>45523</v>
      </c>
      <c r="F91">
        <v>156378</v>
      </c>
      <c r="G91" t="s">
        <v>269</v>
      </c>
      <c r="H91" t="s">
        <v>294</v>
      </c>
      <c r="I91" s="4">
        <v>277.2</v>
      </c>
      <c r="K91" t="s">
        <v>310</v>
      </c>
      <c r="L91">
        <v>55391977</v>
      </c>
      <c r="Q91" t="s">
        <v>248</v>
      </c>
    </row>
    <row r="92" spans="1:17" x14ac:dyDescent="0.25">
      <c r="A92" t="s">
        <v>146</v>
      </c>
      <c r="B92" t="s">
        <v>311</v>
      </c>
      <c r="C92" t="s">
        <v>147</v>
      </c>
      <c r="D92">
        <v>1204</v>
      </c>
      <c r="E92" s="23">
        <v>45527</v>
      </c>
      <c r="F92">
        <v>883153</v>
      </c>
      <c r="G92" t="s">
        <v>283</v>
      </c>
      <c r="H92" t="s">
        <v>312</v>
      </c>
      <c r="I92" s="4">
        <v>9.8000000000000007</v>
      </c>
      <c r="K92" t="s">
        <v>313</v>
      </c>
      <c r="L92">
        <v>57225201</v>
      </c>
      <c r="Q92" t="s">
        <v>248</v>
      </c>
    </row>
    <row r="93" spans="1:17" x14ac:dyDescent="0.25">
      <c r="A93" t="s">
        <v>146</v>
      </c>
      <c r="B93" t="s">
        <v>311</v>
      </c>
      <c r="C93" t="s">
        <v>147</v>
      </c>
      <c r="D93">
        <v>1204</v>
      </c>
      <c r="E93" s="23">
        <v>45527</v>
      </c>
      <c r="F93">
        <v>883153</v>
      </c>
      <c r="G93" t="s">
        <v>283</v>
      </c>
      <c r="H93" t="s">
        <v>312</v>
      </c>
      <c r="I93" s="4">
        <v>9.8000000000000007</v>
      </c>
      <c r="K93" t="s">
        <v>314</v>
      </c>
      <c r="L93">
        <v>57225201</v>
      </c>
      <c r="Q93" t="s">
        <v>248</v>
      </c>
    </row>
    <row r="94" spans="1:17" x14ac:dyDescent="0.25">
      <c r="A94" t="s">
        <v>146</v>
      </c>
      <c r="B94" t="s">
        <v>311</v>
      </c>
      <c r="C94" t="s">
        <v>147</v>
      </c>
      <c r="D94">
        <v>1204</v>
      </c>
      <c r="E94" s="23">
        <v>45527</v>
      </c>
      <c r="F94">
        <v>883153</v>
      </c>
      <c r="G94" t="s">
        <v>283</v>
      </c>
      <c r="H94" t="s">
        <v>312</v>
      </c>
      <c r="I94" s="4">
        <v>8.07</v>
      </c>
      <c r="K94" t="s">
        <v>315</v>
      </c>
      <c r="L94">
        <v>57225201</v>
      </c>
      <c r="Q94" t="s">
        <v>248</v>
      </c>
    </row>
    <row r="95" spans="1:17" x14ac:dyDescent="0.25">
      <c r="A95" t="s">
        <v>146</v>
      </c>
      <c r="B95" t="s">
        <v>311</v>
      </c>
      <c r="C95" t="s">
        <v>147</v>
      </c>
      <c r="D95">
        <v>1204</v>
      </c>
      <c r="E95" s="23">
        <v>45527</v>
      </c>
      <c r="F95">
        <v>883153</v>
      </c>
      <c r="G95" t="s">
        <v>283</v>
      </c>
      <c r="H95" t="s">
        <v>312</v>
      </c>
      <c r="I95" s="4">
        <v>8.07</v>
      </c>
      <c r="K95" t="s">
        <v>316</v>
      </c>
      <c r="L95">
        <v>57225201</v>
      </c>
      <c r="Q95" t="s">
        <v>248</v>
      </c>
    </row>
    <row r="96" spans="1:17" x14ac:dyDescent="0.25">
      <c r="A96" t="s">
        <v>146</v>
      </c>
      <c r="B96" t="s">
        <v>311</v>
      </c>
      <c r="C96" t="s">
        <v>147</v>
      </c>
      <c r="D96">
        <v>1204</v>
      </c>
      <c r="E96" s="23">
        <v>45527</v>
      </c>
      <c r="F96">
        <v>883153</v>
      </c>
      <c r="G96" t="s">
        <v>283</v>
      </c>
      <c r="H96" t="s">
        <v>312</v>
      </c>
      <c r="I96" s="4">
        <v>8.57</v>
      </c>
      <c r="K96" t="s">
        <v>317</v>
      </c>
      <c r="L96">
        <v>57225201</v>
      </c>
      <c r="Q96" t="s">
        <v>248</v>
      </c>
    </row>
    <row r="97" spans="1:17" x14ac:dyDescent="0.25">
      <c r="A97" t="s">
        <v>146</v>
      </c>
      <c r="B97" t="s">
        <v>311</v>
      </c>
      <c r="C97" t="s">
        <v>147</v>
      </c>
      <c r="D97">
        <v>1204</v>
      </c>
      <c r="E97" s="23">
        <v>45527</v>
      </c>
      <c r="F97">
        <v>883153</v>
      </c>
      <c r="G97" t="s">
        <v>283</v>
      </c>
      <c r="H97" t="s">
        <v>312</v>
      </c>
      <c r="I97" s="4">
        <v>8.57</v>
      </c>
      <c r="K97" t="s">
        <v>318</v>
      </c>
      <c r="L97">
        <v>57225201</v>
      </c>
      <c r="Q97" t="s">
        <v>248</v>
      </c>
    </row>
    <row r="98" spans="1:17" x14ac:dyDescent="0.25">
      <c r="A98" t="s">
        <v>146</v>
      </c>
      <c r="B98" t="s">
        <v>311</v>
      </c>
      <c r="C98" t="s">
        <v>147</v>
      </c>
      <c r="D98">
        <v>1204</v>
      </c>
      <c r="E98" s="23">
        <v>45527</v>
      </c>
      <c r="F98">
        <v>883153</v>
      </c>
      <c r="G98" t="s">
        <v>283</v>
      </c>
      <c r="H98" t="s">
        <v>312</v>
      </c>
      <c r="I98" s="4">
        <v>8.57</v>
      </c>
      <c r="K98" t="s">
        <v>319</v>
      </c>
      <c r="L98">
        <v>57225201</v>
      </c>
      <c r="Q98" t="s">
        <v>248</v>
      </c>
    </row>
    <row r="99" spans="1:17" x14ac:dyDescent="0.25">
      <c r="A99" t="s">
        <v>146</v>
      </c>
      <c r="B99" t="s">
        <v>311</v>
      </c>
      <c r="C99" t="s">
        <v>147</v>
      </c>
      <c r="D99">
        <v>1204</v>
      </c>
      <c r="E99" s="23">
        <v>45527</v>
      </c>
      <c r="F99">
        <v>883153</v>
      </c>
      <c r="G99" t="s">
        <v>283</v>
      </c>
      <c r="H99" t="s">
        <v>312</v>
      </c>
      <c r="I99" s="4">
        <v>8.57</v>
      </c>
      <c r="K99" t="s">
        <v>320</v>
      </c>
      <c r="L99">
        <v>57225201</v>
      </c>
      <c r="Q99" t="s">
        <v>248</v>
      </c>
    </row>
    <row r="100" spans="1:17" x14ac:dyDescent="0.25">
      <c r="A100" t="s">
        <v>168</v>
      </c>
      <c r="B100" t="s">
        <v>311</v>
      </c>
      <c r="C100" t="s">
        <v>169</v>
      </c>
      <c r="D100">
        <v>1204</v>
      </c>
      <c r="E100" s="23">
        <v>45531</v>
      </c>
      <c r="F100">
        <v>888263</v>
      </c>
      <c r="G100" t="s">
        <v>283</v>
      </c>
      <c r="H100" t="s">
        <v>321</v>
      </c>
      <c r="I100" s="4">
        <v>30.06</v>
      </c>
      <c r="K100" t="s">
        <v>320</v>
      </c>
      <c r="L100">
        <v>57315716</v>
      </c>
      <c r="Q100" t="s">
        <v>248</v>
      </c>
    </row>
    <row r="101" spans="1:17" x14ac:dyDescent="0.25">
      <c r="A101" t="s">
        <v>168</v>
      </c>
      <c r="B101" t="s">
        <v>311</v>
      </c>
      <c r="C101" t="s">
        <v>169</v>
      </c>
      <c r="D101">
        <v>1204</v>
      </c>
      <c r="E101" s="23">
        <v>45531</v>
      </c>
      <c r="F101">
        <v>888263</v>
      </c>
      <c r="G101" t="s">
        <v>283</v>
      </c>
      <c r="H101" t="s">
        <v>321</v>
      </c>
      <c r="I101" s="4">
        <v>30.06</v>
      </c>
      <c r="K101" t="s">
        <v>313</v>
      </c>
      <c r="L101">
        <v>57315716</v>
      </c>
      <c r="Q101" t="s">
        <v>248</v>
      </c>
    </row>
    <row r="102" spans="1:17" x14ac:dyDescent="0.25">
      <c r="A102" t="s">
        <v>168</v>
      </c>
      <c r="B102" t="s">
        <v>311</v>
      </c>
      <c r="C102" t="s">
        <v>169</v>
      </c>
      <c r="D102">
        <v>1204</v>
      </c>
      <c r="E102" s="23">
        <v>45531</v>
      </c>
      <c r="F102">
        <v>888263</v>
      </c>
      <c r="G102" t="s">
        <v>283</v>
      </c>
      <c r="H102" t="s">
        <v>321</v>
      </c>
      <c r="I102" s="4">
        <v>24.900000000000002</v>
      </c>
      <c r="K102" t="s">
        <v>314</v>
      </c>
      <c r="L102">
        <v>57315716</v>
      </c>
      <c r="Q102" t="s">
        <v>248</v>
      </c>
    </row>
    <row r="103" spans="1:17" x14ac:dyDescent="0.25">
      <c r="A103" t="s">
        <v>168</v>
      </c>
      <c r="B103" t="s">
        <v>311</v>
      </c>
      <c r="C103" t="s">
        <v>169</v>
      </c>
      <c r="D103">
        <v>1204</v>
      </c>
      <c r="E103" s="23">
        <v>45531</v>
      </c>
      <c r="F103">
        <v>888263</v>
      </c>
      <c r="G103" t="s">
        <v>283</v>
      </c>
      <c r="H103" t="s">
        <v>321</v>
      </c>
      <c r="I103" s="4">
        <v>24.900000000000002</v>
      </c>
      <c r="K103" t="s">
        <v>315</v>
      </c>
      <c r="L103">
        <v>57315716</v>
      </c>
      <c r="Q103" t="s">
        <v>248</v>
      </c>
    </row>
    <row r="104" spans="1:17" x14ac:dyDescent="0.25">
      <c r="A104" t="s">
        <v>168</v>
      </c>
      <c r="B104" t="s">
        <v>311</v>
      </c>
      <c r="C104" t="s">
        <v>169</v>
      </c>
      <c r="D104">
        <v>1204</v>
      </c>
      <c r="E104" s="23">
        <v>45531</v>
      </c>
      <c r="F104">
        <v>888263</v>
      </c>
      <c r="G104" t="s">
        <v>283</v>
      </c>
      <c r="H104" t="s">
        <v>321</v>
      </c>
      <c r="I104" s="4">
        <v>26.369999999999997</v>
      </c>
      <c r="K104" t="s">
        <v>316</v>
      </c>
      <c r="L104">
        <v>57315716</v>
      </c>
      <c r="Q104" t="s">
        <v>248</v>
      </c>
    </row>
    <row r="105" spans="1:17" x14ac:dyDescent="0.25">
      <c r="A105" t="s">
        <v>168</v>
      </c>
      <c r="B105" t="s">
        <v>311</v>
      </c>
      <c r="C105" t="s">
        <v>169</v>
      </c>
      <c r="D105">
        <v>1204</v>
      </c>
      <c r="E105" s="23">
        <v>45531</v>
      </c>
      <c r="F105">
        <v>888263</v>
      </c>
      <c r="G105" t="s">
        <v>283</v>
      </c>
      <c r="H105" t="s">
        <v>321</v>
      </c>
      <c r="I105" s="4">
        <v>26.369999999999997</v>
      </c>
      <c r="K105" t="s">
        <v>317</v>
      </c>
      <c r="L105">
        <v>57315716</v>
      </c>
      <c r="Q105" t="s">
        <v>248</v>
      </c>
    </row>
    <row r="106" spans="1:17" x14ac:dyDescent="0.25">
      <c r="A106" t="s">
        <v>168</v>
      </c>
      <c r="B106" t="s">
        <v>311</v>
      </c>
      <c r="C106" t="s">
        <v>169</v>
      </c>
      <c r="D106">
        <v>1204</v>
      </c>
      <c r="E106" s="23">
        <v>45531</v>
      </c>
      <c r="F106">
        <v>888263</v>
      </c>
      <c r="G106" t="s">
        <v>283</v>
      </c>
      <c r="H106" t="s">
        <v>321</v>
      </c>
      <c r="I106" s="4">
        <v>26.369999999999997</v>
      </c>
      <c r="K106" t="s">
        <v>318</v>
      </c>
      <c r="L106">
        <v>57315716</v>
      </c>
      <c r="Q106" t="s">
        <v>248</v>
      </c>
    </row>
    <row r="107" spans="1:17" x14ac:dyDescent="0.25">
      <c r="A107" t="s">
        <v>168</v>
      </c>
      <c r="B107" t="s">
        <v>311</v>
      </c>
      <c r="C107" t="s">
        <v>169</v>
      </c>
      <c r="D107">
        <v>1204</v>
      </c>
      <c r="E107" s="23">
        <v>45531</v>
      </c>
      <c r="F107">
        <v>888263</v>
      </c>
      <c r="G107" t="s">
        <v>283</v>
      </c>
      <c r="H107" t="s">
        <v>321</v>
      </c>
      <c r="I107" s="4">
        <v>26.369999999999997</v>
      </c>
      <c r="K107" t="s">
        <v>319</v>
      </c>
      <c r="L107">
        <v>57315716</v>
      </c>
      <c r="Q107" t="s">
        <v>248</v>
      </c>
    </row>
    <row r="108" spans="1:17" x14ac:dyDescent="0.25">
      <c r="A108" t="s">
        <v>167</v>
      </c>
      <c r="B108" t="s">
        <v>311</v>
      </c>
      <c r="C108" t="s">
        <v>170</v>
      </c>
      <c r="D108">
        <v>1204</v>
      </c>
      <c r="E108" s="23">
        <v>45531</v>
      </c>
      <c r="F108">
        <v>888266</v>
      </c>
      <c r="G108" t="s">
        <v>283</v>
      </c>
      <c r="H108" t="s">
        <v>321</v>
      </c>
      <c r="I108" s="4">
        <v>20.04</v>
      </c>
      <c r="K108" t="s">
        <v>320</v>
      </c>
      <c r="L108">
        <v>57315716</v>
      </c>
      <c r="Q108" t="s">
        <v>248</v>
      </c>
    </row>
    <row r="109" spans="1:17" x14ac:dyDescent="0.25">
      <c r="A109" t="s">
        <v>167</v>
      </c>
      <c r="B109" t="s">
        <v>311</v>
      </c>
      <c r="C109" t="s">
        <v>170</v>
      </c>
      <c r="D109">
        <v>1204</v>
      </c>
      <c r="E109" s="23">
        <v>45531</v>
      </c>
      <c r="F109">
        <v>888266</v>
      </c>
      <c r="G109" t="s">
        <v>283</v>
      </c>
      <c r="H109" t="s">
        <v>321</v>
      </c>
      <c r="I109" s="4">
        <v>20.04</v>
      </c>
      <c r="K109" t="s">
        <v>313</v>
      </c>
      <c r="L109">
        <v>57315716</v>
      </c>
      <c r="Q109" t="s">
        <v>248</v>
      </c>
    </row>
    <row r="110" spans="1:17" x14ac:dyDescent="0.25">
      <c r="A110" t="s">
        <v>167</v>
      </c>
      <c r="B110" t="s">
        <v>311</v>
      </c>
      <c r="C110" t="s">
        <v>170</v>
      </c>
      <c r="D110">
        <v>1204</v>
      </c>
      <c r="E110" s="23">
        <v>45531</v>
      </c>
      <c r="F110">
        <v>888266</v>
      </c>
      <c r="G110" t="s">
        <v>283</v>
      </c>
      <c r="H110" t="s">
        <v>321</v>
      </c>
      <c r="I110" s="4">
        <v>16.600000000000001</v>
      </c>
      <c r="K110" t="s">
        <v>314</v>
      </c>
      <c r="L110">
        <v>57315716</v>
      </c>
      <c r="Q110" t="s">
        <v>248</v>
      </c>
    </row>
    <row r="111" spans="1:17" x14ac:dyDescent="0.25">
      <c r="A111" t="s">
        <v>167</v>
      </c>
      <c r="B111" t="s">
        <v>311</v>
      </c>
      <c r="C111" t="s">
        <v>170</v>
      </c>
      <c r="D111">
        <v>1204</v>
      </c>
      <c r="E111" s="23">
        <v>45531</v>
      </c>
      <c r="F111">
        <v>888266</v>
      </c>
      <c r="G111" t="s">
        <v>283</v>
      </c>
      <c r="H111" t="s">
        <v>321</v>
      </c>
      <c r="I111" s="4">
        <v>16.600000000000001</v>
      </c>
      <c r="K111" t="s">
        <v>315</v>
      </c>
      <c r="L111">
        <v>57315716</v>
      </c>
      <c r="Q111" t="s">
        <v>248</v>
      </c>
    </row>
    <row r="112" spans="1:17" x14ac:dyDescent="0.25">
      <c r="A112" t="s">
        <v>167</v>
      </c>
      <c r="B112" t="s">
        <v>311</v>
      </c>
      <c r="C112" t="s">
        <v>170</v>
      </c>
      <c r="D112">
        <v>1204</v>
      </c>
      <c r="E112" s="23">
        <v>45531</v>
      </c>
      <c r="F112">
        <v>888266</v>
      </c>
      <c r="G112" t="s">
        <v>283</v>
      </c>
      <c r="H112" t="s">
        <v>321</v>
      </c>
      <c r="I112" s="4">
        <v>17.579999999999998</v>
      </c>
      <c r="K112" t="s">
        <v>316</v>
      </c>
      <c r="L112">
        <v>57315716</v>
      </c>
      <c r="Q112" t="s">
        <v>248</v>
      </c>
    </row>
    <row r="113" spans="1:17" x14ac:dyDescent="0.25">
      <c r="A113" t="s">
        <v>167</v>
      </c>
      <c r="B113" t="s">
        <v>311</v>
      </c>
      <c r="C113" t="s">
        <v>170</v>
      </c>
      <c r="D113">
        <v>1204</v>
      </c>
      <c r="E113" s="23">
        <v>45531</v>
      </c>
      <c r="F113">
        <v>888266</v>
      </c>
      <c r="G113" t="s">
        <v>283</v>
      </c>
      <c r="H113" t="s">
        <v>321</v>
      </c>
      <c r="I113" s="4">
        <v>17.579999999999998</v>
      </c>
      <c r="K113" t="s">
        <v>317</v>
      </c>
      <c r="L113">
        <v>57315716</v>
      </c>
      <c r="Q113" t="s">
        <v>248</v>
      </c>
    </row>
    <row r="114" spans="1:17" x14ac:dyDescent="0.25">
      <c r="A114" t="s">
        <v>167</v>
      </c>
      <c r="B114" t="s">
        <v>311</v>
      </c>
      <c r="C114" t="s">
        <v>170</v>
      </c>
      <c r="D114">
        <v>1204</v>
      </c>
      <c r="E114" s="23">
        <v>45531</v>
      </c>
      <c r="F114">
        <v>888266</v>
      </c>
      <c r="G114" t="s">
        <v>283</v>
      </c>
      <c r="H114" t="s">
        <v>321</v>
      </c>
      <c r="I114" s="4">
        <v>17.579999999999998</v>
      </c>
      <c r="K114" t="s">
        <v>318</v>
      </c>
      <c r="L114">
        <v>57315716</v>
      </c>
      <c r="Q114" t="s">
        <v>248</v>
      </c>
    </row>
    <row r="115" spans="1:17" x14ac:dyDescent="0.25">
      <c r="A115" t="s">
        <v>167</v>
      </c>
      <c r="B115" t="s">
        <v>311</v>
      </c>
      <c r="C115" t="s">
        <v>170</v>
      </c>
      <c r="D115">
        <v>1204</v>
      </c>
      <c r="E115" s="23">
        <v>45531</v>
      </c>
      <c r="F115">
        <v>888266</v>
      </c>
      <c r="G115" t="s">
        <v>283</v>
      </c>
      <c r="H115" t="s">
        <v>321</v>
      </c>
      <c r="I115" s="4">
        <v>17.579999999999998</v>
      </c>
      <c r="K115" t="s">
        <v>319</v>
      </c>
      <c r="L115">
        <v>57315716</v>
      </c>
      <c r="Q115" t="s">
        <v>248</v>
      </c>
    </row>
    <row r="116" spans="1:17" x14ac:dyDescent="0.25">
      <c r="A116" t="s">
        <v>166</v>
      </c>
      <c r="B116" t="s">
        <v>322</v>
      </c>
      <c r="C116" t="s">
        <v>171</v>
      </c>
      <c r="D116">
        <v>1204</v>
      </c>
      <c r="E116" s="23">
        <v>45531</v>
      </c>
      <c r="F116">
        <v>178462</v>
      </c>
      <c r="G116" t="s">
        <v>269</v>
      </c>
      <c r="H116" t="s">
        <v>312</v>
      </c>
      <c r="I116" s="4">
        <v>5850</v>
      </c>
      <c r="K116" t="s">
        <v>323</v>
      </c>
      <c r="L116">
        <v>57331038</v>
      </c>
      <c r="Q116" t="s">
        <v>248</v>
      </c>
    </row>
    <row r="117" spans="1:17" x14ac:dyDescent="0.25">
      <c r="A117" t="s">
        <v>166</v>
      </c>
      <c r="B117" t="s">
        <v>322</v>
      </c>
      <c r="C117" t="s">
        <v>171</v>
      </c>
      <c r="D117">
        <v>1204</v>
      </c>
      <c r="E117" s="23">
        <v>45531</v>
      </c>
      <c r="F117">
        <v>178462</v>
      </c>
      <c r="G117" t="s">
        <v>269</v>
      </c>
      <c r="H117" t="s">
        <v>312</v>
      </c>
      <c r="I117" s="4">
        <v>5850</v>
      </c>
      <c r="K117" t="s">
        <v>323</v>
      </c>
      <c r="L117">
        <v>57331038</v>
      </c>
      <c r="Q117" t="s">
        <v>248</v>
      </c>
    </row>
    <row r="118" spans="1:17" x14ac:dyDescent="0.25">
      <c r="A118" t="s">
        <v>166</v>
      </c>
      <c r="B118" t="s">
        <v>322</v>
      </c>
      <c r="C118" t="s">
        <v>171</v>
      </c>
      <c r="D118">
        <v>1204</v>
      </c>
      <c r="E118" s="23">
        <v>45531</v>
      </c>
      <c r="F118">
        <v>178462</v>
      </c>
      <c r="G118" t="s">
        <v>269</v>
      </c>
      <c r="H118" t="s">
        <v>312</v>
      </c>
      <c r="I118" s="4">
        <v>2280</v>
      </c>
      <c r="K118" t="s">
        <v>324</v>
      </c>
      <c r="L118">
        <v>57331038</v>
      </c>
      <c r="Q118" t="s">
        <v>248</v>
      </c>
    </row>
    <row r="119" spans="1:17" x14ac:dyDescent="0.25">
      <c r="A119" t="s">
        <v>166</v>
      </c>
      <c r="B119" t="s">
        <v>322</v>
      </c>
      <c r="C119" t="s">
        <v>171</v>
      </c>
      <c r="D119">
        <v>1204</v>
      </c>
      <c r="E119" s="23">
        <v>45531</v>
      </c>
      <c r="F119">
        <v>178462</v>
      </c>
      <c r="G119" t="s">
        <v>269</v>
      </c>
      <c r="H119" t="s">
        <v>312</v>
      </c>
      <c r="I119" s="4">
        <v>2340</v>
      </c>
      <c r="K119" t="s">
        <v>325</v>
      </c>
      <c r="L119">
        <v>57331038</v>
      </c>
      <c r="Q119" t="s">
        <v>248</v>
      </c>
    </row>
    <row r="120" spans="1:17" x14ac:dyDescent="0.25">
      <c r="A120" t="s">
        <v>166</v>
      </c>
      <c r="B120" t="s">
        <v>322</v>
      </c>
      <c r="C120" t="s">
        <v>171</v>
      </c>
      <c r="D120">
        <v>1204</v>
      </c>
      <c r="E120" s="23">
        <v>45531</v>
      </c>
      <c r="F120">
        <v>178462</v>
      </c>
      <c r="G120" t="s">
        <v>269</v>
      </c>
      <c r="H120" t="s">
        <v>312</v>
      </c>
      <c r="I120" s="4">
        <v>10080</v>
      </c>
      <c r="K120" t="s">
        <v>326</v>
      </c>
      <c r="L120">
        <v>57331038</v>
      </c>
      <c r="Q120" t="s">
        <v>248</v>
      </c>
    </row>
    <row r="121" spans="1:17" x14ac:dyDescent="0.25">
      <c r="A121" t="s">
        <v>166</v>
      </c>
      <c r="B121" t="s">
        <v>322</v>
      </c>
      <c r="C121" t="s">
        <v>171</v>
      </c>
      <c r="D121">
        <v>1204</v>
      </c>
      <c r="E121" s="23">
        <v>45531</v>
      </c>
      <c r="F121">
        <v>178462</v>
      </c>
      <c r="G121" t="s">
        <v>269</v>
      </c>
      <c r="H121" t="s">
        <v>312</v>
      </c>
      <c r="I121" s="4">
        <v>7560</v>
      </c>
      <c r="K121" t="s">
        <v>326</v>
      </c>
      <c r="L121">
        <v>57331038</v>
      </c>
      <c r="Q121" t="s">
        <v>248</v>
      </c>
    </row>
    <row r="122" spans="1:17" x14ac:dyDescent="0.25">
      <c r="A122" t="s">
        <v>166</v>
      </c>
      <c r="B122" t="s">
        <v>322</v>
      </c>
      <c r="C122" t="s">
        <v>171</v>
      </c>
      <c r="D122">
        <v>1204</v>
      </c>
      <c r="E122" s="23">
        <v>45531</v>
      </c>
      <c r="F122">
        <v>178462</v>
      </c>
      <c r="G122" t="s">
        <v>269</v>
      </c>
      <c r="H122" t="s">
        <v>312</v>
      </c>
      <c r="I122" s="4">
        <v>6480</v>
      </c>
      <c r="K122" t="s">
        <v>327</v>
      </c>
      <c r="L122">
        <v>57331038</v>
      </c>
      <c r="Q122" t="s">
        <v>248</v>
      </c>
    </row>
    <row r="123" spans="1:17" x14ac:dyDescent="0.25">
      <c r="A123" t="s">
        <v>166</v>
      </c>
      <c r="B123" t="s">
        <v>322</v>
      </c>
      <c r="C123" t="s">
        <v>171</v>
      </c>
      <c r="D123">
        <v>1204</v>
      </c>
      <c r="E123" s="23">
        <v>45531</v>
      </c>
      <c r="F123">
        <v>178462</v>
      </c>
      <c r="G123" t="s">
        <v>269</v>
      </c>
      <c r="H123" t="s">
        <v>312</v>
      </c>
      <c r="I123" s="4">
        <v>6480</v>
      </c>
      <c r="K123" t="s">
        <v>327</v>
      </c>
      <c r="L123">
        <v>57331038</v>
      </c>
      <c r="Q123" t="s">
        <v>248</v>
      </c>
    </row>
    <row r="124" spans="1:17" x14ac:dyDescent="0.25">
      <c r="A124" t="s">
        <v>166</v>
      </c>
      <c r="B124" t="s">
        <v>322</v>
      </c>
      <c r="C124" t="s">
        <v>171</v>
      </c>
      <c r="D124">
        <v>1204</v>
      </c>
      <c r="E124" s="23">
        <v>45531</v>
      </c>
      <c r="F124">
        <v>178462</v>
      </c>
      <c r="G124" t="s">
        <v>269</v>
      </c>
      <c r="H124" t="s">
        <v>312</v>
      </c>
      <c r="I124" s="4">
        <v>7020</v>
      </c>
      <c r="K124" t="s">
        <v>328</v>
      </c>
      <c r="L124">
        <v>57331038</v>
      </c>
      <c r="Q124" t="s">
        <v>248</v>
      </c>
    </row>
    <row r="125" spans="1:17" x14ac:dyDescent="0.25">
      <c r="A125" t="s">
        <v>166</v>
      </c>
      <c r="B125" t="s">
        <v>322</v>
      </c>
      <c r="C125" t="s">
        <v>171</v>
      </c>
      <c r="D125">
        <v>1204</v>
      </c>
      <c r="E125" s="23">
        <v>45531</v>
      </c>
      <c r="F125">
        <v>178462</v>
      </c>
      <c r="G125" t="s">
        <v>269</v>
      </c>
      <c r="H125" t="s">
        <v>312</v>
      </c>
      <c r="I125" s="4">
        <v>7020</v>
      </c>
      <c r="K125" t="s">
        <v>328</v>
      </c>
      <c r="L125">
        <v>57331038</v>
      </c>
      <c r="Q125" t="s">
        <v>248</v>
      </c>
    </row>
    <row r="126" spans="1:17" x14ac:dyDescent="0.25">
      <c r="A126" t="s">
        <v>166</v>
      </c>
      <c r="B126" t="s">
        <v>322</v>
      </c>
      <c r="C126" t="s">
        <v>171</v>
      </c>
      <c r="D126">
        <v>1204</v>
      </c>
      <c r="E126" s="23">
        <v>45531</v>
      </c>
      <c r="F126">
        <v>178462</v>
      </c>
      <c r="G126" t="s">
        <v>269</v>
      </c>
      <c r="H126" t="s">
        <v>312</v>
      </c>
      <c r="I126" s="4">
        <v>9120</v>
      </c>
      <c r="K126" t="s">
        <v>329</v>
      </c>
      <c r="L126">
        <v>57331038</v>
      </c>
      <c r="Q126" t="s">
        <v>248</v>
      </c>
    </row>
    <row r="127" spans="1:17" x14ac:dyDescent="0.25">
      <c r="A127" t="s">
        <v>166</v>
      </c>
      <c r="B127" t="s">
        <v>322</v>
      </c>
      <c r="C127" t="s">
        <v>171</v>
      </c>
      <c r="D127">
        <v>1204</v>
      </c>
      <c r="E127" s="23">
        <v>45531</v>
      </c>
      <c r="F127">
        <v>178462</v>
      </c>
      <c r="G127" t="s">
        <v>269</v>
      </c>
      <c r="H127" t="s">
        <v>312</v>
      </c>
      <c r="I127" s="4">
        <v>4560</v>
      </c>
      <c r="K127" t="s">
        <v>330</v>
      </c>
      <c r="L127">
        <v>57331038</v>
      </c>
      <c r="Q127" t="s">
        <v>248</v>
      </c>
    </row>
    <row r="128" spans="1:17" x14ac:dyDescent="0.25">
      <c r="A128" t="s">
        <v>166</v>
      </c>
      <c r="B128" t="s">
        <v>322</v>
      </c>
      <c r="C128" t="s">
        <v>172</v>
      </c>
      <c r="D128">
        <v>1204</v>
      </c>
      <c r="E128" s="23">
        <v>45532</v>
      </c>
      <c r="F128">
        <v>181535</v>
      </c>
      <c r="G128" t="s">
        <v>269</v>
      </c>
      <c r="H128" t="s">
        <v>312</v>
      </c>
      <c r="I128" s="4">
        <v>5460</v>
      </c>
      <c r="K128" t="s">
        <v>331</v>
      </c>
      <c r="L128">
        <v>57331038</v>
      </c>
      <c r="Q128" t="s">
        <v>248</v>
      </c>
    </row>
    <row r="129" spans="1:17" x14ac:dyDescent="0.25">
      <c r="A129" t="s">
        <v>166</v>
      </c>
      <c r="B129" t="s">
        <v>322</v>
      </c>
      <c r="C129" t="s">
        <v>172</v>
      </c>
      <c r="D129">
        <v>1204</v>
      </c>
      <c r="E129" s="23">
        <v>45532</v>
      </c>
      <c r="F129">
        <v>181535</v>
      </c>
      <c r="G129" t="s">
        <v>269</v>
      </c>
      <c r="H129" t="s">
        <v>312</v>
      </c>
      <c r="I129" s="4">
        <v>5460</v>
      </c>
      <c r="K129" t="s">
        <v>331</v>
      </c>
      <c r="L129">
        <v>57331038</v>
      </c>
      <c r="Q129" t="s">
        <v>248</v>
      </c>
    </row>
    <row r="130" spans="1:17" x14ac:dyDescent="0.25">
      <c r="A130" t="s">
        <v>166</v>
      </c>
      <c r="B130" t="s">
        <v>322</v>
      </c>
      <c r="C130" t="s">
        <v>172</v>
      </c>
      <c r="D130">
        <v>1204</v>
      </c>
      <c r="E130" s="23">
        <v>45532</v>
      </c>
      <c r="F130">
        <v>181535</v>
      </c>
      <c r="G130" t="s">
        <v>269</v>
      </c>
      <c r="H130" t="s">
        <v>312</v>
      </c>
      <c r="I130" s="4">
        <v>4200</v>
      </c>
      <c r="K130" t="s">
        <v>332</v>
      </c>
      <c r="L130">
        <v>57331038</v>
      </c>
      <c r="Q130" t="s">
        <v>248</v>
      </c>
    </row>
    <row r="131" spans="1:17" x14ac:dyDescent="0.25">
      <c r="A131" t="s">
        <v>166</v>
      </c>
      <c r="B131" t="s">
        <v>322</v>
      </c>
      <c r="C131" t="s">
        <v>172</v>
      </c>
      <c r="D131">
        <v>1204</v>
      </c>
      <c r="E131" s="23">
        <v>45532</v>
      </c>
      <c r="F131">
        <v>181535</v>
      </c>
      <c r="G131" t="s">
        <v>269</v>
      </c>
      <c r="H131" t="s">
        <v>312</v>
      </c>
      <c r="I131" s="4">
        <v>3800</v>
      </c>
      <c r="K131" t="s">
        <v>333</v>
      </c>
      <c r="L131">
        <v>57331038</v>
      </c>
      <c r="Q131" t="s">
        <v>248</v>
      </c>
    </row>
    <row r="132" spans="1:17" x14ac:dyDescent="0.25">
      <c r="A132" t="s">
        <v>166</v>
      </c>
      <c r="B132" t="s">
        <v>322</v>
      </c>
      <c r="C132" t="s">
        <v>172</v>
      </c>
      <c r="D132">
        <v>1204</v>
      </c>
      <c r="E132" s="23">
        <v>45532</v>
      </c>
      <c r="F132">
        <v>181535</v>
      </c>
      <c r="G132" t="s">
        <v>269</v>
      </c>
      <c r="H132" t="s">
        <v>312</v>
      </c>
      <c r="I132" s="4">
        <v>4290</v>
      </c>
      <c r="K132" t="s">
        <v>334</v>
      </c>
      <c r="L132">
        <v>57331038</v>
      </c>
      <c r="Q132" t="s">
        <v>248</v>
      </c>
    </row>
    <row r="133" spans="1:17" x14ac:dyDescent="0.25">
      <c r="A133" t="s">
        <v>166</v>
      </c>
      <c r="B133" t="s">
        <v>322</v>
      </c>
      <c r="C133" t="s">
        <v>172</v>
      </c>
      <c r="D133">
        <v>1204</v>
      </c>
      <c r="E133" s="23">
        <v>45532</v>
      </c>
      <c r="F133">
        <v>181535</v>
      </c>
      <c r="G133" t="s">
        <v>269</v>
      </c>
      <c r="H133" t="s">
        <v>312</v>
      </c>
      <c r="I133" s="4">
        <v>4180</v>
      </c>
      <c r="K133" t="s">
        <v>335</v>
      </c>
      <c r="L133">
        <v>57331038</v>
      </c>
      <c r="Q133" t="s">
        <v>248</v>
      </c>
    </row>
    <row r="134" spans="1:17" x14ac:dyDescent="0.25">
      <c r="A134" t="s">
        <v>135</v>
      </c>
      <c r="B134" t="s">
        <v>135</v>
      </c>
      <c r="C134" t="s">
        <v>136</v>
      </c>
      <c r="D134" s="2"/>
      <c r="E134" s="25">
        <v>45519</v>
      </c>
      <c r="I134" s="2">
        <v>42987053</v>
      </c>
      <c r="Q134" t="s">
        <v>248</v>
      </c>
    </row>
    <row r="135" spans="1:17" x14ac:dyDescent="0.25">
      <c r="A135" t="s">
        <v>135</v>
      </c>
      <c r="B135" t="s">
        <v>135</v>
      </c>
      <c r="C135" t="s">
        <v>149</v>
      </c>
      <c r="D135" s="2"/>
      <c r="E135" s="25">
        <v>45524</v>
      </c>
      <c r="I135" s="2">
        <v>174052773</v>
      </c>
      <c r="Q135" t="s">
        <v>248</v>
      </c>
    </row>
    <row r="136" spans="1:17" x14ac:dyDescent="0.25">
      <c r="A136" t="s">
        <v>135</v>
      </c>
      <c r="B136" t="s">
        <v>135</v>
      </c>
      <c r="C136" t="s">
        <v>150</v>
      </c>
      <c r="D136" s="2"/>
      <c r="E136" s="25">
        <v>45524</v>
      </c>
      <c r="I136" s="2">
        <v>2988009</v>
      </c>
      <c r="Q136" t="s">
        <v>248</v>
      </c>
    </row>
    <row r="137" spans="1:17" x14ac:dyDescent="0.25">
      <c r="A137" t="s">
        <v>28</v>
      </c>
      <c r="B137" t="s">
        <v>28</v>
      </c>
      <c r="C137" t="s">
        <v>69</v>
      </c>
      <c r="D137" s="2"/>
      <c r="E137" s="23">
        <v>45000</v>
      </c>
      <c r="I137" s="2">
        <v>2400000</v>
      </c>
      <c r="Q137" t="s">
        <v>248</v>
      </c>
    </row>
    <row r="138" spans="1:17" x14ac:dyDescent="0.25">
      <c r="A138" t="s">
        <v>47</v>
      </c>
      <c r="B138" t="s">
        <v>47</v>
      </c>
      <c r="C138" t="s">
        <v>70</v>
      </c>
      <c r="D138" s="2"/>
      <c r="E138" s="25">
        <v>45461</v>
      </c>
      <c r="I138" s="2">
        <v>12166155</v>
      </c>
      <c r="Q138" t="s">
        <v>248</v>
      </c>
    </row>
    <row r="139" spans="1:17" x14ac:dyDescent="0.25">
      <c r="A139" t="s">
        <v>49</v>
      </c>
      <c r="B139" t="s">
        <v>49</v>
      </c>
      <c r="C139" t="s">
        <v>71</v>
      </c>
      <c r="D139" s="2"/>
      <c r="E139" s="25">
        <v>45387</v>
      </c>
      <c r="I139" s="2">
        <v>1557741</v>
      </c>
      <c r="Q139" t="s">
        <v>248</v>
      </c>
    </row>
    <row r="140" spans="1:17" x14ac:dyDescent="0.25">
      <c r="A140" t="s">
        <v>33</v>
      </c>
      <c r="B140" t="s">
        <v>33</v>
      </c>
      <c r="C140" t="s">
        <v>72</v>
      </c>
      <c r="D140" s="2"/>
      <c r="E140" s="25">
        <v>45034</v>
      </c>
      <c r="I140" s="2">
        <v>2874900</v>
      </c>
      <c r="Q140" t="s">
        <v>248</v>
      </c>
    </row>
    <row r="141" spans="1:17" x14ac:dyDescent="0.25">
      <c r="A141" t="s">
        <v>33</v>
      </c>
      <c r="B141" t="s">
        <v>33</v>
      </c>
      <c r="C141" t="s">
        <v>73</v>
      </c>
      <c r="D141" s="2"/>
      <c r="E141" s="25">
        <v>45492</v>
      </c>
      <c r="I141" s="2">
        <v>91636050</v>
      </c>
      <c r="Q141" t="s">
        <v>248</v>
      </c>
    </row>
    <row r="142" spans="1:17" x14ac:dyDescent="0.25">
      <c r="A142" t="s">
        <v>40</v>
      </c>
      <c r="B142" t="s">
        <v>40</v>
      </c>
      <c r="C142" t="s">
        <v>74</v>
      </c>
      <c r="D142" s="2"/>
      <c r="E142" s="25">
        <v>45412</v>
      </c>
      <c r="I142" s="2">
        <v>193375431</v>
      </c>
      <c r="Q142" t="s">
        <v>248</v>
      </c>
    </row>
    <row r="143" spans="1:17" x14ac:dyDescent="0.25">
      <c r="A143" t="s">
        <v>40</v>
      </c>
      <c r="B143" t="s">
        <v>40</v>
      </c>
      <c r="C143" t="s">
        <v>75</v>
      </c>
      <c r="D143" s="2"/>
      <c r="E143" s="25">
        <v>45432</v>
      </c>
      <c r="I143" s="2">
        <v>19965015</v>
      </c>
      <c r="Q143" t="s">
        <v>248</v>
      </c>
    </row>
    <row r="144" spans="1:17" x14ac:dyDescent="0.25">
      <c r="A144" t="s">
        <v>40</v>
      </c>
      <c r="B144" t="s">
        <v>40</v>
      </c>
      <c r="C144" t="s">
        <v>76</v>
      </c>
      <c r="D144" s="2"/>
      <c r="E144" s="25">
        <v>45439</v>
      </c>
      <c r="I144" s="2">
        <v>12782205</v>
      </c>
      <c r="Q144" t="s">
        <v>248</v>
      </c>
    </row>
    <row r="145" spans="1:17" x14ac:dyDescent="0.25">
      <c r="A145" t="s">
        <v>40</v>
      </c>
      <c r="B145" t="s">
        <v>40</v>
      </c>
      <c r="C145" t="s">
        <v>77</v>
      </c>
      <c r="D145" s="2"/>
      <c r="E145" s="25">
        <v>45441</v>
      </c>
      <c r="I145" s="2">
        <v>19454526</v>
      </c>
      <c r="Q145" t="s">
        <v>248</v>
      </c>
    </row>
    <row r="146" spans="1:17" x14ac:dyDescent="0.25">
      <c r="A146" t="s">
        <v>40</v>
      </c>
      <c r="B146" t="s">
        <v>40</v>
      </c>
      <c r="C146" t="s">
        <v>137</v>
      </c>
      <c r="D146" s="2"/>
      <c r="E146" s="25">
        <v>45519</v>
      </c>
      <c r="I146" s="2">
        <v>37953009</v>
      </c>
      <c r="Q146" t="s">
        <v>248</v>
      </c>
    </row>
    <row r="147" spans="1:17" x14ac:dyDescent="0.25">
      <c r="A147" t="s">
        <v>50</v>
      </c>
      <c r="B147" t="s">
        <v>50</v>
      </c>
      <c r="C147" t="s">
        <v>78</v>
      </c>
      <c r="D147" s="2"/>
      <c r="E147" s="25">
        <v>45446</v>
      </c>
      <c r="I147" s="2">
        <v>5285210</v>
      </c>
      <c r="Q147" t="s">
        <v>248</v>
      </c>
    </row>
    <row r="148" spans="1:17" x14ac:dyDescent="0.25">
      <c r="A148" t="s">
        <v>50</v>
      </c>
      <c r="B148" t="s">
        <v>50</v>
      </c>
      <c r="C148" t="s">
        <v>79</v>
      </c>
      <c r="D148" s="2"/>
      <c r="E148" s="25">
        <v>45453</v>
      </c>
      <c r="I148" s="2">
        <v>570429</v>
      </c>
      <c r="Q148" t="s">
        <v>248</v>
      </c>
    </row>
    <row r="149" spans="1:17" x14ac:dyDescent="0.25">
      <c r="A149" t="s">
        <v>50</v>
      </c>
      <c r="B149" t="s">
        <v>50</v>
      </c>
      <c r="C149" t="s">
        <v>80</v>
      </c>
      <c r="D149" s="2"/>
      <c r="E149" s="25">
        <v>45443</v>
      </c>
      <c r="I149" s="2">
        <v>69684497</v>
      </c>
      <c r="Q149" t="s">
        <v>248</v>
      </c>
    </row>
    <row r="150" spans="1:17" x14ac:dyDescent="0.25">
      <c r="A150" t="s">
        <v>51</v>
      </c>
      <c r="B150" t="s">
        <v>51</v>
      </c>
      <c r="C150" t="s">
        <v>81</v>
      </c>
      <c r="D150" s="2"/>
      <c r="E150" s="25">
        <v>45443</v>
      </c>
      <c r="I150" s="2">
        <v>26268705</v>
      </c>
      <c r="Q150" t="s">
        <v>248</v>
      </c>
    </row>
    <row r="151" spans="1:17" x14ac:dyDescent="0.25">
      <c r="A151" t="s">
        <v>52</v>
      </c>
      <c r="B151" t="s">
        <v>52</v>
      </c>
      <c r="C151" t="s">
        <v>82</v>
      </c>
      <c r="D151" s="2"/>
      <c r="E151" s="25">
        <v>45440</v>
      </c>
      <c r="I151" s="2">
        <v>51972975</v>
      </c>
      <c r="Q151" t="s">
        <v>248</v>
      </c>
    </row>
    <row r="152" spans="1:17" x14ac:dyDescent="0.25">
      <c r="A152" t="s">
        <v>52</v>
      </c>
      <c r="B152" t="s">
        <v>52</v>
      </c>
      <c r="C152" t="s">
        <v>83</v>
      </c>
      <c r="D152" s="2"/>
      <c r="E152" s="25">
        <v>45441</v>
      </c>
      <c r="I152" s="2">
        <v>87521891</v>
      </c>
      <c r="Q152" t="s">
        <v>248</v>
      </c>
    </row>
    <row r="153" spans="1:17" x14ac:dyDescent="0.25">
      <c r="A153" t="s">
        <v>41</v>
      </c>
      <c r="B153" t="s">
        <v>41</v>
      </c>
      <c r="C153" t="s">
        <v>84</v>
      </c>
      <c r="D153" s="2"/>
      <c r="E153" s="25">
        <v>45412</v>
      </c>
      <c r="I153" s="2">
        <v>1177335</v>
      </c>
      <c r="Q153" t="s">
        <v>248</v>
      </c>
    </row>
    <row r="154" spans="1:17" x14ac:dyDescent="0.25">
      <c r="A154" t="s">
        <v>41</v>
      </c>
      <c r="B154" t="s">
        <v>41</v>
      </c>
      <c r="C154" t="s">
        <v>138</v>
      </c>
      <c r="D154" s="2"/>
      <c r="E154" s="25">
        <v>45519</v>
      </c>
      <c r="I154" s="2">
        <v>46760693</v>
      </c>
      <c r="Q154" t="s">
        <v>248</v>
      </c>
    </row>
    <row r="155" spans="1:17" x14ac:dyDescent="0.25">
      <c r="A155" t="s">
        <v>68</v>
      </c>
      <c r="B155" t="s">
        <v>68</v>
      </c>
      <c r="C155" t="s">
        <v>85</v>
      </c>
      <c r="D155" s="2"/>
      <c r="E155" s="25">
        <v>45471</v>
      </c>
      <c r="I155" s="2">
        <v>26362500</v>
      </c>
      <c r="Q155" t="s">
        <v>248</v>
      </c>
    </row>
    <row r="156" spans="1:17" x14ac:dyDescent="0.25">
      <c r="A156" t="s">
        <v>68</v>
      </c>
      <c r="B156" t="s">
        <v>68</v>
      </c>
      <c r="C156" t="s">
        <v>86</v>
      </c>
      <c r="D156" s="2"/>
      <c r="E156" s="25">
        <v>45492</v>
      </c>
      <c r="I156" s="2">
        <v>102813750</v>
      </c>
      <c r="Q156" t="s">
        <v>248</v>
      </c>
    </row>
    <row r="157" spans="1:17" x14ac:dyDescent="0.25">
      <c r="A157" t="s">
        <v>38</v>
      </c>
      <c r="B157" t="s">
        <v>38</v>
      </c>
      <c r="C157" t="s">
        <v>87</v>
      </c>
      <c r="D157" s="2"/>
      <c r="E157" s="23">
        <v>44677</v>
      </c>
      <c r="I157" s="2">
        <v>109078970</v>
      </c>
      <c r="Q157" t="s">
        <v>248</v>
      </c>
    </row>
    <row r="158" spans="1:17" x14ac:dyDescent="0.25">
      <c r="A158" t="s">
        <v>165</v>
      </c>
      <c r="B158" t="s">
        <v>165</v>
      </c>
      <c r="C158" t="s">
        <v>173</v>
      </c>
      <c r="D158" s="2"/>
      <c r="E158" s="25">
        <v>45534</v>
      </c>
      <c r="I158" s="2">
        <v>786320670</v>
      </c>
      <c r="Q158" t="s">
        <v>248</v>
      </c>
    </row>
    <row r="159" spans="1:17" x14ac:dyDescent="0.25">
      <c r="A159" t="s">
        <v>151</v>
      </c>
      <c r="B159" t="s">
        <v>151</v>
      </c>
      <c r="C159" t="s">
        <v>152</v>
      </c>
      <c r="D159" s="2"/>
      <c r="E159" s="25">
        <v>45523</v>
      </c>
      <c r="I159" s="2">
        <v>34700598</v>
      </c>
      <c r="Q159" t="s">
        <v>248</v>
      </c>
    </row>
    <row r="160" spans="1:17" x14ac:dyDescent="0.25">
      <c r="A160" t="s">
        <v>151</v>
      </c>
      <c r="B160" t="s">
        <v>151</v>
      </c>
      <c r="C160" t="s">
        <v>153</v>
      </c>
      <c r="D160" s="2"/>
      <c r="E160" s="25">
        <v>45523</v>
      </c>
      <c r="I160" s="2">
        <v>9888102</v>
      </c>
      <c r="Q160" t="s">
        <v>248</v>
      </c>
    </row>
    <row r="161" spans="1:17" x14ac:dyDescent="0.25">
      <c r="A161" t="s">
        <v>151</v>
      </c>
      <c r="B161" t="s">
        <v>151</v>
      </c>
      <c r="C161" t="s">
        <v>174</v>
      </c>
      <c r="D161" s="2"/>
      <c r="E161" s="25">
        <v>45532</v>
      </c>
      <c r="I161" s="2">
        <v>109805153</v>
      </c>
      <c r="Q161" t="s">
        <v>248</v>
      </c>
    </row>
    <row r="162" spans="1:17" x14ac:dyDescent="0.25">
      <c r="A162" t="s">
        <v>175</v>
      </c>
      <c r="B162" t="s">
        <v>175</v>
      </c>
      <c r="C162" t="s">
        <v>176</v>
      </c>
      <c r="D162" s="2"/>
      <c r="E162" s="25">
        <v>45534</v>
      </c>
      <c r="I162" s="2">
        <v>77921348</v>
      </c>
      <c r="Q162" t="s">
        <v>248</v>
      </c>
    </row>
    <row r="163" spans="1:17" x14ac:dyDescent="0.25">
      <c r="A163" t="s">
        <v>177</v>
      </c>
      <c r="B163" t="s">
        <v>177</v>
      </c>
      <c r="C163" t="s">
        <v>178</v>
      </c>
      <c r="D163" s="2"/>
      <c r="E163" s="25">
        <v>45531</v>
      </c>
      <c r="I163" s="2">
        <v>136127243</v>
      </c>
      <c r="Q163" t="s">
        <v>248</v>
      </c>
    </row>
    <row r="164" spans="1:17" x14ac:dyDescent="0.25">
      <c r="A164" t="s">
        <v>179</v>
      </c>
      <c r="B164" t="s">
        <v>179</v>
      </c>
      <c r="C164" t="s">
        <v>180</v>
      </c>
      <c r="D164" s="2"/>
      <c r="E164" s="25">
        <v>45532</v>
      </c>
      <c r="I164" s="2">
        <v>140156285</v>
      </c>
      <c r="Q164" t="s">
        <v>248</v>
      </c>
    </row>
    <row r="165" spans="1:17" x14ac:dyDescent="0.25">
      <c r="A165" t="s">
        <v>154</v>
      </c>
      <c r="B165" t="s">
        <v>154</v>
      </c>
      <c r="C165" t="s">
        <v>155</v>
      </c>
      <c r="D165" s="2"/>
      <c r="E165" s="25">
        <v>45523</v>
      </c>
      <c r="I165" s="2">
        <v>1358152</v>
      </c>
      <c r="Q165" t="s">
        <v>248</v>
      </c>
    </row>
    <row r="166" spans="1:17" x14ac:dyDescent="0.25">
      <c r="A166" t="s">
        <v>36</v>
      </c>
      <c r="B166" t="s">
        <v>36</v>
      </c>
      <c r="C166" t="s">
        <v>88</v>
      </c>
      <c r="D166" s="2"/>
      <c r="E166" s="25">
        <v>45504</v>
      </c>
      <c r="I166" s="2">
        <v>194791680</v>
      </c>
      <c r="Q166" t="s">
        <v>248</v>
      </c>
    </row>
    <row r="167" spans="1:17" x14ac:dyDescent="0.25">
      <c r="A167" t="s">
        <v>36</v>
      </c>
      <c r="B167" t="s">
        <v>36</v>
      </c>
      <c r="C167" t="s">
        <v>181</v>
      </c>
      <c r="D167" s="2"/>
      <c r="E167" s="25">
        <v>45532</v>
      </c>
      <c r="I167" s="2">
        <v>3451656</v>
      </c>
      <c r="Q167" t="s">
        <v>248</v>
      </c>
    </row>
    <row r="168" spans="1:17" x14ac:dyDescent="0.25">
      <c r="A168" t="s">
        <v>36</v>
      </c>
      <c r="B168" t="s">
        <v>36</v>
      </c>
      <c r="C168" t="s">
        <v>89</v>
      </c>
      <c r="D168" s="2"/>
      <c r="E168" s="25">
        <v>45512</v>
      </c>
      <c r="I168" s="2">
        <v>1260094200</v>
      </c>
      <c r="Q168" t="s">
        <v>248</v>
      </c>
    </row>
    <row r="169" spans="1:17" x14ac:dyDescent="0.25">
      <c r="A169" t="s">
        <v>36</v>
      </c>
      <c r="B169" t="s">
        <v>36</v>
      </c>
      <c r="C169" t="s">
        <v>156</v>
      </c>
      <c r="D169" s="2"/>
      <c r="E169" s="25">
        <v>45524</v>
      </c>
      <c r="I169" s="2">
        <v>106643472</v>
      </c>
      <c r="Q169" t="s">
        <v>248</v>
      </c>
    </row>
    <row r="170" spans="1:17" x14ac:dyDescent="0.25">
      <c r="A170" t="s">
        <v>36</v>
      </c>
      <c r="B170" t="s">
        <v>36</v>
      </c>
      <c r="C170" t="s">
        <v>182</v>
      </c>
      <c r="D170" s="2"/>
      <c r="E170" s="25">
        <v>45530</v>
      </c>
      <c r="I170" s="2">
        <v>99345888</v>
      </c>
      <c r="Q170" t="s">
        <v>248</v>
      </c>
    </row>
    <row r="171" spans="1:17" x14ac:dyDescent="0.25">
      <c r="A171" t="s">
        <v>37</v>
      </c>
      <c r="B171" t="s">
        <v>37</v>
      </c>
      <c r="C171" t="s">
        <v>90</v>
      </c>
      <c r="D171" s="2"/>
      <c r="E171" s="25">
        <v>45483</v>
      </c>
      <c r="I171" s="2">
        <v>827491680</v>
      </c>
      <c r="Q171" t="s">
        <v>248</v>
      </c>
    </row>
    <row r="172" spans="1:17" x14ac:dyDescent="0.25">
      <c r="A172" t="s">
        <v>37</v>
      </c>
      <c r="B172" t="s">
        <v>37</v>
      </c>
      <c r="C172" t="s">
        <v>91</v>
      </c>
      <c r="D172" s="2"/>
      <c r="E172" s="25">
        <v>45495</v>
      </c>
      <c r="I172" s="2">
        <v>878813640</v>
      </c>
      <c r="Q172" t="s">
        <v>248</v>
      </c>
    </row>
    <row r="173" spans="1:17" x14ac:dyDescent="0.25">
      <c r="A173" t="s">
        <v>37</v>
      </c>
      <c r="B173" t="s">
        <v>37</v>
      </c>
      <c r="C173" t="s">
        <v>92</v>
      </c>
      <c r="D173" s="2"/>
      <c r="E173" s="25">
        <v>45504</v>
      </c>
      <c r="I173" s="2">
        <v>119893320</v>
      </c>
      <c r="Q173" t="s">
        <v>248</v>
      </c>
    </row>
    <row r="174" spans="1:17" x14ac:dyDescent="0.25">
      <c r="A174" t="s">
        <v>37</v>
      </c>
      <c r="B174" t="s">
        <v>37</v>
      </c>
      <c r="C174" t="s">
        <v>183</v>
      </c>
      <c r="D174" s="2"/>
      <c r="E174" s="25">
        <v>45530</v>
      </c>
      <c r="I174" s="2">
        <v>17435880</v>
      </c>
      <c r="Q174" t="s">
        <v>248</v>
      </c>
    </row>
    <row r="175" spans="1:17" x14ac:dyDescent="0.25">
      <c r="A175" t="s">
        <v>34</v>
      </c>
      <c r="B175" t="s">
        <v>34</v>
      </c>
      <c r="C175" t="s">
        <v>93</v>
      </c>
      <c r="D175" s="2"/>
      <c r="E175" s="25">
        <v>45506</v>
      </c>
      <c r="I175" s="2">
        <v>103934240</v>
      </c>
      <c r="Q175" t="s">
        <v>248</v>
      </c>
    </row>
    <row r="176" spans="1:17" x14ac:dyDescent="0.25">
      <c r="A176" t="s">
        <v>34</v>
      </c>
      <c r="B176" t="s">
        <v>34</v>
      </c>
      <c r="C176" t="s">
        <v>157</v>
      </c>
      <c r="D176" s="2"/>
      <c r="E176" s="25">
        <v>45527</v>
      </c>
      <c r="I176" s="2">
        <v>398553747</v>
      </c>
      <c r="Q176" t="s">
        <v>248</v>
      </c>
    </row>
    <row r="177" spans="1:17" x14ac:dyDescent="0.25">
      <c r="A177" t="s">
        <v>34</v>
      </c>
      <c r="B177" t="s">
        <v>34</v>
      </c>
      <c r="C177" t="s">
        <v>184</v>
      </c>
      <c r="D177" s="2"/>
      <c r="E177" s="25">
        <v>45534</v>
      </c>
      <c r="I177" s="2">
        <v>178788</v>
      </c>
      <c r="Q177" t="s">
        <v>248</v>
      </c>
    </row>
    <row r="178" spans="1:17" x14ac:dyDescent="0.25">
      <c r="A178" t="s">
        <v>158</v>
      </c>
      <c r="B178" t="s">
        <v>158</v>
      </c>
      <c r="C178" t="s">
        <v>159</v>
      </c>
      <c r="D178" s="2"/>
      <c r="E178" s="25">
        <v>45523</v>
      </c>
      <c r="I178" s="2">
        <v>15050546</v>
      </c>
      <c r="Q178" t="s">
        <v>248</v>
      </c>
    </row>
    <row r="179" spans="1:17" x14ac:dyDescent="0.25">
      <c r="A179" t="s">
        <v>158</v>
      </c>
      <c r="B179" t="s">
        <v>158</v>
      </c>
      <c r="C179" t="s">
        <v>160</v>
      </c>
      <c r="D179" s="2"/>
      <c r="E179" s="25">
        <v>45523</v>
      </c>
      <c r="I179" s="2">
        <v>5120624</v>
      </c>
      <c r="Q179" t="s">
        <v>248</v>
      </c>
    </row>
    <row r="180" spans="1:17" x14ac:dyDescent="0.25">
      <c r="A180" t="s">
        <v>42</v>
      </c>
      <c r="B180" t="s">
        <v>42</v>
      </c>
      <c r="C180" t="s">
        <v>94</v>
      </c>
      <c r="D180" s="2"/>
      <c r="E180" s="25">
        <v>45412</v>
      </c>
      <c r="I180" s="2">
        <v>2506113</v>
      </c>
      <c r="Q180" t="s">
        <v>248</v>
      </c>
    </row>
    <row r="181" spans="1:17" x14ac:dyDescent="0.25">
      <c r="A181" t="s">
        <v>42</v>
      </c>
      <c r="B181" t="s">
        <v>42</v>
      </c>
      <c r="C181" t="s">
        <v>95</v>
      </c>
      <c r="D181" s="2"/>
      <c r="E181" s="25">
        <v>45432</v>
      </c>
      <c r="I181" s="2">
        <v>5704290</v>
      </c>
      <c r="Q181" t="s">
        <v>248</v>
      </c>
    </row>
    <row r="182" spans="1:17" x14ac:dyDescent="0.25">
      <c r="A182" t="s">
        <v>42</v>
      </c>
      <c r="B182" t="s">
        <v>42</v>
      </c>
      <c r="C182" t="s">
        <v>96</v>
      </c>
      <c r="D182" s="2"/>
      <c r="E182" s="25">
        <v>45440</v>
      </c>
      <c r="I182" s="2">
        <v>21338640</v>
      </c>
      <c r="Q182" t="s">
        <v>248</v>
      </c>
    </row>
    <row r="183" spans="1:17" x14ac:dyDescent="0.25">
      <c r="A183" t="s">
        <v>42</v>
      </c>
      <c r="B183" t="s">
        <v>42</v>
      </c>
      <c r="C183" t="s">
        <v>97</v>
      </c>
      <c r="D183" s="2"/>
      <c r="E183" s="25">
        <v>45441</v>
      </c>
      <c r="I183" s="2">
        <v>65686248</v>
      </c>
      <c r="Q183" t="s">
        <v>248</v>
      </c>
    </row>
    <row r="184" spans="1:17" x14ac:dyDescent="0.25">
      <c r="A184" t="s">
        <v>42</v>
      </c>
      <c r="B184" t="s">
        <v>42</v>
      </c>
      <c r="C184" t="s">
        <v>139</v>
      </c>
      <c r="D184" s="2"/>
      <c r="E184" s="25">
        <v>45516</v>
      </c>
      <c r="I184" s="2">
        <v>30576976</v>
      </c>
      <c r="Q184" t="s">
        <v>248</v>
      </c>
    </row>
    <row r="185" spans="1:17" x14ac:dyDescent="0.25">
      <c r="A185" t="s">
        <v>43</v>
      </c>
      <c r="B185" t="s">
        <v>43</v>
      </c>
      <c r="C185" t="s">
        <v>98</v>
      </c>
      <c r="D185" s="2"/>
      <c r="E185" s="25">
        <v>45412</v>
      </c>
      <c r="I185" s="2">
        <v>38698960</v>
      </c>
      <c r="Q185" t="s">
        <v>248</v>
      </c>
    </row>
    <row r="186" spans="1:17" x14ac:dyDescent="0.25">
      <c r="A186" t="s">
        <v>43</v>
      </c>
      <c r="B186" t="s">
        <v>43</v>
      </c>
      <c r="C186" t="s">
        <v>99</v>
      </c>
      <c r="D186" s="2"/>
      <c r="E186" s="25">
        <v>45441</v>
      </c>
      <c r="I186" s="2">
        <v>19840889</v>
      </c>
      <c r="Q186" t="s">
        <v>248</v>
      </c>
    </row>
    <row r="187" spans="1:17" x14ac:dyDescent="0.25">
      <c r="A187" t="s">
        <v>43</v>
      </c>
      <c r="B187" t="s">
        <v>43</v>
      </c>
      <c r="C187" t="s">
        <v>100</v>
      </c>
      <c r="D187" s="2"/>
      <c r="E187" s="25">
        <v>45439</v>
      </c>
      <c r="I187" s="2">
        <v>18253728</v>
      </c>
      <c r="Q187" t="s">
        <v>248</v>
      </c>
    </row>
    <row r="188" spans="1:17" x14ac:dyDescent="0.25">
      <c r="A188" t="s">
        <v>43</v>
      </c>
      <c r="B188" t="s">
        <v>43</v>
      </c>
      <c r="C188" t="s">
        <v>161</v>
      </c>
      <c r="D188" s="2"/>
      <c r="E188" s="25">
        <v>45523</v>
      </c>
      <c r="I188" s="2">
        <v>31042760</v>
      </c>
      <c r="Q188" t="s">
        <v>248</v>
      </c>
    </row>
    <row r="189" spans="1:17" x14ac:dyDescent="0.25">
      <c r="A189" t="s">
        <v>39</v>
      </c>
      <c r="B189" t="s">
        <v>39</v>
      </c>
      <c r="C189" t="s">
        <v>101</v>
      </c>
      <c r="D189" s="2"/>
      <c r="E189" s="25">
        <v>45379</v>
      </c>
      <c r="I189" s="2">
        <v>3635206</v>
      </c>
      <c r="Q189" t="s">
        <v>248</v>
      </c>
    </row>
    <row r="190" spans="1:17" x14ac:dyDescent="0.25">
      <c r="A190" t="s">
        <v>53</v>
      </c>
      <c r="B190" t="s">
        <v>53</v>
      </c>
      <c r="C190" t="s">
        <v>102</v>
      </c>
      <c r="D190" s="2"/>
      <c r="E190" s="25">
        <v>45446</v>
      </c>
      <c r="I190" s="2">
        <v>10038701</v>
      </c>
      <c r="Q190" t="s">
        <v>248</v>
      </c>
    </row>
    <row r="191" spans="1:17" x14ac:dyDescent="0.25">
      <c r="A191" t="s">
        <v>53</v>
      </c>
      <c r="B191" t="s">
        <v>53</v>
      </c>
      <c r="C191" t="s">
        <v>140</v>
      </c>
      <c r="D191" s="2"/>
      <c r="E191" s="25">
        <v>45519</v>
      </c>
      <c r="I191" s="2">
        <v>55682096</v>
      </c>
      <c r="Q191" t="s">
        <v>248</v>
      </c>
    </row>
    <row r="192" spans="1:17" x14ac:dyDescent="0.25">
      <c r="A192" t="s">
        <v>53</v>
      </c>
      <c r="B192" t="s">
        <v>53</v>
      </c>
      <c r="C192" t="s">
        <v>103</v>
      </c>
      <c r="D192" s="2"/>
      <c r="E192" s="25">
        <v>45443</v>
      </c>
      <c r="I192" s="2">
        <v>65547638</v>
      </c>
      <c r="Q192" t="s">
        <v>248</v>
      </c>
    </row>
    <row r="193" spans="1:17" x14ac:dyDescent="0.25">
      <c r="A193" t="s">
        <v>54</v>
      </c>
      <c r="B193" t="s">
        <v>54</v>
      </c>
      <c r="C193" t="s">
        <v>104</v>
      </c>
      <c r="D193" s="2"/>
      <c r="E193" s="25">
        <v>45446</v>
      </c>
      <c r="I193" s="2">
        <v>11702204</v>
      </c>
      <c r="Q193" t="s">
        <v>248</v>
      </c>
    </row>
    <row r="194" spans="1:17" x14ac:dyDescent="0.25">
      <c r="A194" t="s">
        <v>54</v>
      </c>
      <c r="B194" t="s">
        <v>54</v>
      </c>
      <c r="C194" t="s">
        <v>141</v>
      </c>
      <c r="D194" s="2"/>
      <c r="E194" s="25">
        <v>45516</v>
      </c>
      <c r="I194" s="2">
        <v>37201428</v>
      </c>
      <c r="Q194" t="s">
        <v>248</v>
      </c>
    </row>
    <row r="195" spans="1:17" x14ac:dyDescent="0.25">
      <c r="A195" t="s">
        <v>55</v>
      </c>
      <c r="B195" t="s">
        <v>55</v>
      </c>
      <c r="C195" t="s">
        <v>105</v>
      </c>
      <c r="D195" s="2"/>
      <c r="E195" s="25">
        <v>45439</v>
      </c>
      <c r="I195" s="2">
        <v>14225760</v>
      </c>
      <c r="Q195" t="s">
        <v>248</v>
      </c>
    </row>
    <row r="196" spans="1:17" x14ac:dyDescent="0.25">
      <c r="A196" t="s">
        <v>56</v>
      </c>
      <c r="B196" t="s">
        <v>56</v>
      </c>
      <c r="C196" t="s">
        <v>106</v>
      </c>
      <c r="D196" s="2"/>
      <c r="E196" s="25">
        <v>45446</v>
      </c>
      <c r="I196" s="2">
        <v>21909069</v>
      </c>
      <c r="Q196" t="s">
        <v>248</v>
      </c>
    </row>
    <row r="197" spans="1:17" x14ac:dyDescent="0.25">
      <c r="A197" t="s">
        <v>56</v>
      </c>
      <c r="B197" t="s">
        <v>56</v>
      </c>
      <c r="C197" t="s">
        <v>107</v>
      </c>
      <c r="D197" s="2"/>
      <c r="E197" s="25"/>
      <c r="I197" s="2">
        <v>5666828</v>
      </c>
      <c r="Q197" t="s">
        <v>248</v>
      </c>
    </row>
    <row r="198" spans="1:17" x14ac:dyDescent="0.25">
      <c r="A198" t="s">
        <v>56</v>
      </c>
      <c r="B198" t="s">
        <v>56</v>
      </c>
      <c r="C198" t="s">
        <v>162</v>
      </c>
      <c r="D198" s="2"/>
      <c r="E198" s="25">
        <v>45523</v>
      </c>
      <c r="I198" s="2">
        <v>48348603</v>
      </c>
      <c r="Q198" t="s">
        <v>248</v>
      </c>
    </row>
    <row r="199" spans="1:17" x14ac:dyDescent="0.25">
      <c r="A199" t="s">
        <v>57</v>
      </c>
      <c r="B199" t="s">
        <v>57</v>
      </c>
      <c r="C199" t="s">
        <v>108</v>
      </c>
      <c r="D199" s="2"/>
      <c r="E199" s="25">
        <v>45446</v>
      </c>
      <c r="I199" s="2">
        <v>5042703</v>
      </c>
      <c r="Q199" t="s">
        <v>248</v>
      </c>
    </row>
    <row r="200" spans="1:17" x14ac:dyDescent="0.25">
      <c r="A200" t="s">
        <v>57</v>
      </c>
      <c r="B200" t="s">
        <v>57</v>
      </c>
      <c r="C200" t="s">
        <v>109</v>
      </c>
      <c r="D200" s="2"/>
      <c r="E200" s="25">
        <v>45446</v>
      </c>
      <c r="I200" s="2">
        <v>3170327</v>
      </c>
      <c r="Q200" t="s">
        <v>248</v>
      </c>
    </row>
    <row r="201" spans="1:17" x14ac:dyDescent="0.25">
      <c r="A201" t="s">
        <v>58</v>
      </c>
      <c r="B201" t="s">
        <v>58</v>
      </c>
      <c r="C201" t="s">
        <v>110</v>
      </c>
      <c r="D201" s="2"/>
      <c r="E201" s="25">
        <v>45443</v>
      </c>
      <c r="I201" s="2">
        <v>18789192</v>
      </c>
      <c r="Q201" t="s">
        <v>248</v>
      </c>
    </row>
    <row r="202" spans="1:17" x14ac:dyDescent="0.25">
      <c r="A202" t="s">
        <v>59</v>
      </c>
      <c r="B202" t="s">
        <v>59</v>
      </c>
      <c r="C202" t="s">
        <v>111</v>
      </c>
      <c r="D202" s="2"/>
      <c r="E202" s="25">
        <v>45443</v>
      </c>
      <c r="I202" s="2">
        <v>33148818</v>
      </c>
      <c r="Q202" t="s">
        <v>248</v>
      </c>
    </row>
    <row r="203" spans="1:17" x14ac:dyDescent="0.25">
      <c r="A203" t="s">
        <v>59</v>
      </c>
      <c r="B203" t="s">
        <v>59</v>
      </c>
      <c r="C203" t="s">
        <v>163</v>
      </c>
      <c r="D203" s="2"/>
      <c r="E203" s="25">
        <v>45524</v>
      </c>
      <c r="I203" s="2">
        <v>1887860</v>
      </c>
      <c r="Q203" t="s">
        <v>248</v>
      </c>
    </row>
    <row r="204" spans="1:17" x14ac:dyDescent="0.25">
      <c r="A204" t="s">
        <v>60</v>
      </c>
      <c r="B204" t="s">
        <v>60</v>
      </c>
      <c r="C204" t="s">
        <v>112</v>
      </c>
      <c r="D204" s="2"/>
      <c r="E204" s="25">
        <v>45432</v>
      </c>
      <c r="I204" s="2">
        <v>23114772</v>
      </c>
      <c r="Q204" t="s">
        <v>248</v>
      </c>
    </row>
    <row r="205" spans="1:17" x14ac:dyDescent="0.25">
      <c r="A205" t="s">
        <v>60</v>
      </c>
      <c r="B205" t="s">
        <v>60</v>
      </c>
      <c r="C205" t="s">
        <v>113</v>
      </c>
      <c r="D205" s="2"/>
      <c r="E205" s="25">
        <v>45439</v>
      </c>
      <c r="I205" s="2">
        <v>9627363</v>
      </c>
      <c r="Q205" t="s">
        <v>248</v>
      </c>
    </row>
    <row r="206" spans="1:17" x14ac:dyDescent="0.25">
      <c r="A206" t="s">
        <v>60</v>
      </c>
      <c r="B206" t="s">
        <v>60</v>
      </c>
      <c r="C206" t="s">
        <v>185</v>
      </c>
      <c r="D206" s="2"/>
      <c r="E206" s="25">
        <v>45534</v>
      </c>
      <c r="I206" s="2">
        <v>2160677</v>
      </c>
      <c r="Q206" t="s">
        <v>248</v>
      </c>
    </row>
    <row r="207" spans="1:17" x14ac:dyDescent="0.25">
      <c r="A207" t="s">
        <v>61</v>
      </c>
      <c r="B207" t="s">
        <v>61</v>
      </c>
      <c r="C207" t="s">
        <v>114</v>
      </c>
      <c r="D207" s="2"/>
      <c r="E207" s="25">
        <v>45436</v>
      </c>
      <c r="I207" s="2">
        <v>24121355</v>
      </c>
      <c r="Q207" t="s">
        <v>248</v>
      </c>
    </row>
    <row r="208" spans="1:17" x14ac:dyDescent="0.25">
      <c r="A208" t="s">
        <v>61</v>
      </c>
      <c r="B208" t="s">
        <v>61</v>
      </c>
      <c r="C208" t="s">
        <v>115</v>
      </c>
      <c r="D208" s="2"/>
      <c r="E208" s="25">
        <v>45443</v>
      </c>
      <c r="I208" s="2">
        <v>25197778</v>
      </c>
      <c r="Q208" t="s">
        <v>248</v>
      </c>
    </row>
    <row r="209" spans="1:17" x14ac:dyDescent="0.25">
      <c r="A209" t="s">
        <v>62</v>
      </c>
      <c r="B209" t="s">
        <v>62</v>
      </c>
      <c r="C209" t="s">
        <v>116</v>
      </c>
      <c r="D209" s="2"/>
      <c r="E209" s="25">
        <v>45436</v>
      </c>
      <c r="I209" s="2">
        <v>48712490</v>
      </c>
      <c r="Q209" t="s">
        <v>248</v>
      </c>
    </row>
    <row r="210" spans="1:17" x14ac:dyDescent="0.25">
      <c r="A210" t="s">
        <v>63</v>
      </c>
      <c r="B210" t="s">
        <v>63</v>
      </c>
      <c r="C210" t="s">
        <v>117</v>
      </c>
      <c r="D210" s="2"/>
      <c r="E210" s="25">
        <v>45412</v>
      </c>
      <c r="I210" s="2">
        <v>269096384</v>
      </c>
      <c r="Q210" t="s">
        <v>248</v>
      </c>
    </row>
    <row r="211" spans="1:17" x14ac:dyDescent="0.25">
      <c r="A211" t="s">
        <v>63</v>
      </c>
      <c r="B211" t="s">
        <v>63</v>
      </c>
      <c r="C211" t="s">
        <v>118</v>
      </c>
      <c r="D211" s="2"/>
      <c r="E211" s="25">
        <v>45446</v>
      </c>
      <c r="I211" s="2">
        <v>16938295</v>
      </c>
      <c r="Q211" t="s">
        <v>248</v>
      </c>
    </row>
    <row r="212" spans="1:17" x14ac:dyDescent="0.25">
      <c r="A212" t="s">
        <v>63</v>
      </c>
      <c r="B212" t="s">
        <v>63</v>
      </c>
      <c r="C212" t="s">
        <v>142</v>
      </c>
      <c r="D212" s="2"/>
      <c r="E212" s="25">
        <v>45519</v>
      </c>
      <c r="I212" s="2">
        <v>53351928</v>
      </c>
      <c r="Q212" t="s">
        <v>248</v>
      </c>
    </row>
    <row r="213" spans="1:17" x14ac:dyDescent="0.25">
      <c r="A213" t="s">
        <v>44</v>
      </c>
      <c r="B213" t="s">
        <v>44</v>
      </c>
      <c r="C213" t="s">
        <v>119</v>
      </c>
      <c r="D213" s="2"/>
      <c r="E213" s="25">
        <v>45412</v>
      </c>
      <c r="I213" s="2">
        <v>61271506</v>
      </c>
      <c r="Q213" t="s">
        <v>248</v>
      </c>
    </row>
    <row r="214" spans="1:17" x14ac:dyDescent="0.25">
      <c r="A214" t="s">
        <v>44</v>
      </c>
      <c r="B214" t="s">
        <v>44</v>
      </c>
      <c r="C214" t="s">
        <v>143</v>
      </c>
      <c r="D214" s="2"/>
      <c r="E214" s="25">
        <v>45519</v>
      </c>
      <c r="I214" s="2">
        <v>36019195</v>
      </c>
      <c r="Q214" t="s">
        <v>248</v>
      </c>
    </row>
    <row r="215" spans="1:17" x14ac:dyDescent="0.25">
      <c r="A215" t="s">
        <v>44</v>
      </c>
      <c r="B215" t="s">
        <v>44</v>
      </c>
      <c r="C215" t="s">
        <v>164</v>
      </c>
      <c r="D215" s="2"/>
      <c r="E215" s="25">
        <v>45524</v>
      </c>
      <c r="I215" s="2">
        <v>176573</v>
      </c>
      <c r="Q215" t="s">
        <v>248</v>
      </c>
    </row>
    <row r="216" spans="1:17" x14ac:dyDescent="0.25">
      <c r="A216" t="s">
        <v>45</v>
      </c>
      <c r="B216" t="s">
        <v>45</v>
      </c>
      <c r="C216" t="s">
        <v>120</v>
      </c>
      <c r="D216" s="2"/>
      <c r="E216" s="25">
        <v>45412</v>
      </c>
      <c r="I216" s="2">
        <v>16775690</v>
      </c>
      <c r="Q216" t="s">
        <v>248</v>
      </c>
    </row>
    <row r="217" spans="1:17" x14ac:dyDescent="0.25">
      <c r="A217" t="s">
        <v>45</v>
      </c>
      <c r="B217" t="s">
        <v>45</v>
      </c>
      <c r="C217" t="s">
        <v>121</v>
      </c>
      <c r="D217" s="2"/>
      <c r="E217" s="25">
        <v>45446</v>
      </c>
      <c r="I217" s="2">
        <v>2281716</v>
      </c>
      <c r="Q217" t="s">
        <v>248</v>
      </c>
    </row>
    <row r="218" spans="1:17" x14ac:dyDescent="0.25">
      <c r="A218" t="s">
        <v>45</v>
      </c>
      <c r="B218" t="s">
        <v>45</v>
      </c>
      <c r="C218" t="s">
        <v>122</v>
      </c>
      <c r="D218" s="2"/>
      <c r="E218" s="25">
        <v>45446</v>
      </c>
      <c r="I218" s="2">
        <v>12215774</v>
      </c>
      <c r="Q218" t="s">
        <v>248</v>
      </c>
    </row>
    <row r="219" spans="1:17" x14ac:dyDescent="0.25">
      <c r="A219" t="s">
        <v>45</v>
      </c>
      <c r="B219" t="s">
        <v>45</v>
      </c>
      <c r="C219" t="s">
        <v>144</v>
      </c>
      <c r="D219" s="2"/>
      <c r="E219" s="25">
        <v>45519</v>
      </c>
      <c r="I219" s="2">
        <v>17131601</v>
      </c>
      <c r="Q219" t="s">
        <v>248</v>
      </c>
    </row>
    <row r="220" spans="1:17" x14ac:dyDescent="0.25">
      <c r="A220" t="s">
        <v>64</v>
      </c>
      <c r="B220" t="s">
        <v>64</v>
      </c>
      <c r="C220" t="s">
        <v>123</v>
      </c>
      <c r="D220" s="2"/>
      <c r="E220" s="25">
        <v>45446</v>
      </c>
      <c r="I220" s="2">
        <v>5283212</v>
      </c>
      <c r="Q220" t="s">
        <v>248</v>
      </c>
    </row>
    <row r="221" spans="1:17" x14ac:dyDescent="0.25">
      <c r="A221" t="s">
        <v>65</v>
      </c>
      <c r="B221" t="s">
        <v>65</v>
      </c>
      <c r="C221" t="s">
        <v>124</v>
      </c>
      <c r="D221" s="2"/>
      <c r="E221" s="25">
        <v>45446</v>
      </c>
      <c r="I221" s="2">
        <v>5459785</v>
      </c>
      <c r="Q221" t="s">
        <v>248</v>
      </c>
    </row>
    <row r="222" spans="1:17" x14ac:dyDescent="0.25">
      <c r="A222" t="s">
        <v>65</v>
      </c>
      <c r="B222" t="s">
        <v>65</v>
      </c>
      <c r="C222" t="s">
        <v>145</v>
      </c>
      <c r="D222" s="2"/>
      <c r="E222" s="25">
        <v>45519</v>
      </c>
      <c r="I222" s="2">
        <v>22873187</v>
      </c>
      <c r="Q222" t="s">
        <v>248</v>
      </c>
    </row>
    <row r="223" spans="1:17" x14ac:dyDescent="0.25">
      <c r="A223" t="s">
        <v>66</v>
      </c>
      <c r="B223" t="s">
        <v>66</v>
      </c>
      <c r="C223" t="s">
        <v>125</v>
      </c>
      <c r="D223" s="2"/>
      <c r="E223" s="25">
        <v>45440</v>
      </c>
      <c r="I223" s="2">
        <v>27747225</v>
      </c>
      <c r="Q223" t="s">
        <v>248</v>
      </c>
    </row>
    <row r="224" spans="1:17" x14ac:dyDescent="0.25">
      <c r="A224" t="s">
        <v>66</v>
      </c>
      <c r="B224" t="s">
        <v>66</v>
      </c>
      <c r="C224" t="s">
        <v>126</v>
      </c>
      <c r="D224" s="2"/>
      <c r="E224" s="25">
        <v>45441</v>
      </c>
      <c r="I224" s="2">
        <v>84381035</v>
      </c>
      <c r="Q224" t="s">
        <v>248</v>
      </c>
    </row>
    <row r="225" spans="1:17" x14ac:dyDescent="0.25">
      <c r="A225" t="s">
        <v>67</v>
      </c>
      <c r="B225" t="s">
        <v>67</v>
      </c>
      <c r="C225" t="s">
        <v>127</v>
      </c>
      <c r="D225" s="2"/>
      <c r="E225" s="25">
        <v>45443</v>
      </c>
      <c r="I225" s="2">
        <v>15232752</v>
      </c>
      <c r="Q225" t="s">
        <v>248</v>
      </c>
    </row>
    <row r="226" spans="1:17" x14ac:dyDescent="0.25">
      <c r="A226" t="s">
        <v>67</v>
      </c>
      <c r="B226" t="s">
        <v>67</v>
      </c>
      <c r="C226" t="s">
        <v>128</v>
      </c>
      <c r="D226" s="2"/>
      <c r="E226" s="25">
        <v>45443</v>
      </c>
      <c r="I226" s="2">
        <v>19094720</v>
      </c>
      <c r="Q226" t="s">
        <v>248</v>
      </c>
    </row>
    <row r="227" spans="1:17" x14ac:dyDescent="0.25">
      <c r="A227" t="s">
        <v>46</v>
      </c>
      <c r="B227" t="s">
        <v>46</v>
      </c>
      <c r="C227" t="s">
        <v>129</v>
      </c>
      <c r="D227" s="2"/>
      <c r="E227" s="25">
        <v>45412</v>
      </c>
      <c r="I227" s="2">
        <v>8515082</v>
      </c>
      <c r="Q227" t="s">
        <v>248</v>
      </c>
    </row>
    <row r="228" spans="1:17" x14ac:dyDescent="0.25">
      <c r="A228" t="s">
        <v>46</v>
      </c>
      <c r="B228" t="s">
        <v>46</v>
      </c>
      <c r="C228" t="s">
        <v>130</v>
      </c>
      <c r="D228" s="2"/>
      <c r="E228" s="25">
        <v>45446</v>
      </c>
      <c r="I228" s="2">
        <v>6845148</v>
      </c>
      <c r="Q228" t="s">
        <v>248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3757D-B632-4471-A477-249CEF06166D}">
  <sheetPr codeName="Sheet73"/>
  <dimension ref="A1:D89"/>
  <sheetViews>
    <sheetView workbookViewId="0"/>
  </sheetViews>
  <sheetFormatPr defaultColWidth="9.140625" defaultRowHeight="15" x14ac:dyDescent="0.25"/>
  <cols>
    <col min="1" max="1" width="66" style="10" bestFit="1" customWidth="1"/>
    <col min="2" max="2" width="10.140625" style="10" bestFit="1" customWidth="1"/>
    <col min="3" max="3" width="27.42578125" style="10" bestFit="1" customWidth="1"/>
    <col min="4" max="4" width="28.85546875" style="10" bestFit="1" customWidth="1"/>
    <col min="5" max="16384" width="9.140625" style="10"/>
  </cols>
  <sheetData>
    <row r="1" spans="1:4" x14ac:dyDescent="0.25">
      <c r="A1" s="8" t="s">
        <v>186</v>
      </c>
      <c r="B1" s="9" t="s">
        <v>191</v>
      </c>
      <c r="C1" s="9" t="s">
        <v>192</v>
      </c>
      <c r="D1" s="9" t="s">
        <v>13</v>
      </c>
    </row>
    <row r="2" spans="1:4" x14ac:dyDescent="0.25">
      <c r="A2" s="10" t="s">
        <v>193</v>
      </c>
      <c r="B2" s="10" t="s">
        <v>194</v>
      </c>
      <c r="C2" s="10" t="s">
        <v>17</v>
      </c>
      <c r="D2" s="10" t="s">
        <v>14</v>
      </c>
    </row>
    <row r="3" spans="1:4" x14ac:dyDescent="0.25">
      <c r="A3" s="10" t="s">
        <v>195</v>
      </c>
      <c r="B3" s="10" t="s">
        <v>194</v>
      </c>
      <c r="C3" s="10" t="s">
        <v>17</v>
      </c>
      <c r="D3" s="10" t="s">
        <v>14</v>
      </c>
    </row>
    <row r="4" spans="1:4" x14ac:dyDescent="0.25">
      <c r="A4" s="10" t="s">
        <v>5</v>
      </c>
      <c r="B4" s="10" t="s">
        <v>196</v>
      </c>
      <c r="C4" s="10" t="s">
        <v>12</v>
      </c>
      <c r="D4" s="10" t="s">
        <v>14</v>
      </c>
    </row>
    <row r="5" spans="1:4" x14ac:dyDescent="0.25">
      <c r="A5" s="10" t="s">
        <v>197</v>
      </c>
      <c r="B5" s="10" t="s">
        <v>196</v>
      </c>
      <c r="C5" s="10" t="s">
        <v>12</v>
      </c>
      <c r="D5" s="10" t="s">
        <v>14</v>
      </c>
    </row>
    <row r="6" spans="1:4" x14ac:dyDescent="0.25">
      <c r="A6" s="11" t="s">
        <v>19</v>
      </c>
      <c r="B6" s="10" t="s">
        <v>198</v>
      </c>
      <c r="C6" s="12" t="s">
        <v>20</v>
      </c>
      <c r="D6" s="10" t="s">
        <v>20</v>
      </c>
    </row>
    <row r="7" spans="1:4" x14ac:dyDescent="0.25">
      <c r="A7" s="10" t="s">
        <v>199</v>
      </c>
      <c r="B7" s="10" t="s">
        <v>194</v>
      </c>
      <c r="C7" s="10" t="s">
        <v>17</v>
      </c>
      <c r="D7" s="10" t="s">
        <v>14</v>
      </c>
    </row>
    <row r="8" spans="1:4" x14ac:dyDescent="0.25">
      <c r="A8" s="10" t="s">
        <v>200</v>
      </c>
      <c r="B8" s="10" t="s">
        <v>201</v>
      </c>
      <c r="C8" s="10" t="s">
        <v>202</v>
      </c>
      <c r="D8" s="10" t="s">
        <v>14</v>
      </c>
    </row>
    <row r="9" spans="1:4" x14ac:dyDescent="0.25">
      <c r="A9" s="10" t="s">
        <v>203</v>
      </c>
      <c r="B9" s="10" t="s">
        <v>194</v>
      </c>
      <c r="C9" s="10" t="s">
        <v>17</v>
      </c>
      <c r="D9" s="10" t="s">
        <v>14</v>
      </c>
    </row>
    <row r="10" spans="1:4" x14ac:dyDescent="0.25">
      <c r="A10" s="10" t="s">
        <v>204</v>
      </c>
      <c r="B10" s="10" t="s">
        <v>205</v>
      </c>
      <c r="C10" s="10" t="s">
        <v>206</v>
      </c>
      <c r="D10" s="10" t="s">
        <v>14</v>
      </c>
    </row>
    <row r="11" spans="1:4" x14ac:dyDescent="0.25">
      <c r="A11" s="10" t="s">
        <v>21</v>
      </c>
      <c r="B11" s="10" t="s">
        <v>198</v>
      </c>
      <c r="C11" s="12" t="s">
        <v>20</v>
      </c>
      <c r="D11" s="10" t="s">
        <v>20</v>
      </c>
    </row>
    <row r="12" spans="1:4" x14ac:dyDescent="0.25">
      <c r="A12" s="10" t="s">
        <v>208</v>
      </c>
      <c r="B12" s="10" t="s">
        <v>207</v>
      </c>
      <c r="C12" t="s">
        <v>26</v>
      </c>
      <c r="D12" t="s">
        <v>27</v>
      </c>
    </row>
    <row r="13" spans="1:4" x14ac:dyDescent="0.25">
      <c r="A13" s="10" t="s">
        <v>203</v>
      </c>
      <c r="B13" s="10" t="s">
        <v>201</v>
      </c>
      <c r="C13" s="10" t="s">
        <v>202</v>
      </c>
      <c r="D13" s="10" t="s">
        <v>14</v>
      </c>
    </row>
    <row r="14" spans="1:4" x14ac:dyDescent="0.25">
      <c r="A14" s="10" t="s">
        <v>209</v>
      </c>
      <c r="B14" s="10" t="s">
        <v>210</v>
      </c>
      <c r="C14" s="12" t="s">
        <v>131</v>
      </c>
      <c r="D14" s="10" t="s">
        <v>14</v>
      </c>
    </row>
    <row r="15" spans="1:4" x14ac:dyDescent="0.25">
      <c r="A15" s="10" t="s">
        <v>204</v>
      </c>
      <c r="B15" s="10" t="s">
        <v>201</v>
      </c>
      <c r="C15" s="10" t="s">
        <v>202</v>
      </c>
      <c r="D15" s="10" t="s">
        <v>14</v>
      </c>
    </row>
    <row r="16" spans="1:4" x14ac:dyDescent="0.25">
      <c r="A16" s="10" t="s">
        <v>15</v>
      </c>
      <c r="B16" s="10" t="s">
        <v>194</v>
      </c>
      <c r="C16" s="10" t="s">
        <v>17</v>
      </c>
      <c r="D16" s="10" t="s">
        <v>14</v>
      </c>
    </row>
    <row r="17" spans="1:4" ht="15.75" x14ac:dyDescent="0.25">
      <c r="A17" s="13" t="s">
        <v>28</v>
      </c>
      <c r="B17" s="14" t="s">
        <v>211</v>
      </c>
      <c r="C17" s="10" t="s">
        <v>29</v>
      </c>
      <c r="D17" s="10" t="s">
        <v>20</v>
      </c>
    </row>
    <row r="18" spans="1:4" ht="15.75" x14ac:dyDescent="0.25">
      <c r="A18" s="13" t="s">
        <v>28</v>
      </c>
      <c r="B18" s="14" t="s">
        <v>212</v>
      </c>
      <c r="C18" s="12" t="s">
        <v>30</v>
      </c>
      <c r="D18" s="10" t="s">
        <v>20</v>
      </c>
    </row>
    <row r="19" spans="1:4" ht="15.75" x14ac:dyDescent="0.25">
      <c r="A19" s="15" t="s">
        <v>213</v>
      </c>
      <c r="B19" s="14" t="s">
        <v>214</v>
      </c>
      <c r="C19" s="12" t="s">
        <v>31</v>
      </c>
      <c r="D19" s="10" t="s">
        <v>32</v>
      </c>
    </row>
    <row r="20" spans="1:4" ht="15.75" x14ac:dyDescent="0.25">
      <c r="A20" s="13" t="s">
        <v>33</v>
      </c>
      <c r="B20" s="14" t="s">
        <v>211</v>
      </c>
      <c r="C20" s="10" t="s">
        <v>29</v>
      </c>
      <c r="D20" s="10" t="s">
        <v>20</v>
      </c>
    </row>
    <row r="21" spans="1:4" ht="15.75" x14ac:dyDescent="0.25">
      <c r="A21" s="13" t="s">
        <v>33</v>
      </c>
      <c r="B21" s="14" t="s">
        <v>212</v>
      </c>
      <c r="C21" s="12" t="s">
        <v>30</v>
      </c>
      <c r="D21" s="10" t="s">
        <v>20</v>
      </c>
    </row>
    <row r="22" spans="1:4" ht="15.75" x14ac:dyDescent="0.25">
      <c r="A22" s="16" t="s">
        <v>215</v>
      </c>
      <c r="B22" s="14" t="s">
        <v>212</v>
      </c>
      <c r="C22" s="12" t="s">
        <v>30</v>
      </c>
      <c r="D22" s="10" t="s">
        <v>20</v>
      </c>
    </row>
    <row r="23" spans="1:4" ht="15.75" x14ac:dyDescent="0.25">
      <c r="A23" s="16" t="s">
        <v>215</v>
      </c>
      <c r="B23" s="14" t="s">
        <v>211</v>
      </c>
      <c r="C23" s="10" t="s">
        <v>29</v>
      </c>
      <c r="D23" s="10" t="s">
        <v>20</v>
      </c>
    </row>
    <row r="24" spans="1:4" ht="15.75" x14ac:dyDescent="0.25">
      <c r="A24" s="13" t="s">
        <v>165</v>
      </c>
      <c r="B24" s="14" t="s">
        <v>210</v>
      </c>
      <c r="C24" s="12" t="s">
        <v>131</v>
      </c>
      <c r="D24" s="10" t="s">
        <v>14</v>
      </c>
    </row>
    <row r="25" spans="1:4" ht="15.75" x14ac:dyDescent="0.25">
      <c r="A25" s="13" t="s">
        <v>34</v>
      </c>
      <c r="B25" s="14" t="s">
        <v>216</v>
      </c>
      <c r="C25" s="10" t="s">
        <v>35</v>
      </c>
      <c r="D25" s="10" t="s">
        <v>14</v>
      </c>
    </row>
    <row r="26" spans="1:4" ht="15.75" x14ac:dyDescent="0.25">
      <c r="A26" s="13" t="s">
        <v>217</v>
      </c>
      <c r="B26" s="14" t="s">
        <v>211</v>
      </c>
      <c r="C26" s="10" t="s">
        <v>29</v>
      </c>
      <c r="D26" s="10" t="s">
        <v>20</v>
      </c>
    </row>
    <row r="27" spans="1:4" ht="15.75" x14ac:dyDescent="0.25">
      <c r="A27" s="13" t="s">
        <v>217</v>
      </c>
      <c r="B27" s="14" t="s">
        <v>212</v>
      </c>
      <c r="C27" s="12" t="s">
        <v>30</v>
      </c>
      <c r="D27" s="10" t="s">
        <v>20</v>
      </c>
    </row>
    <row r="28" spans="1:4" ht="15.75" x14ac:dyDescent="0.25">
      <c r="A28" s="13" t="s">
        <v>218</v>
      </c>
      <c r="B28" s="14" t="s">
        <v>214</v>
      </c>
      <c r="C28" s="12" t="s">
        <v>31</v>
      </c>
      <c r="D28" s="10" t="s">
        <v>32</v>
      </c>
    </row>
    <row r="29" spans="1:4" ht="15.75" x14ac:dyDescent="0.25">
      <c r="A29" s="13" t="s">
        <v>219</v>
      </c>
      <c r="B29" s="14" t="s">
        <v>214</v>
      </c>
      <c r="C29" s="12" t="s">
        <v>31</v>
      </c>
      <c r="D29" s="10" t="s">
        <v>32</v>
      </c>
    </row>
    <row r="30" spans="1:4" ht="15.75" x14ac:dyDescent="0.25">
      <c r="A30" s="13" t="s">
        <v>220</v>
      </c>
      <c r="B30" s="14" t="s">
        <v>216</v>
      </c>
      <c r="C30" s="10" t="s">
        <v>35</v>
      </c>
      <c r="D30" s="10" t="s">
        <v>14</v>
      </c>
    </row>
    <row r="31" spans="1:4" ht="15.75" x14ac:dyDescent="0.25">
      <c r="A31" s="13" t="s">
        <v>221</v>
      </c>
      <c r="B31" s="14" t="s">
        <v>212</v>
      </c>
      <c r="C31" s="12" t="s">
        <v>30</v>
      </c>
      <c r="D31" s="10" t="s">
        <v>20</v>
      </c>
    </row>
    <row r="32" spans="1:4" ht="15.75" x14ac:dyDescent="0.25">
      <c r="A32" s="13" t="s">
        <v>221</v>
      </c>
      <c r="B32" s="14" t="s">
        <v>211</v>
      </c>
      <c r="C32" s="10" t="s">
        <v>29</v>
      </c>
      <c r="D32" s="10" t="s">
        <v>20</v>
      </c>
    </row>
    <row r="33" spans="1:4" ht="15.75" x14ac:dyDescent="0.25">
      <c r="A33" s="13" t="s">
        <v>36</v>
      </c>
      <c r="B33" s="14" t="s">
        <v>212</v>
      </c>
      <c r="C33" s="12" t="s">
        <v>30</v>
      </c>
      <c r="D33" s="10" t="s">
        <v>20</v>
      </c>
    </row>
    <row r="34" spans="1:4" ht="15.75" x14ac:dyDescent="0.25">
      <c r="A34" s="16" t="s">
        <v>37</v>
      </c>
      <c r="B34" s="14" t="s">
        <v>212</v>
      </c>
      <c r="C34" s="12" t="s">
        <v>26</v>
      </c>
      <c r="D34" s="10" t="s">
        <v>27</v>
      </c>
    </row>
    <row r="35" spans="1:4" ht="15.75" x14ac:dyDescent="0.25">
      <c r="A35" s="13" t="s">
        <v>222</v>
      </c>
      <c r="B35" s="14" t="s">
        <v>210</v>
      </c>
      <c r="C35" s="12" t="s">
        <v>223</v>
      </c>
      <c r="D35" s="10" t="s">
        <v>224</v>
      </c>
    </row>
    <row r="36" spans="1:4" ht="15.75" x14ac:dyDescent="0.25">
      <c r="A36" s="13" t="s">
        <v>225</v>
      </c>
      <c r="B36" s="14" t="s">
        <v>212</v>
      </c>
      <c r="C36" s="12" t="s">
        <v>30</v>
      </c>
      <c r="D36" s="10" t="s">
        <v>20</v>
      </c>
    </row>
    <row r="37" spans="1:4" ht="15.75" x14ac:dyDescent="0.25">
      <c r="A37" s="13" t="s">
        <v>226</v>
      </c>
      <c r="B37" s="14" t="s">
        <v>212</v>
      </c>
      <c r="C37" s="12" t="s">
        <v>30</v>
      </c>
      <c r="D37" s="10" t="s">
        <v>20</v>
      </c>
    </row>
    <row r="38" spans="1:4" ht="15.75" x14ac:dyDescent="0.25">
      <c r="A38" s="13" t="s">
        <v>227</v>
      </c>
      <c r="B38" s="14" t="s">
        <v>212</v>
      </c>
      <c r="C38" s="12" t="s">
        <v>30</v>
      </c>
      <c r="D38" s="10" t="s">
        <v>20</v>
      </c>
    </row>
    <row r="39" spans="1:4" ht="15.75" x14ac:dyDescent="0.25">
      <c r="A39" s="10" t="s">
        <v>38</v>
      </c>
      <c r="B39" s="14" t="s">
        <v>211</v>
      </c>
      <c r="C39" s="10" t="s">
        <v>29</v>
      </c>
      <c r="D39" s="10" t="s">
        <v>20</v>
      </c>
    </row>
    <row r="40" spans="1:4" x14ac:dyDescent="0.25">
      <c r="A40" s="13" t="s">
        <v>228</v>
      </c>
      <c r="B40" s="10" t="s">
        <v>194</v>
      </c>
      <c r="C40" s="10" t="s">
        <v>17</v>
      </c>
      <c r="D40" s="10" t="s">
        <v>14</v>
      </c>
    </row>
    <row r="41" spans="1:4" ht="15.75" x14ac:dyDescent="0.25">
      <c r="A41" s="13" t="s">
        <v>229</v>
      </c>
      <c r="B41" s="14" t="s">
        <v>211</v>
      </c>
      <c r="C41" s="10" t="s">
        <v>29</v>
      </c>
      <c r="D41" s="10" t="s">
        <v>20</v>
      </c>
    </row>
    <row r="42" spans="1:4" ht="15.75" x14ac:dyDescent="0.25">
      <c r="A42" s="13" t="s">
        <v>230</v>
      </c>
      <c r="B42" s="14" t="s">
        <v>212</v>
      </c>
      <c r="C42" s="12" t="s">
        <v>30</v>
      </c>
      <c r="D42" s="10" t="s">
        <v>20</v>
      </c>
    </row>
    <row r="43" spans="1:4" ht="15.75" x14ac:dyDescent="0.25">
      <c r="A43" s="13" t="s">
        <v>39</v>
      </c>
      <c r="B43" s="14" t="s">
        <v>212</v>
      </c>
      <c r="C43" s="17" t="s">
        <v>26</v>
      </c>
      <c r="D43" s="18" t="s">
        <v>27</v>
      </c>
    </row>
    <row r="44" spans="1:4" ht="15.75" x14ac:dyDescent="0.25">
      <c r="A44" s="13" t="s">
        <v>231</v>
      </c>
      <c r="B44" s="14" t="s">
        <v>212</v>
      </c>
      <c r="C44" s="12" t="s">
        <v>30</v>
      </c>
      <c r="D44" s="10" t="s">
        <v>20</v>
      </c>
    </row>
    <row r="45" spans="1:4" ht="15.75" x14ac:dyDescent="0.25">
      <c r="A45" t="s">
        <v>132</v>
      </c>
      <c r="B45" s="14" t="s">
        <v>210</v>
      </c>
      <c r="C45" s="12" t="s">
        <v>131</v>
      </c>
      <c r="D45" s="10" t="s">
        <v>14</v>
      </c>
    </row>
    <row r="46" spans="1:4" x14ac:dyDescent="0.25">
      <c r="A46" s="10" t="s">
        <v>232</v>
      </c>
      <c r="B46" s="10" t="s">
        <v>196</v>
      </c>
      <c r="C46" s="10" t="s">
        <v>12</v>
      </c>
      <c r="D46" s="10" t="s">
        <v>14</v>
      </c>
    </row>
    <row r="47" spans="1:4" ht="15.75" x14ac:dyDescent="0.25">
      <c r="A47" s="13" t="s">
        <v>40</v>
      </c>
      <c r="B47" s="14" t="s">
        <v>211</v>
      </c>
      <c r="C47" s="10" t="s">
        <v>29</v>
      </c>
      <c r="D47" s="10" t="s">
        <v>20</v>
      </c>
    </row>
    <row r="48" spans="1:4" ht="15.75" x14ac:dyDescent="0.25">
      <c r="A48" s="13" t="s">
        <v>41</v>
      </c>
      <c r="B48" s="14" t="s">
        <v>211</v>
      </c>
      <c r="C48" s="10" t="s">
        <v>29</v>
      </c>
      <c r="D48" s="10" t="s">
        <v>20</v>
      </c>
    </row>
    <row r="49" spans="1:4" ht="15.75" x14ac:dyDescent="0.25">
      <c r="A49" s="13" t="s">
        <v>42</v>
      </c>
      <c r="B49" s="14" t="s">
        <v>211</v>
      </c>
      <c r="C49" s="10" t="s">
        <v>29</v>
      </c>
      <c r="D49" s="10" t="s">
        <v>20</v>
      </c>
    </row>
    <row r="50" spans="1:4" ht="15.75" x14ac:dyDescent="0.25">
      <c r="A50" s="13" t="s">
        <v>43</v>
      </c>
      <c r="B50" s="14" t="s">
        <v>211</v>
      </c>
      <c r="C50" s="10" t="s">
        <v>29</v>
      </c>
      <c r="D50" s="10" t="s">
        <v>20</v>
      </c>
    </row>
    <row r="51" spans="1:4" ht="15.75" x14ac:dyDescent="0.25">
      <c r="A51" s="13" t="s">
        <v>44</v>
      </c>
      <c r="B51" s="14" t="s">
        <v>211</v>
      </c>
      <c r="C51" s="10" t="s">
        <v>29</v>
      </c>
      <c r="D51" s="10" t="s">
        <v>20</v>
      </c>
    </row>
    <row r="52" spans="1:4" ht="15.75" x14ac:dyDescent="0.25">
      <c r="A52" s="13" t="s">
        <v>45</v>
      </c>
      <c r="B52" s="14" t="s">
        <v>211</v>
      </c>
      <c r="C52" s="10" t="s">
        <v>29</v>
      </c>
      <c r="D52" s="10" t="s">
        <v>20</v>
      </c>
    </row>
    <row r="53" spans="1:4" ht="15.75" x14ac:dyDescent="0.25">
      <c r="A53" s="13" t="s">
        <v>46</v>
      </c>
      <c r="B53" s="14" t="s">
        <v>211</v>
      </c>
      <c r="C53" s="10" t="s">
        <v>29</v>
      </c>
      <c r="D53" s="10" t="s">
        <v>20</v>
      </c>
    </row>
    <row r="54" spans="1:4" ht="15.75" x14ac:dyDescent="0.25">
      <c r="A54" t="s">
        <v>47</v>
      </c>
      <c r="B54" s="14" t="s">
        <v>233</v>
      </c>
      <c r="C54" s="19" t="s">
        <v>48</v>
      </c>
      <c r="D54" s="19" t="s">
        <v>32</v>
      </c>
    </row>
    <row r="55" spans="1:4" ht="15.75" x14ac:dyDescent="0.25">
      <c r="A55" t="s">
        <v>49</v>
      </c>
      <c r="B55" s="14" t="s">
        <v>214</v>
      </c>
      <c r="C55" t="s">
        <v>31</v>
      </c>
      <c r="D55" t="s">
        <v>32</v>
      </c>
    </row>
    <row r="56" spans="1:4" x14ac:dyDescent="0.25">
      <c r="A56" t="s">
        <v>24</v>
      </c>
      <c r="B56" s="10" t="s">
        <v>196</v>
      </c>
      <c r="C56" s="10" t="s">
        <v>12</v>
      </c>
      <c r="D56" s="10" t="s">
        <v>14</v>
      </c>
    </row>
    <row r="57" spans="1:4" x14ac:dyDescent="0.25">
      <c r="A57" t="s">
        <v>234</v>
      </c>
      <c r="B57" s="10" t="s">
        <v>194</v>
      </c>
      <c r="C57" s="10" t="s">
        <v>17</v>
      </c>
      <c r="D57" s="10" t="s">
        <v>14</v>
      </c>
    </row>
    <row r="58" spans="1:4" x14ac:dyDescent="0.25">
      <c r="A58" s="10" t="s">
        <v>235</v>
      </c>
      <c r="B58" s="10" t="s">
        <v>194</v>
      </c>
      <c r="C58" s="10" t="s">
        <v>17</v>
      </c>
      <c r="D58" s="10" t="s">
        <v>14</v>
      </c>
    </row>
    <row r="59" spans="1:4" ht="15.75" x14ac:dyDescent="0.25">
      <c r="A59" t="s">
        <v>50</v>
      </c>
      <c r="B59" s="14" t="s">
        <v>211</v>
      </c>
      <c r="C59" s="10" t="s">
        <v>29</v>
      </c>
      <c r="D59" s="10" t="s">
        <v>20</v>
      </c>
    </row>
    <row r="60" spans="1:4" ht="15.75" x14ac:dyDescent="0.25">
      <c r="A60" t="s">
        <v>51</v>
      </c>
      <c r="B60" s="14" t="s">
        <v>211</v>
      </c>
      <c r="C60" s="10" t="s">
        <v>29</v>
      </c>
      <c r="D60" s="10" t="s">
        <v>20</v>
      </c>
    </row>
    <row r="61" spans="1:4" ht="15.75" x14ac:dyDescent="0.25">
      <c r="A61" t="s">
        <v>52</v>
      </c>
      <c r="B61" s="14" t="s">
        <v>211</v>
      </c>
      <c r="C61" s="10" t="s">
        <v>29</v>
      </c>
      <c r="D61" s="10" t="s">
        <v>20</v>
      </c>
    </row>
    <row r="62" spans="1:4" ht="15.75" x14ac:dyDescent="0.25">
      <c r="A62" t="s">
        <v>53</v>
      </c>
      <c r="B62" s="14" t="s">
        <v>211</v>
      </c>
      <c r="C62" s="10" t="s">
        <v>29</v>
      </c>
      <c r="D62" s="10" t="s">
        <v>20</v>
      </c>
    </row>
    <row r="63" spans="1:4" ht="15.75" x14ac:dyDescent="0.25">
      <c r="A63" t="s">
        <v>54</v>
      </c>
      <c r="B63" s="14" t="s">
        <v>211</v>
      </c>
      <c r="C63" s="10" t="s">
        <v>29</v>
      </c>
      <c r="D63" s="10" t="s">
        <v>20</v>
      </c>
    </row>
    <row r="64" spans="1:4" ht="15.75" x14ac:dyDescent="0.25">
      <c r="A64" t="s">
        <v>55</v>
      </c>
      <c r="B64" s="14" t="s">
        <v>211</v>
      </c>
      <c r="C64" s="10" t="s">
        <v>29</v>
      </c>
      <c r="D64" s="10" t="s">
        <v>20</v>
      </c>
    </row>
    <row r="65" spans="1:4" ht="15.75" x14ac:dyDescent="0.25">
      <c r="A65" t="s">
        <v>56</v>
      </c>
      <c r="B65" s="14" t="s">
        <v>211</v>
      </c>
      <c r="C65" s="10" t="s">
        <v>29</v>
      </c>
      <c r="D65" s="10" t="s">
        <v>20</v>
      </c>
    </row>
    <row r="66" spans="1:4" ht="15.75" x14ac:dyDescent="0.25">
      <c r="A66" t="s">
        <v>57</v>
      </c>
      <c r="B66" s="14" t="s">
        <v>211</v>
      </c>
      <c r="C66" s="10" t="s">
        <v>29</v>
      </c>
      <c r="D66" s="10" t="s">
        <v>20</v>
      </c>
    </row>
    <row r="67" spans="1:4" ht="15.75" x14ac:dyDescent="0.25">
      <c r="A67" t="s">
        <v>58</v>
      </c>
      <c r="B67" s="14" t="s">
        <v>211</v>
      </c>
      <c r="C67" s="10" t="s">
        <v>29</v>
      </c>
      <c r="D67" s="10" t="s">
        <v>20</v>
      </c>
    </row>
    <row r="68" spans="1:4" ht="15.75" x14ac:dyDescent="0.25">
      <c r="A68" t="s">
        <v>59</v>
      </c>
      <c r="B68" s="14" t="s">
        <v>211</v>
      </c>
      <c r="C68" s="10" t="s">
        <v>29</v>
      </c>
      <c r="D68" s="10" t="s">
        <v>20</v>
      </c>
    </row>
    <row r="69" spans="1:4" ht="15.75" x14ac:dyDescent="0.25">
      <c r="A69" t="s">
        <v>60</v>
      </c>
      <c r="B69" s="14" t="s">
        <v>211</v>
      </c>
      <c r="C69" s="10" t="s">
        <v>29</v>
      </c>
      <c r="D69" s="10" t="s">
        <v>20</v>
      </c>
    </row>
    <row r="70" spans="1:4" ht="15.75" x14ac:dyDescent="0.25">
      <c r="A70" t="s">
        <v>61</v>
      </c>
      <c r="B70" s="14" t="s">
        <v>211</v>
      </c>
      <c r="C70" s="10" t="s">
        <v>29</v>
      </c>
      <c r="D70" s="10" t="s">
        <v>20</v>
      </c>
    </row>
    <row r="71" spans="1:4" ht="15.75" x14ac:dyDescent="0.25">
      <c r="A71" t="s">
        <v>62</v>
      </c>
      <c r="B71" s="14" t="s">
        <v>211</v>
      </c>
      <c r="C71" s="10" t="s">
        <v>29</v>
      </c>
      <c r="D71" s="10" t="s">
        <v>20</v>
      </c>
    </row>
    <row r="72" spans="1:4" ht="15.75" x14ac:dyDescent="0.25">
      <c r="A72" t="s">
        <v>63</v>
      </c>
      <c r="B72" s="14" t="s">
        <v>211</v>
      </c>
      <c r="C72" s="10" t="s">
        <v>29</v>
      </c>
      <c r="D72" s="10" t="s">
        <v>20</v>
      </c>
    </row>
    <row r="73" spans="1:4" ht="15.75" x14ac:dyDescent="0.25">
      <c r="A73" t="s">
        <v>64</v>
      </c>
      <c r="B73" s="14" t="s">
        <v>211</v>
      </c>
      <c r="C73" s="10" t="s">
        <v>29</v>
      </c>
      <c r="D73" s="10" t="s">
        <v>20</v>
      </c>
    </row>
    <row r="74" spans="1:4" ht="15.75" x14ac:dyDescent="0.25">
      <c r="A74" t="s">
        <v>65</v>
      </c>
      <c r="B74" s="14" t="s">
        <v>211</v>
      </c>
      <c r="C74" s="10" t="s">
        <v>29</v>
      </c>
      <c r="D74" s="10" t="s">
        <v>20</v>
      </c>
    </row>
    <row r="75" spans="1:4" ht="15.75" x14ac:dyDescent="0.25">
      <c r="A75" t="s">
        <v>66</v>
      </c>
      <c r="B75" s="14" t="s">
        <v>211</v>
      </c>
      <c r="C75" s="10" t="s">
        <v>29</v>
      </c>
      <c r="D75" s="10" t="s">
        <v>20</v>
      </c>
    </row>
    <row r="76" spans="1:4" ht="15.75" x14ac:dyDescent="0.25">
      <c r="A76" t="s">
        <v>67</v>
      </c>
      <c r="B76" s="14" t="s">
        <v>211</v>
      </c>
      <c r="C76" s="10" t="s">
        <v>29</v>
      </c>
      <c r="D76" s="10" t="s">
        <v>20</v>
      </c>
    </row>
    <row r="77" spans="1:4" x14ac:dyDescent="0.25">
      <c r="A77" t="s">
        <v>21</v>
      </c>
      <c r="B77" s="10" t="s">
        <v>198</v>
      </c>
      <c r="C77" t="s">
        <v>20</v>
      </c>
      <c r="D77" t="s">
        <v>20</v>
      </c>
    </row>
    <row r="78" spans="1:4" ht="15.75" x14ac:dyDescent="0.25">
      <c r="A78" t="s">
        <v>68</v>
      </c>
      <c r="B78" s="14" t="s">
        <v>212</v>
      </c>
      <c r="C78" s="12" t="s">
        <v>30</v>
      </c>
      <c r="D78" s="10" t="s">
        <v>20</v>
      </c>
    </row>
    <row r="79" spans="1:4" x14ac:dyDescent="0.25">
      <c r="A79" s="20" t="s">
        <v>166</v>
      </c>
      <c r="B79" s="10" t="s">
        <v>196</v>
      </c>
      <c r="C79" s="10" t="s">
        <v>12</v>
      </c>
      <c r="D79" s="10" t="s">
        <v>14</v>
      </c>
    </row>
    <row r="80" spans="1:4" x14ac:dyDescent="0.25">
      <c r="A80" s="20" t="s">
        <v>167</v>
      </c>
      <c r="B80" s="10" t="s">
        <v>194</v>
      </c>
      <c r="C80" s="10" t="s">
        <v>17</v>
      </c>
      <c r="D80" s="10" t="s">
        <v>14</v>
      </c>
    </row>
    <row r="81" spans="1:4" x14ac:dyDescent="0.25">
      <c r="A81" s="20" t="s">
        <v>146</v>
      </c>
      <c r="B81" s="10" t="s">
        <v>194</v>
      </c>
      <c r="C81" s="10" t="s">
        <v>17</v>
      </c>
      <c r="D81" s="10" t="s">
        <v>14</v>
      </c>
    </row>
    <row r="82" spans="1:4" ht="15.75" x14ac:dyDescent="0.25">
      <c r="A82" s="21" t="s">
        <v>135</v>
      </c>
      <c r="B82" s="14" t="s">
        <v>212</v>
      </c>
      <c r="C82" s="12" t="s">
        <v>30</v>
      </c>
      <c r="D82" s="10" t="s">
        <v>20</v>
      </c>
    </row>
    <row r="83" spans="1:4" ht="15.75" x14ac:dyDescent="0.25">
      <c r="A83" s="21" t="s">
        <v>151</v>
      </c>
      <c r="B83" s="14" t="s">
        <v>211</v>
      </c>
      <c r="C83" s="10" t="s">
        <v>29</v>
      </c>
      <c r="D83" s="10" t="s">
        <v>20</v>
      </c>
    </row>
    <row r="84" spans="1:4" ht="15.75" x14ac:dyDescent="0.25">
      <c r="A84" s="22" t="s">
        <v>154</v>
      </c>
      <c r="B84" s="14" t="s">
        <v>212</v>
      </c>
      <c r="C84" s="12" t="s">
        <v>30</v>
      </c>
      <c r="D84" s="10" t="s">
        <v>20</v>
      </c>
    </row>
    <row r="85" spans="1:4" ht="15.75" x14ac:dyDescent="0.25">
      <c r="A85" s="22" t="s">
        <v>158</v>
      </c>
      <c r="B85" s="14" t="s">
        <v>211</v>
      </c>
      <c r="C85" s="10" t="s">
        <v>29</v>
      </c>
      <c r="D85" s="10" t="s">
        <v>20</v>
      </c>
    </row>
    <row r="86" spans="1:4" x14ac:dyDescent="0.25">
      <c r="A86" s="20" t="s">
        <v>168</v>
      </c>
      <c r="B86" s="10" t="s">
        <v>194</v>
      </c>
      <c r="C86" s="10" t="s">
        <v>17</v>
      </c>
      <c r="D86" s="10" t="s">
        <v>14</v>
      </c>
    </row>
    <row r="87" spans="1:4" ht="15.75" x14ac:dyDescent="0.25">
      <c r="A87" s="21" t="s">
        <v>175</v>
      </c>
      <c r="B87" s="14" t="s">
        <v>211</v>
      </c>
      <c r="C87" s="10" t="s">
        <v>29</v>
      </c>
      <c r="D87" s="10" t="s">
        <v>20</v>
      </c>
    </row>
    <row r="88" spans="1:4" ht="15.75" x14ac:dyDescent="0.25">
      <c r="A88" s="21" t="s">
        <v>177</v>
      </c>
      <c r="B88" s="14" t="s">
        <v>211</v>
      </c>
      <c r="C88" s="10" t="s">
        <v>29</v>
      </c>
      <c r="D88" s="10" t="s">
        <v>20</v>
      </c>
    </row>
    <row r="89" spans="1:4" ht="15.75" x14ac:dyDescent="0.25">
      <c r="A89" s="21" t="s">
        <v>179</v>
      </c>
      <c r="B89" s="14" t="s">
        <v>211</v>
      </c>
      <c r="C89" s="10" t="s">
        <v>29</v>
      </c>
      <c r="D89" s="10" t="s">
        <v>20</v>
      </c>
    </row>
  </sheetData>
  <hyperlinks>
    <hyperlink ref="C14" r:id="rId1" xr:uid="{A141B289-0997-4C51-A553-7A6543519852}"/>
    <hyperlink ref="C11" r:id="rId2" display="myufandila@gistexgroup.com" xr:uid="{9927D418-C22F-46E6-8A8F-9C6C3656719D}"/>
    <hyperlink ref="C6" r:id="rId3" xr:uid="{D98C1A85-0BC8-4C0A-9B0F-8C3AF469B7B1}"/>
    <hyperlink ref="C19" r:id="rId4" xr:uid="{0B27454E-6F69-44EA-8512-496D1F6F5B5C}"/>
    <hyperlink ref="C22" r:id="rId5" xr:uid="{93EFD7B0-4E10-4171-8C86-AB7222317417}"/>
    <hyperlink ref="C24" r:id="rId6" xr:uid="{78E470F4-DC4E-4534-8E46-926614796654}"/>
    <hyperlink ref="C28" r:id="rId7" xr:uid="{5873A939-A3A9-496B-B569-3DB21ECB4E70}"/>
    <hyperlink ref="C29" r:id="rId8" xr:uid="{AE9E12BE-C721-4785-8CAA-B0EEFB2F29EC}"/>
    <hyperlink ref="C31" r:id="rId9" xr:uid="{2C114D3A-A3C8-4260-B084-E49844BED6A1}"/>
    <hyperlink ref="C18" r:id="rId10" xr:uid="{BECECFBF-44EE-45DB-BEB3-A4C1C84AEB27}"/>
    <hyperlink ref="C21" r:id="rId11" xr:uid="{BD71F66B-972E-45A9-BFD4-53490E4D225D}"/>
    <hyperlink ref="C27" r:id="rId12" xr:uid="{ADE38F6E-A075-4FE6-9E90-741CD2D0B0B8}"/>
    <hyperlink ref="C33" r:id="rId13" xr:uid="{09F47531-2F8B-4CD5-A8FA-5B2C3CF38FF7}"/>
    <hyperlink ref="C34" r:id="rId14" display="snany@gistexgroup.com" xr:uid="{66A3BDC6-2590-499A-A944-B1F4862D2D54}"/>
    <hyperlink ref="C35" r:id="rId15" xr:uid="{F7392351-468E-4D7D-A148-4964823279DB}"/>
    <hyperlink ref="C36" r:id="rId16" xr:uid="{5A4B6A39-4E1E-485B-9F0F-2BDED7B1D0FB}"/>
    <hyperlink ref="C37" r:id="rId17" xr:uid="{1C86E815-9E01-4597-9986-0F6104AC7223}"/>
    <hyperlink ref="C38" r:id="rId18" xr:uid="{AAA80C48-AB11-42DD-BBAB-CDC0811D1E13}"/>
    <hyperlink ref="C42" r:id="rId19" xr:uid="{7014C574-8715-4A26-9E99-70CA0D55E878}"/>
    <hyperlink ref="C43" r:id="rId20" xr:uid="{6913CEC4-BBBD-47B4-906F-5D352369D32C}"/>
    <hyperlink ref="C44" r:id="rId21" xr:uid="{E9728A02-A96C-4961-A683-0F7B8B20EFFF}"/>
    <hyperlink ref="C45" r:id="rId22" xr:uid="{BF176B86-27E0-4869-8AFD-7FAB474885A6}"/>
    <hyperlink ref="C54" r:id="rId23" xr:uid="{6DBB9566-836A-4E6D-A79F-09123E52F39B}"/>
    <hyperlink ref="D54" r:id="rId24" xr:uid="{7015FA01-2C13-4FE7-99B7-0D50B5269D3D}"/>
    <hyperlink ref="C78" r:id="rId25" xr:uid="{702E06F4-B40D-4D1F-99F1-B9B794086AB1}"/>
    <hyperlink ref="D43" r:id="rId26" xr:uid="{49BACDA8-30A5-42EA-A205-947C09732420}"/>
    <hyperlink ref="C82" r:id="rId27" xr:uid="{0893F49B-E33B-4DE6-A052-72508F8BF563}"/>
    <hyperlink ref="C84" r:id="rId28" xr:uid="{1D222917-4C36-48E6-A16C-05E32B2D629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726B9-6CA7-4A17-8EF3-565A2D0E7C69}">
  <sheetPr codeName="Sheet74" filterMode="1"/>
  <dimension ref="A1:D54"/>
  <sheetViews>
    <sheetView workbookViewId="0"/>
  </sheetViews>
  <sheetFormatPr defaultRowHeight="15" x14ac:dyDescent="0.25"/>
  <cols>
    <col min="1" max="1" width="66" bestFit="1" customWidth="1"/>
    <col min="2" max="2" width="26.7109375" bestFit="1" customWidth="1"/>
    <col min="3" max="3" width="27.140625" bestFit="1" customWidth="1"/>
    <col min="4" max="4" width="7.7109375" bestFit="1" customWidth="1"/>
  </cols>
  <sheetData>
    <row r="1" spans="1:4" s="1" customFormat="1" x14ac:dyDescent="0.25">
      <c r="A1" s="1" t="s">
        <v>2</v>
      </c>
      <c r="B1" s="1" t="s">
        <v>336</v>
      </c>
      <c r="C1" s="1" t="s">
        <v>13</v>
      </c>
      <c r="D1" s="1" t="s">
        <v>337</v>
      </c>
    </row>
    <row r="2" spans="1:4" x14ac:dyDescent="0.25">
      <c r="A2" t="s">
        <v>168</v>
      </c>
      <c r="B2" t="s">
        <v>338</v>
      </c>
      <c r="C2" t="s">
        <v>338</v>
      </c>
      <c r="D2" t="b">
        <v>0</v>
      </c>
    </row>
    <row r="3" spans="1:4" hidden="1" x14ac:dyDescent="0.25">
      <c r="A3" t="s">
        <v>146</v>
      </c>
      <c r="B3" t="s">
        <v>17</v>
      </c>
      <c r="C3" t="s">
        <v>14</v>
      </c>
      <c r="D3" t="b">
        <v>1</v>
      </c>
    </row>
    <row r="4" spans="1:4" hidden="1" x14ac:dyDescent="0.25">
      <c r="A4" t="s">
        <v>15</v>
      </c>
      <c r="B4" t="s">
        <v>17</v>
      </c>
      <c r="C4" t="s">
        <v>14</v>
      </c>
      <c r="D4" t="b">
        <v>1</v>
      </c>
    </row>
    <row r="5" spans="1:4" hidden="1" x14ac:dyDescent="0.25">
      <c r="A5" t="s">
        <v>135</v>
      </c>
      <c r="B5" t="s">
        <v>17</v>
      </c>
      <c r="C5" t="s">
        <v>14</v>
      </c>
      <c r="D5" t="b">
        <v>1</v>
      </c>
    </row>
    <row r="6" spans="1:4" hidden="1" x14ac:dyDescent="0.25">
      <c r="A6" t="s">
        <v>28</v>
      </c>
      <c r="B6" t="s">
        <v>30</v>
      </c>
      <c r="C6" t="s">
        <v>20</v>
      </c>
      <c r="D6" t="b">
        <v>1</v>
      </c>
    </row>
    <row r="7" spans="1:4" hidden="1" x14ac:dyDescent="0.25">
      <c r="A7" t="s">
        <v>47</v>
      </c>
      <c r="B7" t="s">
        <v>30</v>
      </c>
      <c r="C7" t="s">
        <v>20</v>
      </c>
      <c r="D7" t="b">
        <v>1</v>
      </c>
    </row>
    <row r="8" spans="1:4" hidden="1" x14ac:dyDescent="0.25">
      <c r="A8" t="s">
        <v>49</v>
      </c>
      <c r="B8" t="s">
        <v>31</v>
      </c>
      <c r="C8" t="s">
        <v>32</v>
      </c>
      <c r="D8" t="b">
        <v>1</v>
      </c>
    </row>
    <row r="9" spans="1:4" hidden="1" x14ac:dyDescent="0.25">
      <c r="A9" t="s">
        <v>33</v>
      </c>
      <c r="B9" t="s">
        <v>30</v>
      </c>
      <c r="C9" t="s">
        <v>20</v>
      </c>
      <c r="D9" t="b">
        <v>1</v>
      </c>
    </row>
    <row r="10" spans="1:4" hidden="1" x14ac:dyDescent="0.25">
      <c r="A10" t="s">
        <v>166</v>
      </c>
      <c r="B10" t="s">
        <v>30</v>
      </c>
      <c r="C10" t="s">
        <v>20</v>
      </c>
      <c r="D10" t="b">
        <v>1</v>
      </c>
    </row>
    <row r="11" spans="1:4" hidden="1" x14ac:dyDescent="0.25">
      <c r="A11" t="s">
        <v>5</v>
      </c>
      <c r="B11" t="s">
        <v>30</v>
      </c>
      <c r="C11" t="s">
        <v>20</v>
      </c>
      <c r="D11" t="b">
        <v>1</v>
      </c>
    </row>
    <row r="12" spans="1:4" hidden="1" x14ac:dyDescent="0.25">
      <c r="A12" t="s">
        <v>24</v>
      </c>
      <c r="B12" t="s">
        <v>30</v>
      </c>
      <c r="C12" t="s">
        <v>20</v>
      </c>
      <c r="D12" t="b">
        <v>1</v>
      </c>
    </row>
    <row r="13" spans="1:4" hidden="1" x14ac:dyDescent="0.25">
      <c r="A13" t="s">
        <v>40</v>
      </c>
      <c r="B13" t="s">
        <v>30</v>
      </c>
      <c r="C13" t="s">
        <v>20</v>
      </c>
      <c r="D13" t="b">
        <v>1</v>
      </c>
    </row>
    <row r="14" spans="1:4" hidden="1" x14ac:dyDescent="0.25">
      <c r="A14" t="s">
        <v>19</v>
      </c>
      <c r="B14" t="s">
        <v>30</v>
      </c>
      <c r="C14" t="s">
        <v>20</v>
      </c>
      <c r="D14" t="b">
        <v>1</v>
      </c>
    </row>
    <row r="15" spans="1:4" hidden="1" x14ac:dyDescent="0.25">
      <c r="A15" t="s">
        <v>132</v>
      </c>
      <c r="B15" t="s">
        <v>30</v>
      </c>
      <c r="C15" t="s">
        <v>20</v>
      </c>
      <c r="D15" t="b">
        <v>1</v>
      </c>
    </row>
    <row r="16" spans="1:4" hidden="1" x14ac:dyDescent="0.25">
      <c r="A16" t="s">
        <v>50</v>
      </c>
      <c r="B16" t="s">
        <v>30</v>
      </c>
      <c r="C16" t="s">
        <v>20</v>
      </c>
      <c r="D16" t="b">
        <v>1</v>
      </c>
    </row>
    <row r="17" spans="1:4" hidden="1" x14ac:dyDescent="0.25">
      <c r="A17" t="s">
        <v>51</v>
      </c>
      <c r="B17" t="s">
        <v>30</v>
      </c>
      <c r="C17" t="s">
        <v>20</v>
      </c>
      <c r="D17" t="b">
        <v>1</v>
      </c>
    </row>
    <row r="18" spans="1:4" hidden="1" x14ac:dyDescent="0.25">
      <c r="A18" t="s">
        <v>52</v>
      </c>
      <c r="B18" t="s">
        <v>30</v>
      </c>
      <c r="C18" t="s">
        <v>20</v>
      </c>
      <c r="D18" t="b">
        <v>1</v>
      </c>
    </row>
    <row r="19" spans="1:4" hidden="1" x14ac:dyDescent="0.25">
      <c r="A19" t="s">
        <v>41</v>
      </c>
      <c r="B19" t="s">
        <v>30</v>
      </c>
      <c r="C19" t="s">
        <v>20</v>
      </c>
      <c r="D19" t="b">
        <v>1</v>
      </c>
    </row>
    <row r="20" spans="1:4" hidden="1" x14ac:dyDescent="0.25">
      <c r="A20" t="s">
        <v>68</v>
      </c>
      <c r="B20" t="s">
        <v>30</v>
      </c>
      <c r="C20" t="s">
        <v>20</v>
      </c>
      <c r="D20" t="b">
        <v>1</v>
      </c>
    </row>
    <row r="21" spans="1:4" hidden="1" x14ac:dyDescent="0.25">
      <c r="A21" t="s">
        <v>38</v>
      </c>
      <c r="B21" t="s">
        <v>30</v>
      </c>
      <c r="C21" t="s">
        <v>20</v>
      </c>
      <c r="D21" t="b">
        <v>1</v>
      </c>
    </row>
    <row r="22" spans="1:4" hidden="1" x14ac:dyDescent="0.25">
      <c r="A22" t="s">
        <v>165</v>
      </c>
      <c r="B22" t="s">
        <v>131</v>
      </c>
      <c r="C22" t="s">
        <v>14</v>
      </c>
      <c r="D22" t="b">
        <v>1</v>
      </c>
    </row>
    <row r="23" spans="1:4" hidden="1" x14ac:dyDescent="0.25">
      <c r="A23" t="s">
        <v>151</v>
      </c>
      <c r="B23" t="s">
        <v>131</v>
      </c>
      <c r="C23" t="s">
        <v>14</v>
      </c>
      <c r="D23" t="b">
        <v>1</v>
      </c>
    </row>
    <row r="24" spans="1:4" hidden="1" x14ac:dyDescent="0.25">
      <c r="A24" t="s">
        <v>175</v>
      </c>
      <c r="B24" t="s">
        <v>131</v>
      </c>
      <c r="C24" t="s">
        <v>14</v>
      </c>
      <c r="D24" t="b">
        <v>1</v>
      </c>
    </row>
    <row r="25" spans="1:4" hidden="1" x14ac:dyDescent="0.25">
      <c r="A25" t="s">
        <v>177</v>
      </c>
      <c r="B25" t="s">
        <v>131</v>
      </c>
      <c r="C25" t="s">
        <v>14</v>
      </c>
      <c r="D25" t="b">
        <v>1</v>
      </c>
    </row>
    <row r="26" spans="1:4" hidden="1" x14ac:dyDescent="0.25">
      <c r="A26" t="s">
        <v>179</v>
      </c>
      <c r="B26" t="s">
        <v>131</v>
      </c>
      <c r="C26" t="s">
        <v>14</v>
      </c>
      <c r="D26" t="b">
        <v>1</v>
      </c>
    </row>
    <row r="27" spans="1:4" hidden="1" x14ac:dyDescent="0.25">
      <c r="A27" t="s">
        <v>154</v>
      </c>
      <c r="B27" t="s">
        <v>131</v>
      </c>
      <c r="C27" t="s">
        <v>14</v>
      </c>
      <c r="D27" t="b">
        <v>1</v>
      </c>
    </row>
    <row r="28" spans="1:4" hidden="1" x14ac:dyDescent="0.25">
      <c r="A28" t="s">
        <v>36</v>
      </c>
      <c r="B28" t="s">
        <v>131</v>
      </c>
      <c r="C28" t="s">
        <v>14</v>
      </c>
      <c r="D28" t="b">
        <v>1</v>
      </c>
    </row>
    <row r="29" spans="1:4" hidden="1" x14ac:dyDescent="0.25">
      <c r="A29" t="s">
        <v>37</v>
      </c>
      <c r="B29" t="s">
        <v>131</v>
      </c>
      <c r="C29" t="s">
        <v>14</v>
      </c>
      <c r="D29" t="b">
        <v>1</v>
      </c>
    </row>
    <row r="30" spans="1:4" hidden="1" x14ac:dyDescent="0.25">
      <c r="A30" t="s">
        <v>34</v>
      </c>
      <c r="B30" t="s">
        <v>35</v>
      </c>
      <c r="C30" t="s">
        <v>14</v>
      </c>
      <c r="D30" t="b">
        <v>1</v>
      </c>
    </row>
    <row r="31" spans="1:4" hidden="1" x14ac:dyDescent="0.25">
      <c r="A31" t="s">
        <v>158</v>
      </c>
      <c r="B31" t="s">
        <v>35</v>
      </c>
      <c r="C31" t="s">
        <v>14</v>
      </c>
      <c r="D31" t="b">
        <v>1</v>
      </c>
    </row>
    <row r="32" spans="1:4" hidden="1" x14ac:dyDescent="0.25">
      <c r="A32" t="s">
        <v>42</v>
      </c>
      <c r="B32" t="s">
        <v>35</v>
      </c>
      <c r="C32" t="s">
        <v>14</v>
      </c>
      <c r="D32" t="b">
        <v>1</v>
      </c>
    </row>
    <row r="33" spans="1:4" hidden="1" x14ac:dyDescent="0.25">
      <c r="A33" t="s">
        <v>43</v>
      </c>
      <c r="B33" t="s">
        <v>35</v>
      </c>
      <c r="C33" t="s">
        <v>14</v>
      </c>
      <c r="D33" t="b">
        <v>1</v>
      </c>
    </row>
    <row r="34" spans="1:4" hidden="1" x14ac:dyDescent="0.25">
      <c r="A34" t="s">
        <v>39</v>
      </c>
      <c r="B34" t="s">
        <v>35</v>
      </c>
      <c r="C34" t="s">
        <v>14</v>
      </c>
      <c r="D34" t="b">
        <v>1</v>
      </c>
    </row>
    <row r="35" spans="1:4" hidden="1" x14ac:dyDescent="0.25">
      <c r="A35" t="s">
        <v>53</v>
      </c>
      <c r="B35" t="s">
        <v>35</v>
      </c>
      <c r="C35" t="s">
        <v>14</v>
      </c>
      <c r="D35" t="b">
        <v>1</v>
      </c>
    </row>
    <row r="36" spans="1:4" hidden="1" x14ac:dyDescent="0.25">
      <c r="A36" t="s">
        <v>54</v>
      </c>
      <c r="B36" t="s">
        <v>35</v>
      </c>
      <c r="C36" t="s">
        <v>14</v>
      </c>
      <c r="D36" t="b">
        <v>1</v>
      </c>
    </row>
    <row r="37" spans="1:4" hidden="1" x14ac:dyDescent="0.25">
      <c r="A37" t="s">
        <v>55</v>
      </c>
      <c r="B37" t="s">
        <v>29</v>
      </c>
      <c r="C37" t="s">
        <v>20</v>
      </c>
      <c r="D37" t="b">
        <v>1</v>
      </c>
    </row>
    <row r="38" spans="1:4" hidden="1" x14ac:dyDescent="0.25">
      <c r="A38" t="s">
        <v>56</v>
      </c>
      <c r="B38" t="s">
        <v>29</v>
      </c>
      <c r="C38" t="s">
        <v>20</v>
      </c>
      <c r="D38" t="b">
        <v>1</v>
      </c>
    </row>
    <row r="39" spans="1:4" hidden="1" x14ac:dyDescent="0.25">
      <c r="A39" t="s">
        <v>57</v>
      </c>
      <c r="B39" t="s">
        <v>29</v>
      </c>
      <c r="C39" t="s">
        <v>20</v>
      </c>
      <c r="D39" t="b">
        <v>1</v>
      </c>
    </row>
    <row r="40" spans="1:4" hidden="1" x14ac:dyDescent="0.25">
      <c r="A40" t="s">
        <v>58</v>
      </c>
      <c r="B40" t="s">
        <v>29</v>
      </c>
      <c r="C40" t="s">
        <v>20</v>
      </c>
      <c r="D40" t="b">
        <v>1</v>
      </c>
    </row>
    <row r="41" spans="1:4" hidden="1" x14ac:dyDescent="0.25">
      <c r="A41" t="s">
        <v>59</v>
      </c>
      <c r="B41" t="s">
        <v>29</v>
      </c>
      <c r="C41" t="s">
        <v>20</v>
      </c>
      <c r="D41" t="b">
        <v>1</v>
      </c>
    </row>
    <row r="42" spans="1:4" hidden="1" x14ac:dyDescent="0.25">
      <c r="A42" t="s">
        <v>60</v>
      </c>
      <c r="B42" t="s">
        <v>29</v>
      </c>
      <c r="C42" t="s">
        <v>20</v>
      </c>
      <c r="D42" t="b">
        <v>1</v>
      </c>
    </row>
    <row r="43" spans="1:4" hidden="1" x14ac:dyDescent="0.25">
      <c r="A43" t="s">
        <v>61</v>
      </c>
      <c r="B43" t="s">
        <v>29</v>
      </c>
      <c r="C43" t="s">
        <v>20</v>
      </c>
      <c r="D43" t="b">
        <v>1</v>
      </c>
    </row>
    <row r="44" spans="1:4" hidden="1" x14ac:dyDescent="0.25">
      <c r="A44" t="s">
        <v>62</v>
      </c>
      <c r="B44" t="s">
        <v>29</v>
      </c>
      <c r="C44" t="s">
        <v>20</v>
      </c>
      <c r="D44" t="b">
        <v>1</v>
      </c>
    </row>
    <row r="45" spans="1:4" hidden="1" x14ac:dyDescent="0.25">
      <c r="A45" t="s">
        <v>63</v>
      </c>
      <c r="B45" t="s">
        <v>29</v>
      </c>
      <c r="C45" t="s">
        <v>20</v>
      </c>
      <c r="D45" t="b">
        <v>1</v>
      </c>
    </row>
    <row r="46" spans="1:4" hidden="1" x14ac:dyDescent="0.25">
      <c r="A46" t="s">
        <v>44</v>
      </c>
      <c r="B46" t="s">
        <v>29</v>
      </c>
      <c r="C46" t="s">
        <v>20</v>
      </c>
      <c r="D46" t="b">
        <v>1</v>
      </c>
    </row>
    <row r="47" spans="1:4" hidden="1" x14ac:dyDescent="0.25">
      <c r="A47" t="s">
        <v>45</v>
      </c>
      <c r="B47" t="s">
        <v>29</v>
      </c>
      <c r="C47" t="s">
        <v>20</v>
      </c>
      <c r="D47" t="b">
        <v>1</v>
      </c>
    </row>
    <row r="48" spans="1:4" hidden="1" x14ac:dyDescent="0.25">
      <c r="A48" t="s">
        <v>64</v>
      </c>
      <c r="B48" t="s">
        <v>29</v>
      </c>
      <c r="C48" t="s">
        <v>20</v>
      </c>
      <c r="D48" t="b">
        <v>1</v>
      </c>
    </row>
    <row r="49" spans="1:4" hidden="1" x14ac:dyDescent="0.25">
      <c r="A49" t="s">
        <v>65</v>
      </c>
      <c r="B49" t="s">
        <v>29</v>
      </c>
      <c r="C49" t="s">
        <v>20</v>
      </c>
      <c r="D49" t="b">
        <v>1</v>
      </c>
    </row>
    <row r="50" spans="1:4" hidden="1" x14ac:dyDescent="0.25">
      <c r="A50" t="s">
        <v>66</v>
      </c>
      <c r="B50" t="s">
        <v>29</v>
      </c>
      <c r="C50" t="s">
        <v>20</v>
      </c>
      <c r="D50" t="b">
        <v>1</v>
      </c>
    </row>
    <row r="51" spans="1:4" hidden="1" x14ac:dyDescent="0.25">
      <c r="A51" t="s">
        <v>67</v>
      </c>
      <c r="B51" t="s">
        <v>29</v>
      </c>
      <c r="C51" t="s">
        <v>20</v>
      </c>
      <c r="D51" t="b">
        <v>1</v>
      </c>
    </row>
    <row r="52" spans="1:4" hidden="1" x14ac:dyDescent="0.25">
      <c r="A52" t="s">
        <v>46</v>
      </c>
      <c r="B52" t="s">
        <v>12</v>
      </c>
      <c r="C52" t="s">
        <v>14</v>
      </c>
      <c r="D52" t="b">
        <v>1</v>
      </c>
    </row>
    <row r="53" spans="1:4" hidden="1" x14ac:dyDescent="0.25">
      <c r="A53" t="s">
        <v>167</v>
      </c>
      <c r="B53" t="s">
        <v>17</v>
      </c>
      <c r="C53" t="s">
        <v>14</v>
      </c>
      <c r="D53" t="b">
        <v>1</v>
      </c>
    </row>
    <row r="54" spans="1:4" hidden="1" x14ac:dyDescent="0.25">
      <c r="A54" t="s">
        <v>21</v>
      </c>
      <c r="B54" t="s">
        <v>29</v>
      </c>
      <c r="C54" t="s">
        <v>20</v>
      </c>
      <c r="D54" t="b">
        <v>1</v>
      </c>
    </row>
  </sheetData>
  <autoFilter ref="A1:D54" xr:uid="{D7A726B9-6CA7-4A17-8EF3-565A2D0E7C69}">
    <filterColumn colId="3">
      <filters>
        <filter val="FALSE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C45E5-34E8-47E2-96CB-8083CC0D1C3E}">
  <sheetPr codeName="Sheet75"/>
  <dimension ref="A1:A2"/>
  <sheetViews>
    <sheetView workbookViewId="0">
      <selection activeCell="A2" sqref="A2"/>
    </sheetView>
  </sheetViews>
  <sheetFormatPr defaultRowHeight="15" x14ac:dyDescent="0.25"/>
  <cols>
    <col min="1" max="1" width="11.140625" bestFit="1" customWidth="1"/>
  </cols>
  <sheetData>
    <row r="1" spans="1:1" x14ac:dyDescent="0.25">
      <c r="A1" t="s">
        <v>339</v>
      </c>
    </row>
    <row r="2" spans="1:1" x14ac:dyDescent="0.25">
      <c r="A2" t="b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55226-A783-49F7-9EF3-35729468993E}">
  <sheetPr codeName="Sheet76">
    <pageSetUpPr fitToPage="1"/>
  </sheetPr>
  <dimension ref="A1:A11"/>
  <sheetViews>
    <sheetView workbookViewId="0"/>
  </sheetViews>
  <sheetFormatPr defaultRowHeight="15" x14ac:dyDescent="0.25"/>
  <cols>
    <col min="1" max="1" width="68.5703125" bestFit="1" customWidth="1"/>
  </cols>
  <sheetData>
    <row r="1" spans="1:1" x14ac:dyDescent="0.25">
      <c r="A1" t="s">
        <v>189</v>
      </c>
    </row>
    <row r="2" spans="1:1" x14ac:dyDescent="0.25">
      <c r="A2" s="1" t="s">
        <v>187</v>
      </c>
    </row>
    <row r="3" spans="1:1" x14ac:dyDescent="0.25">
      <c r="A3" t="s">
        <v>188</v>
      </c>
    </row>
    <row r="4" spans="1:1" x14ac:dyDescent="0.25">
      <c r="A4" t="str">
        <f>TOMBOL!D5</f>
        <v>\\10.8.0.35\rpa$\RPA Excel Template\Accounting Finance\Alert AR\File AR</v>
      </c>
    </row>
    <row r="7" spans="1:1" x14ac:dyDescent="0.25">
      <c r="A7" s="1" t="s">
        <v>344</v>
      </c>
    </row>
    <row r="8" spans="1:1" x14ac:dyDescent="0.25">
      <c r="A8" t="s">
        <v>168</v>
      </c>
    </row>
    <row r="11" spans="1:1" ht="45" x14ac:dyDescent="0.25">
      <c r="A11" s="6" t="s">
        <v>190</v>
      </c>
    </row>
  </sheetData>
  <printOptions horizontalCentered="1"/>
  <pageMargins left="0.7" right="0.7" top="0.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86972-CCBC-4283-8155-4E8556AC897A}">
  <sheetPr codeName="Sheet77"/>
  <dimension ref="A1:B3"/>
  <sheetViews>
    <sheetView workbookViewId="0">
      <selection activeCell="D6" sqref="D6"/>
    </sheetView>
  </sheetViews>
  <sheetFormatPr defaultRowHeight="15" x14ac:dyDescent="0.25"/>
  <cols>
    <col min="1" max="1" width="12.28515625" bestFit="1" customWidth="1"/>
  </cols>
  <sheetData>
    <row r="1" spans="1:2" x14ac:dyDescent="0.25">
      <c r="A1" t="s">
        <v>346</v>
      </c>
      <c r="B1" t="s">
        <v>349</v>
      </c>
    </row>
    <row r="2" spans="1:2" x14ac:dyDescent="0.25">
      <c r="A2" t="s">
        <v>340</v>
      </c>
      <c r="B2" t="s">
        <v>353</v>
      </c>
    </row>
    <row r="3" spans="1:2" x14ac:dyDescent="0.25">
      <c r="A3" t="s">
        <v>345</v>
      </c>
      <c r="B3" t="s">
        <v>353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6025D-876E-4B73-96C0-A8B1070B9EFD}">
  <sheetPr codeName="Sheet80"/>
  <dimension ref="A1:B2"/>
  <sheetViews>
    <sheetView workbookViewId="0">
      <selection activeCell="A20" sqref="A20"/>
    </sheetView>
  </sheetViews>
  <sheetFormatPr defaultRowHeight="15" x14ac:dyDescent="0.25"/>
  <cols>
    <col min="1" max="1" width="19.85546875" bestFit="1" customWidth="1"/>
    <col min="2" max="2" width="42.85546875" bestFit="1" customWidth="1"/>
  </cols>
  <sheetData>
    <row r="1" spans="1:2" x14ac:dyDescent="0.25">
      <c r="A1" t="s">
        <v>347</v>
      </c>
      <c r="B1" t="s">
        <v>350</v>
      </c>
    </row>
    <row r="2" spans="1:2" x14ac:dyDescent="0.25">
      <c r="A2" t="s">
        <v>348</v>
      </c>
      <c r="B2" t="s">
        <v>351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TOMBOL</vt:lpstr>
      <vt:lpstr>Ref_WA</vt:lpstr>
      <vt:lpstr>CC1_DataAR</vt:lpstr>
      <vt:lpstr>CC2_Email</vt:lpstr>
      <vt:lpstr>CC3_DaftarEmail</vt:lpstr>
      <vt:lpstr>RPA1_StatusWA</vt:lpstr>
      <vt:lpstr>VALIDASI EMAIL BUYER</vt:lpstr>
      <vt:lpstr>RPA1_WA1</vt:lpstr>
      <vt:lpstr>RPA1_WA2</vt:lpstr>
      <vt:lpstr>'VALIDASI EMAIL BUYER'!Print_Area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cp:lastPrinted>2024-10-01T01:29:42Z</cp:lastPrinted>
  <dcterms:created xsi:type="dcterms:W3CDTF">2023-12-07T09:03:11Z</dcterms:created>
  <dcterms:modified xsi:type="dcterms:W3CDTF">2024-10-01T01:41:39Z</dcterms:modified>
</cp:coreProperties>
</file>